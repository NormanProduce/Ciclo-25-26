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S" sheetId="1" r:id="rId4"/>
    <sheet state="visible" name="VENTA" sheetId="2" r:id="rId5"/>
    <sheet state="visible" name="NATURASOL." sheetId="3" r:id="rId6"/>
    <sheet state="visible" name="Hoja 1" sheetId="4" r:id="rId7"/>
  </sheets>
  <definedNames>
    <definedName hidden="1" localSheetId="0" name="_xlnm._FilterDatabase">INGRESOS!$B$4:$J$73</definedName>
    <definedName hidden="1" localSheetId="3" name="_xlnm._FilterDatabase">'Hoja 1'!$C$3:$E$50</definedName>
  </definedNames>
  <calcPr/>
  <extLst>
    <ext uri="GoogleSheetsCustomDataVersion2">
      <go:sheetsCustomData xmlns:go="http://customooxmlschemas.google.com/" r:id="rId8" roundtripDataChecksum="uZRt6JXsOJxAMUmzVL+jAUQRoty/8yvmfaoN1uJP3HQ="/>
    </ext>
  </extLst>
</workbook>
</file>

<file path=xl/sharedStrings.xml><?xml version="1.0" encoding="utf-8"?>
<sst xmlns="http://schemas.openxmlformats.org/spreadsheetml/2006/main" count="1074" uniqueCount="387">
  <si>
    <t>INGRESOS RECURSO PAPA  FRESCO CICLO 25-26</t>
  </si>
  <si>
    <t xml:space="preserve">FECHA </t>
  </si>
  <si>
    <t xml:space="preserve">CANTIDAD </t>
  </si>
  <si>
    <t xml:space="preserve">CONCEPTO </t>
  </si>
  <si>
    <t>EMPRESA</t>
  </si>
  <si>
    <t>MÉTODO PAGO</t>
  </si>
  <si>
    <t>CLIENTE</t>
  </si>
  <si>
    <t>ESTADO</t>
  </si>
  <si>
    <t>FACTURA</t>
  </si>
  <si>
    <t>REMISION</t>
  </si>
  <si>
    <t>DEPOSITO EN EFECTIVO</t>
  </si>
  <si>
    <t>NORMAN PRODUCE</t>
  </si>
  <si>
    <t>EFECTIVO</t>
  </si>
  <si>
    <t>PABLO SOSA</t>
  </si>
  <si>
    <t>ANTICIPO</t>
  </si>
  <si>
    <t>N/A</t>
  </si>
  <si>
    <t>000252</t>
  </si>
  <si>
    <t>OLCAN GRAIN</t>
  </si>
  <si>
    <t>OLCAN GROWERS</t>
  </si>
  <si>
    <t>EFECTIVO CAMPO</t>
  </si>
  <si>
    <t>DAVID ANAYA</t>
  </si>
  <si>
    <t>000281</t>
  </si>
  <si>
    <t>TRANSFERENCIA</t>
  </si>
  <si>
    <t>PRODUCTORA CAAR</t>
  </si>
  <si>
    <t>000282</t>
  </si>
  <si>
    <t>DESCONOCIDO</t>
  </si>
  <si>
    <t>000000112</t>
  </si>
  <si>
    <t>254</t>
  </si>
  <si>
    <t>ABONO REM276</t>
  </si>
  <si>
    <t>PAPAS ARROYO</t>
  </si>
  <si>
    <t>FACTURADO</t>
  </si>
  <si>
    <t>000276</t>
  </si>
  <si>
    <t>PAGO REM 289</t>
  </si>
  <si>
    <t>LA PURA PAPA</t>
  </si>
  <si>
    <t>LIQUIDACION</t>
  </si>
  <si>
    <t>000289</t>
  </si>
  <si>
    <t>LIQ REM 276</t>
  </si>
  <si>
    <t>000001671</t>
  </si>
  <si>
    <t>ISMAEL RIVERA</t>
  </si>
  <si>
    <t>000322</t>
  </si>
  <si>
    <t>PAGO REM 261</t>
  </si>
  <si>
    <t>OSCAR VALLES</t>
  </si>
  <si>
    <t>000261</t>
  </si>
  <si>
    <t>CARGO A CTA</t>
  </si>
  <si>
    <t>GANMI HORTICOLA</t>
  </si>
  <si>
    <t>JOSE LUIS ESQUIVEL</t>
  </si>
  <si>
    <t>370</t>
  </si>
  <si>
    <t>RAUL SOSA</t>
  </si>
  <si>
    <t>408</t>
  </si>
  <si>
    <t>PAGO</t>
  </si>
  <si>
    <t>LORENZO ZAVALA</t>
  </si>
  <si>
    <t>323</t>
  </si>
  <si>
    <t>ABONO ANTONIO ARROYO</t>
  </si>
  <si>
    <t>ANTONIO ARROYO</t>
  </si>
  <si>
    <t>404</t>
  </si>
  <si>
    <t>PAGO REM 293Y195</t>
  </si>
  <si>
    <t>293 Y 195</t>
  </si>
  <si>
    <t>ANTICIPO RAUL</t>
  </si>
  <si>
    <t>ANTICIPO ERIK</t>
  </si>
  <si>
    <t>ERICK GARCIA</t>
  </si>
  <si>
    <t>291</t>
  </si>
  <si>
    <t>341</t>
  </si>
  <si>
    <t>405</t>
  </si>
  <si>
    <t>FRANCISCO HARO</t>
  </si>
  <si>
    <t>266</t>
  </si>
  <si>
    <t>ANTICIPO 266</t>
  </si>
  <si>
    <t>ABONO MARTIN RAMOA</t>
  </si>
  <si>
    <t>MARTIN RAMOA</t>
  </si>
  <si>
    <t>284</t>
  </si>
  <si>
    <t>FERNANDO ZEPEDA</t>
  </si>
  <si>
    <t>406</t>
  </si>
  <si>
    <t>LIQ REM471</t>
  </si>
  <si>
    <t>PAPAS EL GALLO</t>
  </si>
  <si>
    <t>451</t>
  </si>
  <si>
    <t>SAN JOSE</t>
  </si>
  <si>
    <t>256</t>
  </si>
  <si>
    <t>MARTIN RAMOS</t>
  </si>
  <si>
    <t>407</t>
  </si>
  <si>
    <t>DIEGO ARROYO</t>
  </si>
  <si>
    <t>406 y 326</t>
  </si>
  <si>
    <t>AGRONEGOCIOS SANTA TERESA</t>
  </si>
  <si>
    <t>258</t>
  </si>
  <si>
    <t>EL GALLO</t>
  </si>
  <si>
    <t>MAZATLAN</t>
  </si>
  <si>
    <t>SANTA TERESA</t>
  </si>
  <si>
    <t>279 Y 298</t>
  </si>
  <si>
    <t>271 Y 403</t>
  </si>
  <si>
    <t>282 Y 281</t>
  </si>
  <si>
    <t>HORTICOLA ANRO</t>
  </si>
  <si>
    <t>INGRESOS RECURSO PAPA  NATURASOL CICLO 25-26</t>
  </si>
  <si>
    <t>PAPA INDUSTRIA</t>
  </si>
  <si>
    <t>NATURASOL</t>
  </si>
  <si>
    <t>LIQUIDADO</t>
  </si>
  <si>
    <t>CONTRO DE EMBARQUES PAPA 25-26</t>
  </si>
  <si>
    <t>REMISIÓN</t>
  </si>
  <si>
    <t>FECHA SALIDA</t>
  </si>
  <si>
    <t>NO. GUÍA</t>
  </si>
  <si>
    <t>BLOCK</t>
  </si>
  <si>
    <t>PESO NETO KGS</t>
  </si>
  <si>
    <t>ARPILLAS 1ERAS Y 2DAS</t>
  </si>
  <si>
    <t>ARPILLAS 3RAS, 4TAS</t>
  </si>
  <si>
    <t>ARPILLAS 4TAS</t>
  </si>
  <si>
    <t>ARPILLAS 5TAS</t>
  </si>
  <si>
    <t>TEL. CLIENTE</t>
  </si>
  <si>
    <t>DESTINO</t>
  </si>
  <si>
    <t>CHOFER</t>
  </si>
  <si>
    <t>TEL. CHOFER</t>
  </si>
  <si>
    <t>FECHA LLEGADA</t>
  </si>
  <si>
    <t>TOTAL</t>
  </si>
  <si>
    <t>DIF POR PAGAR</t>
  </si>
  <si>
    <t>FECHA LIQUIDACION</t>
  </si>
  <si>
    <t>1rea</t>
  </si>
  <si>
    <t>3ra</t>
  </si>
  <si>
    <t>PRECIO MERCADO</t>
  </si>
  <si>
    <t>IXMIQUILPAN, HIDALGO</t>
  </si>
  <si>
    <t>LUIS HERNANDEZ MARTINEZ</t>
  </si>
  <si>
    <t>$-</t>
  </si>
  <si>
    <t>000254</t>
  </si>
  <si>
    <t>LEONARDO FCO VALLEJO GAYTAN</t>
  </si>
  <si>
    <t>ZAMORA, MICHOACÁN</t>
  </si>
  <si>
    <t>ANTONIO VALLADAES</t>
  </si>
  <si>
    <t>000256</t>
  </si>
  <si>
    <t>TOMAS MARTIN RAMOS</t>
  </si>
  <si>
    <t>IZTAPALAPA, CDMX</t>
  </si>
  <si>
    <t>MISRAW GUTIÉRREZ MARQUEZ</t>
  </si>
  <si>
    <t>000258</t>
  </si>
  <si>
    <t>SAN NICOLAS DE LAS GARZAS NL</t>
  </si>
  <si>
    <t>CARLOS VILLA LOBOS</t>
  </si>
  <si>
    <t>MONTERREY, NL</t>
  </si>
  <si>
    <t>JOSE GPE REYES</t>
  </si>
  <si>
    <t>000263</t>
  </si>
  <si>
    <t>PAPAS SANTA FE (STA TERESA)</t>
  </si>
  <si>
    <t>CHIHUAHUA</t>
  </si>
  <si>
    <t>RAUL CHAVEZ PORTILLO</t>
  </si>
  <si>
    <t>000266</t>
  </si>
  <si>
    <t>PAPAS EL SOÑADOR</t>
  </si>
  <si>
    <t>DURANGO</t>
  </si>
  <si>
    <t>JESUS BELMANS</t>
  </si>
  <si>
    <t>000269</t>
  </si>
  <si>
    <t>JOSE LUIS RODRIGUEZ</t>
  </si>
  <si>
    <t>PRELIQUIDACION</t>
  </si>
  <si>
    <t>000271</t>
  </si>
  <si>
    <t>VICTOR GONZALEZ (STA TERESA)</t>
  </si>
  <si>
    <t>CDMX</t>
  </si>
  <si>
    <t>EDUARDO GALLARDO ROJAS</t>
  </si>
  <si>
    <t>000275</t>
  </si>
  <si>
    <t>ALAN SANCHEZ HERNANDEZ</t>
  </si>
  <si>
    <t>JAVIER IVAN RODRIGUEZ C,</t>
  </si>
  <si>
    <t>000279</t>
  </si>
  <si>
    <t>PARRAL, CHIHUAHUA</t>
  </si>
  <si>
    <t>ALEJANDRO CAMPOS AVILA</t>
  </si>
  <si>
    <t>EVERARDO MARROQUIN</t>
  </si>
  <si>
    <t>GUADALAJARA</t>
  </si>
  <si>
    <t>JUAN CARLOS ARRECIA</t>
  </si>
  <si>
    <t>000284</t>
  </si>
  <si>
    <t>JOSE LUIS DE LA CRUZ</t>
  </si>
  <si>
    <t>SAN LUIS POTOSÍ</t>
  </si>
  <si>
    <t>JOSE ANTONIO DURAN</t>
  </si>
  <si>
    <t>000291</t>
  </si>
  <si>
    <t>ERICK GARCIA (PAPAS EL BOTE)</t>
  </si>
  <si>
    <t>MORELIA, MICHOACÁN</t>
  </si>
  <si>
    <t>ABEL PEREZ ROJAS</t>
  </si>
  <si>
    <t>000293</t>
  </si>
  <si>
    <t>RAUL GONZALEZ</t>
  </si>
  <si>
    <t>000296</t>
  </si>
  <si>
    <t>DAVID PORTILLO</t>
  </si>
  <si>
    <t>000298</t>
  </si>
  <si>
    <t>E. CAMARENA</t>
  </si>
  <si>
    <t>TEPATITLAN, JALISCO</t>
  </si>
  <si>
    <t>000195</t>
  </si>
  <si>
    <t>JUAN CARLOS LUCERO</t>
  </si>
  <si>
    <t>MEXICO IZTAPALAPA</t>
  </si>
  <si>
    <t>JUAN MARTINEZ</t>
  </si>
  <si>
    <t>000327</t>
  </si>
  <si>
    <t>LEON GTO</t>
  </si>
  <si>
    <t>EN SAUL LEYVA SERRANO</t>
  </si>
  <si>
    <t>000323</t>
  </si>
  <si>
    <t>JOSE ALFREDO PEREZ</t>
  </si>
  <si>
    <t>000326</t>
  </si>
  <si>
    <t>SAN MIGUEL BALTERAS TOLUCA</t>
  </si>
  <si>
    <t>LUIS ANGEL ROJAS</t>
  </si>
  <si>
    <t>000341</t>
  </si>
  <si>
    <t>EDGAR GUTIERREZ</t>
  </si>
  <si>
    <t>000403</t>
  </si>
  <si>
    <t>PEDRO CASAS</t>
  </si>
  <si>
    <t>000404</t>
  </si>
  <si>
    <t>JESUS RIVERA</t>
  </si>
  <si>
    <t>000405</t>
  </si>
  <si>
    <t>YOVANY RIVERA</t>
  </si>
  <si>
    <t>000406</t>
  </si>
  <si>
    <t>LUIS FERANDO ZEPEDA</t>
  </si>
  <si>
    <t>DOLORES HIDALGO</t>
  </si>
  <si>
    <t>RAUL JIMENEZ</t>
  </si>
  <si>
    <t>000407</t>
  </si>
  <si>
    <t>MARIO DOMINGUEZ</t>
  </si>
  <si>
    <t>000408</t>
  </si>
  <si>
    <t>PUEBLA</t>
  </si>
  <si>
    <t>ABELARDO MORA</t>
  </si>
  <si>
    <t>000451</t>
  </si>
  <si>
    <t>QUERETARO</t>
  </si>
  <si>
    <t>OSCAR VELAZQUEZ</t>
  </si>
  <si>
    <t>000370</t>
  </si>
  <si>
    <t>BODEGAS</t>
  </si>
  <si>
    <t>OSCAR NIETO CRUZ</t>
  </si>
  <si>
    <t>EDO MEX</t>
  </si>
  <si>
    <t>JORGE SANCHEZ</t>
  </si>
  <si>
    <t>000371</t>
  </si>
  <si>
    <t>000385</t>
  </si>
  <si>
    <t>RAUL MANCILLAS</t>
  </si>
  <si>
    <t>000386</t>
  </si>
  <si>
    <t>0,00</t>
  </si>
  <si>
    <t>ALBERTO MONTIEL</t>
  </si>
  <si>
    <t>000387</t>
  </si>
  <si>
    <t>Cruz CAstro</t>
  </si>
  <si>
    <t>ARMANDO ANKEL</t>
  </si>
  <si>
    <t>000388</t>
  </si>
  <si>
    <t>EMANUEL ZAMORA</t>
  </si>
  <si>
    <t>000389</t>
  </si>
  <si>
    <t>EDGAR CRUZ</t>
  </si>
  <si>
    <t>000390</t>
  </si>
  <si>
    <t>OSCAR LEONIDEZ</t>
  </si>
  <si>
    <t>RAUL ENRIQUE</t>
  </si>
  <si>
    <t>FRESCO</t>
  </si>
  <si>
    <t>Naturasol</t>
  </si>
  <si>
    <t>Comision</t>
  </si>
  <si>
    <t>Ingresos Netos</t>
  </si>
  <si>
    <t>Costo Ciclo</t>
  </si>
  <si>
    <t>Utilidad Pronosticada</t>
  </si>
  <si>
    <t>NATURASOL 2026</t>
  </si>
  <si>
    <t>LIQUIDACIÓN</t>
  </si>
  <si>
    <t>PRODUCTOR: NORMAN</t>
  </si>
  <si>
    <t>FECHA: 20-abr-26</t>
  </si>
  <si>
    <t>REM PEF</t>
  </si>
  <si>
    <t>BODEGA</t>
  </si>
  <si>
    <t>ARPS</t>
  </si>
  <si>
    <t>KG EMB</t>
  </si>
  <si>
    <t>PENALIZAC</t>
  </si>
  <si>
    <t>KG A PAGAR</t>
  </si>
  <si>
    <t>02-mar-26</t>
  </si>
  <si>
    <t>NOR 1</t>
  </si>
  <si>
    <t>NORMAN</t>
  </si>
  <si>
    <t>NOR 2</t>
  </si>
  <si>
    <t>03-mar-26</t>
  </si>
  <si>
    <t>NOR 3</t>
  </si>
  <si>
    <t>NOR 4</t>
  </si>
  <si>
    <t>NOR 5</t>
  </si>
  <si>
    <t>04-mar-26</t>
  </si>
  <si>
    <t>NOR 6</t>
  </si>
  <si>
    <t>NOR 7</t>
  </si>
  <si>
    <t>NOR 8</t>
  </si>
  <si>
    <t>05-mar-26</t>
  </si>
  <si>
    <t>NOR 9</t>
  </si>
  <si>
    <t>NOR 10</t>
  </si>
  <si>
    <t>NOR 11</t>
  </si>
  <si>
    <t>06-mar-26</t>
  </si>
  <si>
    <t>NOR 12</t>
  </si>
  <si>
    <t>NOR 13</t>
  </si>
  <si>
    <t>NOR 14</t>
  </si>
  <si>
    <t>07-mar-26</t>
  </si>
  <si>
    <t>NOR 15</t>
  </si>
  <si>
    <t>NOR 16</t>
  </si>
  <si>
    <t>NOR 17</t>
  </si>
  <si>
    <t>08-mar-26</t>
  </si>
  <si>
    <t>NOR 18</t>
  </si>
  <si>
    <t>NOR 19</t>
  </si>
  <si>
    <t>NOR 20</t>
  </si>
  <si>
    <t>09-mar-26</t>
  </si>
  <si>
    <t>NOR 21</t>
  </si>
  <si>
    <t>NOR 22</t>
  </si>
  <si>
    <t>10-mar-26</t>
  </si>
  <si>
    <t>NOR 23</t>
  </si>
  <si>
    <t>NOR 24</t>
  </si>
  <si>
    <t>NOR 25</t>
  </si>
  <si>
    <t>NOR 26</t>
  </si>
  <si>
    <t>NOR 27</t>
  </si>
  <si>
    <t>NOR 28</t>
  </si>
  <si>
    <t>11-mar-26</t>
  </si>
  <si>
    <t>NOR 29</t>
  </si>
  <si>
    <t>NOR 30</t>
  </si>
  <si>
    <t>NOR 31</t>
  </si>
  <si>
    <t>12-mar-26</t>
  </si>
  <si>
    <t>NOR 32</t>
  </si>
  <si>
    <t>17-mar-26</t>
  </si>
  <si>
    <t>NOR 33</t>
  </si>
  <si>
    <t>NOR 34</t>
  </si>
  <si>
    <t>18-mar-26</t>
  </si>
  <si>
    <t>NOR 35</t>
  </si>
  <si>
    <t>NOR 36</t>
  </si>
  <si>
    <t>NOR 37</t>
  </si>
  <si>
    <t>NOR 38</t>
  </si>
  <si>
    <t>NOR 39</t>
  </si>
  <si>
    <t>19-mar-26</t>
  </si>
  <si>
    <t>NOR 40</t>
  </si>
  <si>
    <t>NOR 41</t>
  </si>
  <si>
    <t>NOR 42</t>
  </si>
  <si>
    <t>NOR 43</t>
  </si>
  <si>
    <t>20-mar-26</t>
  </si>
  <si>
    <t>NOR 44</t>
  </si>
  <si>
    <t>NOR 45</t>
  </si>
  <si>
    <t>NOR 46</t>
  </si>
  <si>
    <t>NOR 47</t>
  </si>
  <si>
    <t>NOR 48</t>
  </si>
  <si>
    <t>NOR 49</t>
  </si>
  <si>
    <t>21-mar-26</t>
  </si>
  <si>
    <t>NOR 50</t>
  </si>
  <si>
    <t>NOR 51</t>
  </si>
  <si>
    <t>NOR 52</t>
  </si>
  <si>
    <t>23-mar-26</t>
  </si>
  <si>
    <t>NOR 53</t>
  </si>
  <si>
    <t>NOR 54</t>
  </si>
  <si>
    <t>NOR 55</t>
  </si>
  <si>
    <t>NOR 56</t>
  </si>
  <si>
    <t>24-mar-26</t>
  </si>
  <si>
    <t>NOR 57</t>
  </si>
  <si>
    <t>NOR 58</t>
  </si>
  <si>
    <t>NOR 59</t>
  </si>
  <si>
    <t>NOR 60</t>
  </si>
  <si>
    <t>NOR 61</t>
  </si>
  <si>
    <t>25-mar-26</t>
  </si>
  <si>
    <t>NOR 62</t>
  </si>
  <si>
    <t>NOR 63</t>
  </si>
  <si>
    <t>NOR 64</t>
  </si>
  <si>
    <t>NOR 65</t>
  </si>
  <si>
    <t>NOR 66</t>
  </si>
  <si>
    <t>NOR 67</t>
  </si>
  <si>
    <t>NOR 68</t>
  </si>
  <si>
    <t>26-mar-26</t>
  </si>
  <si>
    <t>NOR 69</t>
  </si>
  <si>
    <t>NOR 70</t>
  </si>
  <si>
    <t>NOR 71</t>
  </si>
  <si>
    <t>NOR 72</t>
  </si>
  <si>
    <t>NOR 73</t>
  </si>
  <si>
    <t>NOR 74</t>
  </si>
  <si>
    <t>TOTALES</t>
  </si>
  <si>
    <t>KILOS</t>
  </si>
  <si>
    <t>P.U.</t>
  </si>
  <si>
    <t>IMPORTE</t>
  </si>
  <si>
    <t>MENOS COMISIÓN (10%)</t>
  </si>
  <si>
    <t>PENDIENTE DE PAGO</t>
  </si>
  <si>
    <t>TOTAL DE INGRESOS</t>
  </si>
  <si>
    <t>TOTAL EN BANCOS</t>
  </si>
  <si>
    <t>USO DE RECURSO</t>
  </si>
  <si>
    <t>LAKPA</t>
  </si>
  <si>
    <t>Fecha</t>
  </si>
  <si>
    <t>Concepto</t>
  </si>
  <si>
    <t>Importe</t>
  </si>
  <si>
    <t>BANORTE</t>
  </si>
  <si>
    <t>POLIZA BODEGAS</t>
  </si>
  <si>
    <t>BANORTE M5</t>
  </si>
  <si>
    <t>NOMINA SEMANAL</t>
  </si>
  <si>
    <t>Subtotal</t>
  </si>
  <si>
    <t>NOMINA CAMPO</t>
  </si>
  <si>
    <t>Gastos</t>
  </si>
  <si>
    <t>MONTACARGAS</t>
  </si>
  <si>
    <t>Gran total</t>
  </si>
  <si>
    <t>RECARGA EXTINTORES BODEGA</t>
  </si>
  <si>
    <t>Dif</t>
  </si>
  <si>
    <t>DESINFECCION BODEGAS</t>
  </si>
  <si>
    <t>AGRICOLA EL MORON AGROQUIMICOS</t>
  </si>
  <si>
    <t>INTERLLANTAS</t>
  </si>
  <si>
    <t>ALINSUMOS</t>
  </si>
  <si>
    <t>FELTE PAPA 26-27</t>
  </si>
  <si>
    <t>LIQ BEDAIN</t>
  </si>
  <si>
    <t>TINO</t>
  </si>
  <si>
    <t>TEPEYAC</t>
  </si>
  <si>
    <t>ACUAGRO</t>
  </si>
  <si>
    <t>BLANCHET</t>
  </si>
  <si>
    <t>SANISO</t>
  </si>
  <si>
    <t>FUMIGACIONES AVIONETA</t>
  </si>
  <si>
    <t>SERFERNO</t>
  </si>
  <si>
    <t>NOMINA DE CAMPO</t>
  </si>
  <si>
    <t>MATERIAL BODEGAS</t>
  </si>
  <si>
    <t>LLANTAS TRACTOR</t>
  </si>
  <si>
    <t>SERVIRIEGOS</t>
  </si>
  <si>
    <t>NOMINA QUINCENAL</t>
  </si>
  <si>
    <t>EDITH</t>
  </si>
  <si>
    <t>MENSUALIDAD PLANTA</t>
  </si>
  <si>
    <t>PAGO ISMAEL</t>
  </si>
  <si>
    <t>PAGO REX IRRIGACION</t>
  </si>
  <si>
    <t>TINO FLETE PAPA 25-26</t>
  </si>
  <si>
    <t>DOLARES BAJIOP PC</t>
  </si>
  <si>
    <t>DOLARES BAJIOP AMI</t>
  </si>
  <si>
    <t>DOLARES BAJIOP GH</t>
  </si>
  <si>
    <t>AGRICOLA ELMORON AGROQUIMICOS</t>
  </si>
  <si>
    <t>FERRETERIA</t>
  </si>
  <si>
    <t>FBJ FUMIGACIONES</t>
  </si>
  <si>
    <t>DIESEL TVBT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</si>
</sst>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&quot;/&quot;mm&quot;/&quot;yyyy"/>
    <numFmt numFmtId="165" formatCode="_-&quot;$&quot;* #,##0.00_-;_-&quot;$&quot;* \-#,##0.00_-;_-&quot;$&quot;* &quot;-&quot;??_-;_-@"/>
    <numFmt numFmtId="166" formatCode="d/m/yyyy"/>
    <numFmt numFmtId="167" formatCode="d/m/yy"/>
    <numFmt numFmtId="168" formatCode="d/m"/>
    <numFmt numFmtId="169" formatCode="_-&quot;$&quot;* #,##0.00_-;\-&quot;$&quot;* #,##0.00_-;_-&quot;$&quot;* &quot;-&quot;??_-;_-@"/>
    <numFmt numFmtId="170" formatCode="D/M/YYYY"/>
    <numFmt numFmtId="171" formatCode="dd/mm/yyyy"/>
    <numFmt numFmtId="172" formatCode="d/M/yyyy"/>
  </numFmts>
  <fonts count="28">
    <font>
      <sz val="10.0"/>
      <color rgb="FF000000"/>
      <name val="Arial"/>
      <scheme val="minor"/>
    </font>
    <font>
      <b/>
      <sz val="24.0"/>
      <color rgb="FFFFFFFF"/>
      <name val="Arial"/>
    </font>
    <font/>
    <font>
      <b/>
      <sz val="10.0"/>
      <color rgb="FFFFFFFF"/>
      <name val="Arial"/>
    </font>
    <font>
      <sz val="9.0"/>
      <color theme="1"/>
      <name val="Calibri"/>
    </font>
    <font>
      <u/>
      <sz val="9.0"/>
      <color theme="1"/>
      <name val="Calibri"/>
    </font>
    <font>
      <u/>
      <sz val="9.0"/>
      <color theme="1"/>
      <name val="Calibri"/>
    </font>
    <font>
      <sz val="10.0"/>
      <color rgb="FF000000"/>
      <name val="Arial"/>
    </font>
    <font>
      <u/>
      <sz val="9.0"/>
      <color theme="1"/>
      <name val="Calibri"/>
    </font>
    <font>
      <u/>
      <sz val="9.0"/>
      <color theme="1"/>
      <name val="Calibri"/>
    </font>
    <font>
      <b/>
      <sz val="27.0"/>
      <color rgb="FFFFFFFF"/>
      <name val="Arial"/>
    </font>
    <font>
      <color theme="1"/>
      <name val="Arial"/>
    </font>
    <font>
      <b/>
      <sz val="9.0"/>
      <color rgb="FF000000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sz val="10.0"/>
      <color theme="1"/>
      <name val="Arial"/>
    </font>
    <font>
      <sz val="9.0"/>
      <color theme="1"/>
      <name val="Arial"/>
    </font>
    <font>
      <sz val="10.0"/>
      <color theme="1"/>
      <name val="Arial"/>
    </font>
    <font>
      <b/>
      <sz val="9.0"/>
      <color theme="1"/>
      <name val="Arial"/>
    </font>
    <font>
      <b/>
      <sz val="14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b/>
      <sz val="11.0"/>
      <color rgb="FFFFFFFF"/>
      <name val="Calibri"/>
    </font>
    <font>
      <b/>
      <sz val="11.0"/>
      <color rgb="FFFF0000"/>
      <name val="Calibri"/>
    </font>
    <font>
      <b/>
      <color rgb="FFFFFFFF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  <fill>
      <patternFill patternType="solid">
        <fgColor rgb="FF000000"/>
        <bgColor rgb="FF000000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164" xfId="0" applyAlignment="1" applyBorder="1" applyFont="1" applyNumberFormat="1">
      <alignment horizontal="center"/>
    </xf>
    <xf borderId="7" fillId="2" fontId="3" numFmtId="165" xfId="0" applyAlignment="1" applyBorder="1" applyFont="1" applyNumberFormat="1">
      <alignment horizontal="center"/>
    </xf>
    <xf borderId="7" fillId="2" fontId="3" numFmtId="0" xfId="0" applyAlignment="1" applyBorder="1" applyFont="1">
      <alignment horizontal="center"/>
    </xf>
    <xf borderId="7" fillId="2" fontId="3" numFmtId="49" xfId="0" applyAlignment="1" applyBorder="1" applyFont="1" applyNumberFormat="1">
      <alignment horizontal="center"/>
    </xf>
    <xf borderId="7" fillId="3" fontId="4" numFmtId="166" xfId="0" applyAlignment="1" applyBorder="1" applyFill="1" applyFont="1" applyNumberFormat="1">
      <alignment horizontal="center"/>
    </xf>
    <xf borderId="7" fillId="3" fontId="4" numFmtId="165" xfId="0" applyAlignment="1" applyBorder="1" applyFont="1" applyNumberFormat="1">
      <alignment horizontal="center"/>
    </xf>
    <xf borderId="7" fillId="3" fontId="4" numFmtId="0" xfId="0" applyAlignment="1" applyBorder="1" applyFont="1">
      <alignment horizontal="center"/>
    </xf>
    <xf borderId="7" fillId="3" fontId="4" numFmtId="0" xfId="0" applyAlignment="1" applyBorder="1" applyFont="1">
      <alignment horizontal="center" vertical="center"/>
    </xf>
    <xf borderId="7" fillId="3" fontId="5" numFmtId="0" xfId="0" applyAlignment="1" applyBorder="1" applyFont="1">
      <alignment horizontal="center"/>
    </xf>
    <xf quotePrefix="1" borderId="7" fillId="3" fontId="4" numFmtId="49" xfId="0" applyAlignment="1" applyBorder="1" applyFont="1" applyNumberFormat="1">
      <alignment horizontal="center"/>
    </xf>
    <xf borderId="7" fillId="3" fontId="6" numFmtId="49" xfId="0" applyAlignment="1" applyBorder="1" applyFont="1" applyNumberFormat="1">
      <alignment horizontal="center"/>
    </xf>
    <xf borderId="7" fillId="3" fontId="4" numFmtId="49" xfId="0" applyAlignment="1" applyBorder="1" applyFont="1" applyNumberFormat="1">
      <alignment horizontal="center"/>
    </xf>
    <xf borderId="8" fillId="3" fontId="4" numFmtId="166" xfId="0" applyAlignment="1" applyBorder="1" applyFont="1" applyNumberFormat="1">
      <alignment horizontal="center"/>
    </xf>
    <xf borderId="9" fillId="3" fontId="4" numFmtId="49" xfId="0" applyAlignment="1" applyBorder="1" applyFont="1" applyNumberFormat="1">
      <alignment horizontal="center"/>
    </xf>
    <xf borderId="10" fillId="3" fontId="4" numFmtId="166" xfId="0" applyAlignment="1" applyBorder="1" applyFont="1" applyNumberFormat="1">
      <alignment horizontal="center"/>
    </xf>
    <xf borderId="11" fillId="3" fontId="4" numFmtId="49" xfId="0" applyAlignment="1" applyBorder="1" applyFont="1" applyNumberFormat="1">
      <alignment horizontal="center"/>
    </xf>
    <xf borderId="9" fillId="3" fontId="7" numFmtId="0" xfId="0" applyAlignment="1" applyBorder="1" applyFont="1">
      <alignment horizontal="center"/>
    </xf>
    <xf borderId="0" fillId="3" fontId="4" numFmtId="49" xfId="0" applyAlignment="1" applyFont="1" applyNumberFormat="1">
      <alignment horizontal="center"/>
    </xf>
    <xf borderId="8" fillId="3" fontId="4" numFmtId="166" xfId="0" applyAlignment="1" applyBorder="1" applyFont="1" applyNumberFormat="1">
      <alignment horizontal="center" readingOrder="0"/>
    </xf>
    <xf borderId="7" fillId="3" fontId="4" numFmtId="165" xfId="0" applyAlignment="1" applyBorder="1" applyFont="1" applyNumberFormat="1">
      <alignment horizontal="center" readingOrder="0"/>
    </xf>
    <xf borderId="7" fillId="3" fontId="4" numFmtId="49" xfId="0" applyAlignment="1" applyBorder="1" applyFont="1" applyNumberFormat="1">
      <alignment horizontal="center" readingOrder="0"/>
    </xf>
    <xf borderId="7" fillId="3" fontId="4" numFmtId="0" xfId="0" applyAlignment="1" applyBorder="1" applyFont="1">
      <alignment horizontal="center" readingOrder="0"/>
    </xf>
    <xf borderId="7" fillId="3" fontId="4" numFmtId="0" xfId="0" applyAlignment="1" applyBorder="1" applyFont="1">
      <alignment horizontal="center" readingOrder="0" vertical="center"/>
    </xf>
    <xf borderId="7" fillId="3" fontId="8" numFmtId="0" xfId="0" applyAlignment="1" applyBorder="1" applyFont="1">
      <alignment horizontal="center" readingOrder="0"/>
    </xf>
    <xf borderId="9" fillId="3" fontId="4" numFmtId="49" xfId="0" applyAlignment="1" applyBorder="1" applyFont="1" applyNumberFormat="1">
      <alignment horizontal="center" readingOrder="0"/>
    </xf>
    <xf borderId="9" fillId="3" fontId="4" numFmtId="0" xfId="0" applyAlignment="1" applyBorder="1" applyFont="1">
      <alignment horizontal="center" readingOrder="0"/>
    </xf>
    <xf borderId="8" fillId="3" fontId="4" numFmtId="167" xfId="0" applyAlignment="1" applyBorder="1" applyFont="1" applyNumberFormat="1">
      <alignment horizontal="center" readingOrder="0"/>
    </xf>
    <xf borderId="7" fillId="3" fontId="4" numFmtId="168" xfId="0" applyAlignment="1" applyBorder="1" applyFont="1" applyNumberFormat="1">
      <alignment horizontal="center" readingOrder="0"/>
    </xf>
    <xf borderId="7" fillId="3" fontId="4" numFmtId="0" xfId="0" applyAlignment="1" applyBorder="1" applyFont="1">
      <alignment horizontal="center" readingOrder="0"/>
    </xf>
    <xf borderId="7" fillId="0" fontId="4" numFmtId="166" xfId="0" applyAlignment="1" applyBorder="1" applyFont="1" applyNumberFormat="1">
      <alignment horizontal="center"/>
    </xf>
    <xf borderId="7" fillId="0" fontId="4" numFmtId="165" xfId="0" applyAlignment="1" applyBorder="1" applyFont="1" applyNumberFormat="1">
      <alignment horizontal="center"/>
    </xf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/>
    </xf>
    <xf borderId="7" fillId="0" fontId="4" numFmtId="49" xfId="0" applyAlignment="1" applyBorder="1" applyFont="1" applyNumberFormat="1">
      <alignment horizontal="center"/>
    </xf>
    <xf borderId="12" fillId="4" fontId="10" numFmtId="0" xfId="0" applyAlignment="1" applyBorder="1" applyFill="1" applyFont="1">
      <alignment horizontal="center" readingOrder="0"/>
    </xf>
    <xf borderId="13" fillId="0" fontId="2" numFmtId="0" xfId="0" applyBorder="1" applyFont="1"/>
    <xf borderId="14" fillId="0" fontId="2" numFmtId="0" xfId="0" applyBorder="1" applyFont="1"/>
    <xf borderId="0" fillId="0" fontId="11" numFmtId="0" xfId="0" applyFont="1"/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vertical="center"/>
    </xf>
    <xf borderId="0" fillId="0" fontId="12" numFmtId="169" xfId="0" applyAlignment="1" applyFont="1" applyNumberFormat="1">
      <alignment horizontal="center" readingOrder="0" vertical="center"/>
    </xf>
    <xf borderId="0" fillId="0" fontId="16" numFmtId="49" xfId="0" applyAlignment="1" applyFont="1" applyNumberFormat="1">
      <alignment horizontal="center" readingOrder="0"/>
    </xf>
    <xf borderId="0" fillId="0" fontId="16" numFmtId="170" xfId="0" applyAlignment="1" applyFont="1" applyNumberFormat="1">
      <alignment horizontal="center" readingOrder="0"/>
    </xf>
    <xf borderId="0" fillId="0" fontId="16" numFmtId="0" xfId="0" applyAlignment="1" applyFont="1">
      <alignment horizontal="center" readingOrder="0"/>
    </xf>
    <xf borderId="0" fillId="0" fontId="16" numFmtId="3" xfId="0" applyAlignment="1" applyFont="1" applyNumberFormat="1">
      <alignment horizontal="center" readingOrder="0"/>
    </xf>
    <xf borderId="0" fillId="0" fontId="16" numFmtId="0" xfId="0" applyAlignment="1" applyFont="1">
      <alignment horizontal="center"/>
    </xf>
    <xf borderId="0" fillId="0" fontId="16" numFmtId="165" xfId="0" applyAlignment="1" applyFont="1" applyNumberFormat="1">
      <alignment horizontal="center" readingOrder="0"/>
    </xf>
    <xf borderId="0" fillId="0" fontId="16" numFmtId="169" xfId="0" applyAlignment="1" applyFont="1" applyNumberFormat="1">
      <alignment horizontal="center" readingOrder="0"/>
    </xf>
    <xf borderId="0" fillId="0" fontId="16" numFmtId="169" xfId="0" applyAlignment="1" applyFont="1" applyNumberFormat="1">
      <alignment horizontal="center"/>
    </xf>
    <xf borderId="0" fillId="0" fontId="16" numFmtId="0" xfId="0" applyFont="1"/>
    <xf borderId="15" fillId="0" fontId="16" numFmtId="0" xfId="0" applyAlignment="1" applyBorder="1" applyFont="1">
      <alignment horizontal="center" readingOrder="0"/>
    </xf>
    <xf borderId="15" fillId="0" fontId="16" numFmtId="0" xfId="0" applyAlignment="1" applyBorder="1" applyFont="1">
      <alignment horizontal="center"/>
    </xf>
    <xf borderId="15" fillId="0" fontId="16" numFmtId="170" xfId="0" applyAlignment="1" applyBorder="1" applyFont="1" applyNumberFormat="1">
      <alignment horizontal="center" readingOrder="0"/>
    </xf>
    <xf borderId="15" fillId="0" fontId="16" numFmtId="165" xfId="0" applyAlignment="1" applyBorder="1" applyFont="1" applyNumberFormat="1">
      <alignment horizontal="center" readingOrder="0"/>
    </xf>
    <xf borderId="15" fillId="5" fontId="16" numFmtId="0" xfId="0" applyBorder="1" applyFill="1" applyFont="1"/>
    <xf borderId="0" fillId="0" fontId="16" numFmtId="170" xfId="0" applyAlignment="1" applyFont="1" applyNumberFormat="1">
      <alignment horizontal="center"/>
    </xf>
    <xf borderId="15" fillId="0" fontId="16" numFmtId="170" xfId="0" applyAlignment="1" applyBorder="1" applyFont="1" applyNumberFormat="1">
      <alignment horizontal="center"/>
    </xf>
    <xf borderId="0" fillId="6" fontId="16" numFmtId="49" xfId="0" applyAlignment="1" applyFill="1" applyFont="1" applyNumberFormat="1">
      <alignment horizontal="center" readingOrder="0"/>
    </xf>
    <xf borderId="0" fillId="6" fontId="16" numFmtId="170" xfId="0" applyAlignment="1" applyFont="1" applyNumberFormat="1">
      <alignment horizontal="center" readingOrder="0"/>
    </xf>
    <xf borderId="0" fillId="6" fontId="16" numFmtId="0" xfId="0" applyAlignment="1" applyFont="1">
      <alignment horizontal="center"/>
    </xf>
    <xf borderId="0" fillId="6" fontId="16" numFmtId="0" xfId="0" applyAlignment="1" applyFont="1">
      <alignment horizontal="center" readingOrder="0"/>
    </xf>
    <xf borderId="0" fillId="6" fontId="16" numFmtId="3" xfId="0" applyAlignment="1" applyFont="1" applyNumberFormat="1">
      <alignment horizontal="center" readingOrder="0"/>
    </xf>
    <xf borderId="15" fillId="6" fontId="16" numFmtId="0" xfId="0" applyAlignment="1" applyBorder="1" applyFont="1">
      <alignment horizontal="center" readingOrder="0"/>
    </xf>
    <xf borderId="15" fillId="6" fontId="16" numFmtId="0" xfId="0" applyAlignment="1" applyBorder="1" applyFont="1">
      <alignment horizontal="center"/>
    </xf>
    <xf borderId="15" fillId="6" fontId="16" numFmtId="170" xfId="0" applyAlignment="1" applyBorder="1" applyFont="1" applyNumberFormat="1">
      <alignment horizontal="center" readingOrder="0"/>
    </xf>
    <xf borderId="15" fillId="6" fontId="16" numFmtId="165" xfId="0" applyAlignment="1" applyBorder="1" applyFont="1" applyNumberFormat="1">
      <alignment horizontal="center" readingOrder="0"/>
    </xf>
    <xf borderId="0" fillId="6" fontId="16" numFmtId="165" xfId="0" applyAlignment="1" applyFont="1" applyNumberFormat="1">
      <alignment horizontal="center" readingOrder="0"/>
    </xf>
    <xf borderId="0" fillId="6" fontId="16" numFmtId="170" xfId="0" applyAlignment="1" applyFont="1" applyNumberFormat="1">
      <alignment horizontal="center"/>
    </xf>
    <xf borderId="0" fillId="6" fontId="16" numFmtId="169" xfId="0" applyAlignment="1" applyFont="1" applyNumberFormat="1">
      <alignment horizontal="center"/>
    </xf>
    <xf borderId="0" fillId="6" fontId="16" numFmtId="169" xfId="0" applyAlignment="1" applyFont="1" applyNumberFormat="1">
      <alignment horizontal="center" readingOrder="0"/>
    </xf>
    <xf borderId="0" fillId="6" fontId="16" numFmtId="0" xfId="0" applyFont="1"/>
    <xf borderId="0" fillId="0" fontId="15" numFmtId="4" xfId="0" applyAlignment="1" applyFont="1" applyNumberFormat="1">
      <alignment horizontal="center"/>
    </xf>
    <xf borderId="0" fillId="0" fontId="7" numFmtId="4" xfId="0" applyAlignment="1" applyFont="1" applyNumberFormat="1">
      <alignment horizontal="center" readingOrder="0"/>
    </xf>
    <xf borderId="0" fillId="0" fontId="17" numFmtId="4" xfId="0" applyAlignment="1" applyFont="1" applyNumberFormat="1">
      <alignment horizontal="center"/>
    </xf>
    <xf borderId="0" fillId="0" fontId="16" numFmtId="0" xfId="0" applyAlignment="1" applyFont="1">
      <alignment horizontal="center"/>
    </xf>
    <xf borderId="0" fillId="0" fontId="16" numFmtId="171" xfId="0" applyAlignment="1" applyFont="1" applyNumberFormat="1">
      <alignment horizontal="center" readingOrder="0"/>
    </xf>
    <xf borderId="0" fillId="0" fontId="18" numFmtId="4" xfId="0" applyAlignment="1" applyFont="1" applyNumberFormat="1">
      <alignment horizontal="center"/>
    </xf>
    <xf borderId="0" fillId="0" fontId="16" numFmtId="0" xfId="0" applyFont="1"/>
    <xf borderId="0" fillId="0" fontId="7" numFmtId="169" xfId="0" applyFont="1" applyNumberFormat="1"/>
    <xf borderId="0" fillId="0" fontId="11" numFmtId="0" xfId="0" applyAlignment="1" applyFont="1">
      <alignment horizontal="center"/>
    </xf>
    <xf borderId="0" fillId="0" fontId="7" numFmtId="169" xfId="0" applyAlignment="1" applyFont="1" applyNumberFormat="1">
      <alignment horizontal="center"/>
    </xf>
    <xf borderId="0" fillId="0" fontId="17" numFmtId="3" xfId="0" applyFont="1" applyNumberFormat="1"/>
    <xf borderId="0" fillId="0" fontId="17" numFmtId="165" xfId="0" applyFont="1" applyNumberFormat="1"/>
    <xf borderId="0" fillId="0" fontId="11" numFmtId="4" xfId="0" applyFont="1" applyNumberFormat="1"/>
    <xf borderId="0" fillId="0" fontId="11" numFmtId="0" xfId="0" applyAlignment="1" applyFont="1">
      <alignment horizontal="right" readingOrder="0"/>
    </xf>
    <xf borderId="0" fillId="0" fontId="11" numFmtId="165" xfId="0" applyFont="1" applyNumberFormat="1"/>
    <xf borderId="0" fillId="0" fontId="11" numFmtId="3" xfId="0" applyAlignment="1" applyFont="1" applyNumberFormat="1">
      <alignment readingOrder="0"/>
    </xf>
    <xf borderId="0" fillId="0" fontId="19" numFmtId="0" xfId="0" applyFont="1"/>
    <xf borderId="0" fillId="0" fontId="20" numFmtId="0" xfId="0" applyFont="1"/>
    <xf borderId="0" fillId="0" fontId="21" numFmtId="0" xfId="0" applyFont="1"/>
    <xf borderId="0" fillId="0" fontId="22" numFmtId="0" xfId="0" applyFont="1"/>
    <xf borderId="15" fillId="7" fontId="23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right"/>
    </xf>
    <xf borderId="0" fillId="0" fontId="7" numFmtId="4" xfId="0" applyAlignment="1" applyFont="1" applyNumberFormat="1">
      <alignment horizontal="right"/>
    </xf>
    <xf borderId="15" fillId="8" fontId="21" numFmtId="0" xfId="0" applyBorder="1" applyFill="1" applyFont="1"/>
    <xf borderId="15" fillId="8" fontId="21" numFmtId="4" xfId="0" applyBorder="1" applyFont="1" applyNumberFormat="1"/>
    <xf borderId="0" fillId="0" fontId="7" numFmtId="4" xfId="0" applyFont="1" applyNumberFormat="1"/>
    <xf borderId="0" fillId="0" fontId="24" numFmtId="4" xfId="0" applyFont="1" applyNumberFormat="1"/>
    <xf borderId="0" fillId="9" fontId="25" numFmtId="0" xfId="0" applyAlignment="1" applyFill="1" applyFont="1">
      <alignment horizontal="right" readingOrder="0"/>
    </xf>
    <xf borderId="0" fillId="9" fontId="25" numFmtId="165" xfId="0" applyFont="1" applyNumberFormat="1"/>
    <xf borderId="0" fillId="0" fontId="22" numFmtId="0" xfId="0" applyAlignment="1" applyFont="1">
      <alignment readingOrder="0"/>
    </xf>
    <xf borderId="0" fillId="9" fontId="25" numFmtId="0" xfId="0" applyAlignment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0" fontId="26" numFmtId="0" xfId="0" applyAlignment="1" applyFont="1">
      <alignment horizontal="right" readingOrder="0"/>
    </xf>
    <xf borderId="0" fillId="0" fontId="22" numFmtId="165" xfId="0" applyAlignment="1" applyFont="1" applyNumberFormat="1">
      <alignment readingOrder="0"/>
    </xf>
    <xf borderId="0" fillId="0" fontId="26" numFmtId="0" xfId="0" applyFont="1"/>
    <xf borderId="0" fillId="9" fontId="27" numFmtId="0" xfId="0" applyAlignment="1" applyFont="1">
      <alignment horizontal="center" readingOrder="0"/>
    </xf>
    <xf borderId="0" fillId="9" fontId="27" numFmtId="165" xfId="0" applyAlignment="1" applyFont="1" applyNumberFormat="1">
      <alignment horizontal="center" readingOrder="0"/>
    </xf>
    <xf borderId="0" fillId="0" fontId="22" numFmtId="165" xfId="0" applyFont="1" applyNumberFormat="1"/>
    <xf borderId="0" fillId="0" fontId="22" numFmtId="172" xfId="0" applyAlignment="1" applyFont="1" applyNumberFormat="1">
      <alignment horizontal="center" readingOrder="0"/>
    </xf>
    <xf borderId="0" fillId="0" fontId="22" numFmtId="165" xfId="0" applyAlignment="1" applyFont="1" applyNumberFormat="1">
      <alignment horizontal="center" readingOrder="0"/>
    </xf>
    <xf borderId="0" fillId="0" fontId="26" numFmtId="165" xfId="0" applyFont="1" applyNumberFormat="1"/>
    <xf borderId="0" fillId="0" fontId="22" numFmtId="0" xfId="0" applyAlignment="1" applyFont="1">
      <alignment horizontal="right" readingOrder="0"/>
    </xf>
    <xf borderId="0" fillId="0" fontId="22" numFmtId="165" xfId="0" applyAlignment="1" applyFont="1" applyNumberFormat="1">
      <alignment horizontal="center"/>
    </xf>
    <xf borderId="0" fillId="0" fontId="22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2" width="18.63"/>
    <col customWidth="1" min="3" max="3" width="16.88"/>
    <col customWidth="1" min="4" max="4" width="20.63"/>
    <col customWidth="1" min="5" max="5" width="16.88"/>
    <col customWidth="1" min="6" max="6" width="19.63"/>
    <col customWidth="1" min="7" max="7" width="15.38"/>
    <col customWidth="1" min="8" max="8" width="13.13"/>
    <col customWidth="1" min="9" max="9" width="18.63"/>
    <col customWidth="1" min="10" max="10" width="14.75"/>
    <col customWidth="1" min="11" max="26" width="9.13"/>
  </cols>
  <sheetData>
    <row r="1" ht="12.75" customHeight="1"/>
    <row r="2" ht="12.75" customHeight="1">
      <c r="B2" s="1" t="s">
        <v>0</v>
      </c>
      <c r="C2" s="2"/>
      <c r="D2" s="2"/>
      <c r="E2" s="2"/>
      <c r="F2" s="2"/>
      <c r="G2" s="2"/>
      <c r="H2" s="2"/>
      <c r="I2" s="2"/>
      <c r="J2" s="3"/>
    </row>
    <row r="3" ht="12.75" customHeight="1">
      <c r="B3" s="4"/>
      <c r="C3" s="5"/>
      <c r="D3" s="5"/>
      <c r="E3" s="5"/>
      <c r="F3" s="5"/>
      <c r="G3" s="5"/>
      <c r="H3" s="5"/>
      <c r="I3" s="5"/>
      <c r="J3" s="6"/>
    </row>
    <row r="4" ht="12.75" customHeight="1">
      <c r="B4" s="7" t="s">
        <v>1</v>
      </c>
      <c r="C4" s="8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10" t="s">
        <v>8</v>
      </c>
      <c r="J4" s="9" t="s">
        <v>9</v>
      </c>
    </row>
    <row r="5" ht="12.75" customHeight="1">
      <c r="B5" s="11">
        <v>46086.0</v>
      </c>
      <c r="C5" s="12">
        <v>50000.0</v>
      </c>
      <c r="D5" s="13" t="s">
        <v>10</v>
      </c>
      <c r="E5" s="13" t="s">
        <v>11</v>
      </c>
      <c r="F5" s="13" t="s">
        <v>12</v>
      </c>
      <c r="G5" s="14" t="s">
        <v>13</v>
      </c>
      <c r="H5" s="13" t="s">
        <v>14</v>
      </c>
      <c r="I5" s="15" t="s">
        <v>15</v>
      </c>
      <c r="J5" s="16" t="s">
        <v>16</v>
      </c>
    </row>
    <row r="6" ht="12.75" customHeight="1">
      <c r="B6" s="11">
        <v>46086.0</v>
      </c>
      <c r="C6" s="12">
        <v>50000.0</v>
      </c>
      <c r="D6" s="13" t="s">
        <v>10</v>
      </c>
      <c r="E6" s="13" t="s">
        <v>11</v>
      </c>
      <c r="F6" s="13" t="s">
        <v>12</v>
      </c>
      <c r="G6" s="14" t="s">
        <v>13</v>
      </c>
      <c r="H6" s="13" t="s">
        <v>14</v>
      </c>
      <c r="I6" s="15" t="s">
        <v>15</v>
      </c>
      <c r="J6" s="16" t="s">
        <v>16</v>
      </c>
    </row>
    <row r="7" ht="12.75" customHeight="1">
      <c r="B7" s="11">
        <v>46086.0</v>
      </c>
      <c r="C7" s="12">
        <v>50000.0</v>
      </c>
      <c r="D7" s="13" t="s">
        <v>10</v>
      </c>
      <c r="E7" s="13" t="s">
        <v>17</v>
      </c>
      <c r="F7" s="13" t="s">
        <v>12</v>
      </c>
      <c r="G7" s="14" t="s">
        <v>13</v>
      </c>
      <c r="H7" s="13" t="s">
        <v>14</v>
      </c>
      <c r="I7" s="15" t="s">
        <v>15</v>
      </c>
      <c r="J7" s="16" t="s">
        <v>16</v>
      </c>
    </row>
    <row r="8" ht="12.75" customHeight="1">
      <c r="B8" s="11">
        <v>46086.0</v>
      </c>
      <c r="C8" s="12">
        <v>50000.0</v>
      </c>
      <c r="D8" s="13" t="s">
        <v>10</v>
      </c>
      <c r="E8" s="13" t="s">
        <v>17</v>
      </c>
      <c r="F8" s="13" t="s">
        <v>12</v>
      </c>
      <c r="G8" s="14" t="s">
        <v>13</v>
      </c>
      <c r="H8" s="13" t="s">
        <v>14</v>
      </c>
      <c r="I8" s="15" t="s">
        <v>15</v>
      </c>
      <c r="J8" s="16" t="s">
        <v>16</v>
      </c>
    </row>
    <row r="9" ht="12.75" customHeight="1">
      <c r="B9" s="11">
        <v>46086.0</v>
      </c>
      <c r="C9" s="12">
        <v>50000.0</v>
      </c>
      <c r="D9" s="13" t="s">
        <v>10</v>
      </c>
      <c r="E9" s="13" t="s">
        <v>18</v>
      </c>
      <c r="F9" s="13" t="s">
        <v>12</v>
      </c>
      <c r="G9" s="14" t="s">
        <v>13</v>
      </c>
      <c r="H9" s="13" t="s">
        <v>14</v>
      </c>
      <c r="I9" s="15" t="s">
        <v>15</v>
      </c>
      <c r="J9" s="16" t="s">
        <v>16</v>
      </c>
    </row>
    <row r="10" ht="12.75" customHeight="1">
      <c r="B10" s="11">
        <v>46086.0</v>
      </c>
      <c r="C10" s="12">
        <v>50000.0</v>
      </c>
      <c r="D10" s="13" t="s">
        <v>10</v>
      </c>
      <c r="E10" s="13" t="s">
        <v>18</v>
      </c>
      <c r="F10" s="13" t="s">
        <v>12</v>
      </c>
      <c r="G10" s="14" t="s">
        <v>13</v>
      </c>
      <c r="H10" s="13" t="s">
        <v>14</v>
      </c>
      <c r="I10" s="15" t="s">
        <v>15</v>
      </c>
      <c r="J10" s="16" t="s">
        <v>16</v>
      </c>
    </row>
    <row r="11" ht="12.75" customHeight="1">
      <c r="B11" s="11">
        <v>46090.0</v>
      </c>
      <c r="C11" s="12">
        <v>200000.0</v>
      </c>
      <c r="D11" s="13" t="s">
        <v>19</v>
      </c>
      <c r="E11" s="13" t="s">
        <v>12</v>
      </c>
      <c r="F11" s="13" t="s">
        <v>12</v>
      </c>
      <c r="G11" s="14" t="s">
        <v>20</v>
      </c>
      <c r="H11" s="13" t="s">
        <v>14</v>
      </c>
      <c r="I11" s="15" t="s">
        <v>15</v>
      </c>
      <c r="J11" s="17" t="s">
        <v>21</v>
      </c>
    </row>
    <row r="12" ht="12.75" customHeight="1">
      <c r="B12" s="11">
        <v>46090.0</v>
      </c>
      <c r="C12" s="12">
        <v>300000.0</v>
      </c>
      <c r="D12" s="13" t="s">
        <v>22</v>
      </c>
      <c r="E12" s="13" t="s">
        <v>23</v>
      </c>
      <c r="F12" s="13" t="s">
        <v>22</v>
      </c>
      <c r="G12" s="14" t="s">
        <v>20</v>
      </c>
      <c r="H12" s="13" t="s">
        <v>14</v>
      </c>
      <c r="I12" s="15" t="s">
        <v>15</v>
      </c>
      <c r="J12" s="17" t="s">
        <v>24</v>
      </c>
    </row>
    <row r="13" ht="12.75" customHeight="1">
      <c r="B13" s="11">
        <v>46091.0</v>
      </c>
      <c r="C13" s="12">
        <v>75340.0</v>
      </c>
      <c r="D13" s="13" t="s">
        <v>10</v>
      </c>
      <c r="E13" s="13" t="s">
        <v>11</v>
      </c>
      <c r="F13" s="13" t="s">
        <v>12</v>
      </c>
      <c r="G13" s="14" t="s">
        <v>25</v>
      </c>
      <c r="H13" s="13" t="s">
        <v>14</v>
      </c>
      <c r="I13" s="15" t="s">
        <v>15</v>
      </c>
      <c r="J13" s="16" t="s">
        <v>16</v>
      </c>
    </row>
    <row r="14" ht="12.75" customHeight="1">
      <c r="B14" s="11">
        <v>46091.0</v>
      </c>
      <c r="C14" s="12">
        <v>70000.0</v>
      </c>
      <c r="D14" s="13" t="s">
        <v>10</v>
      </c>
      <c r="E14" s="13" t="s">
        <v>17</v>
      </c>
      <c r="F14" s="13" t="s">
        <v>12</v>
      </c>
      <c r="G14" s="14" t="s">
        <v>25</v>
      </c>
      <c r="H14" s="13" t="s">
        <v>14</v>
      </c>
      <c r="I14" s="15" t="s">
        <v>15</v>
      </c>
      <c r="J14" s="16" t="s">
        <v>16</v>
      </c>
    </row>
    <row r="15" ht="12.75" customHeight="1">
      <c r="B15" s="11">
        <v>46091.0</v>
      </c>
      <c r="C15" s="12">
        <v>70000.0</v>
      </c>
      <c r="D15" s="13" t="s">
        <v>10</v>
      </c>
      <c r="E15" s="13" t="s">
        <v>18</v>
      </c>
      <c r="F15" s="13" t="s">
        <v>12</v>
      </c>
      <c r="G15" s="14" t="s">
        <v>25</v>
      </c>
      <c r="H15" s="13" t="s">
        <v>14</v>
      </c>
      <c r="I15" s="15" t="s">
        <v>15</v>
      </c>
      <c r="J15" s="16" t="s">
        <v>16</v>
      </c>
    </row>
    <row r="16" ht="12.75" customHeight="1">
      <c r="B16" s="11">
        <v>46093.0</v>
      </c>
      <c r="C16" s="12">
        <v>414920.0</v>
      </c>
      <c r="D16" s="18" t="s">
        <v>26</v>
      </c>
      <c r="E16" s="13" t="s">
        <v>11</v>
      </c>
      <c r="F16" s="13" t="s">
        <v>12</v>
      </c>
      <c r="G16" s="14" t="s">
        <v>25</v>
      </c>
      <c r="H16" s="13" t="s">
        <v>14</v>
      </c>
      <c r="I16" s="15" t="s">
        <v>15</v>
      </c>
      <c r="J16" s="17" t="s">
        <v>27</v>
      </c>
    </row>
    <row r="17" ht="12.75" customHeight="1">
      <c r="B17" s="11">
        <v>46100.0</v>
      </c>
      <c r="C17" s="12">
        <v>91050.0</v>
      </c>
      <c r="D17" s="18" t="s">
        <v>28</v>
      </c>
      <c r="E17" s="13" t="s">
        <v>23</v>
      </c>
      <c r="F17" s="13" t="s">
        <v>22</v>
      </c>
      <c r="G17" s="14" t="s">
        <v>29</v>
      </c>
      <c r="H17" s="13" t="s">
        <v>14</v>
      </c>
      <c r="I17" s="15" t="s">
        <v>30</v>
      </c>
      <c r="J17" s="17" t="s">
        <v>31</v>
      </c>
    </row>
    <row r="18" ht="12.75" customHeight="1">
      <c r="B18" s="11">
        <v>46100.0</v>
      </c>
      <c r="C18" s="12">
        <v>417600.0</v>
      </c>
      <c r="D18" s="18" t="s">
        <v>32</v>
      </c>
      <c r="E18" s="13" t="s">
        <v>23</v>
      </c>
      <c r="F18" s="13" t="s">
        <v>22</v>
      </c>
      <c r="G18" s="14" t="s">
        <v>33</v>
      </c>
      <c r="H18" s="13" t="s">
        <v>34</v>
      </c>
      <c r="I18" s="15" t="s">
        <v>30</v>
      </c>
      <c r="J18" s="17" t="s">
        <v>35</v>
      </c>
    </row>
    <row r="19" ht="12.75" customHeight="1">
      <c r="B19" s="11">
        <v>46101.0</v>
      </c>
      <c r="C19" s="12">
        <v>350000.0</v>
      </c>
      <c r="D19" s="18" t="s">
        <v>36</v>
      </c>
      <c r="E19" s="13" t="s">
        <v>23</v>
      </c>
      <c r="F19" s="13" t="s">
        <v>22</v>
      </c>
      <c r="G19" s="14" t="s">
        <v>29</v>
      </c>
      <c r="H19" s="13" t="s">
        <v>34</v>
      </c>
      <c r="I19" s="15" t="s">
        <v>30</v>
      </c>
      <c r="J19" s="17" t="s">
        <v>31</v>
      </c>
    </row>
    <row r="20" ht="12.75" customHeight="1">
      <c r="B20" s="11">
        <v>46102.0</v>
      </c>
      <c r="C20" s="12">
        <v>400000.0</v>
      </c>
      <c r="D20" s="18" t="s">
        <v>37</v>
      </c>
      <c r="E20" s="13" t="s">
        <v>18</v>
      </c>
      <c r="F20" s="13" t="s">
        <v>12</v>
      </c>
      <c r="G20" s="14" t="s">
        <v>38</v>
      </c>
      <c r="H20" s="13" t="s">
        <v>34</v>
      </c>
      <c r="I20" s="15" t="s">
        <v>15</v>
      </c>
      <c r="J20" s="17" t="s">
        <v>39</v>
      </c>
    </row>
    <row r="21" ht="12.75" customHeight="1">
      <c r="B21" s="11">
        <v>46104.0</v>
      </c>
      <c r="C21" s="12">
        <v>490500.0</v>
      </c>
      <c r="D21" s="18" t="s">
        <v>40</v>
      </c>
      <c r="E21" s="13" t="s">
        <v>23</v>
      </c>
      <c r="F21" s="13" t="s">
        <v>22</v>
      </c>
      <c r="G21" s="14" t="s">
        <v>41</v>
      </c>
      <c r="H21" s="13" t="s">
        <v>14</v>
      </c>
      <c r="I21" s="15" t="s">
        <v>30</v>
      </c>
      <c r="J21" s="17" t="s">
        <v>42</v>
      </c>
    </row>
    <row r="22" ht="12.75" customHeight="1">
      <c r="B22" s="19">
        <v>46106.0</v>
      </c>
      <c r="C22" s="12">
        <v>100000.0</v>
      </c>
      <c r="D22" s="18" t="s">
        <v>43</v>
      </c>
      <c r="E22" s="13" t="s">
        <v>44</v>
      </c>
      <c r="F22" s="13" t="s">
        <v>22</v>
      </c>
      <c r="G22" s="18" t="s">
        <v>45</v>
      </c>
      <c r="H22" s="13" t="s">
        <v>14</v>
      </c>
      <c r="I22" s="15" t="s">
        <v>15</v>
      </c>
      <c r="J22" s="20" t="s">
        <v>46</v>
      </c>
    </row>
    <row r="23" ht="12.75" customHeight="1">
      <c r="B23" s="19">
        <v>46106.0</v>
      </c>
      <c r="C23" s="12">
        <v>100000.0</v>
      </c>
      <c r="D23" s="18" t="s">
        <v>43</v>
      </c>
      <c r="E23" s="13" t="s">
        <v>44</v>
      </c>
      <c r="F23" s="13" t="s">
        <v>22</v>
      </c>
      <c r="G23" s="18" t="s">
        <v>45</v>
      </c>
      <c r="H23" s="13" t="s">
        <v>14</v>
      </c>
      <c r="I23" s="15" t="s">
        <v>15</v>
      </c>
      <c r="J23" s="20" t="s">
        <v>46</v>
      </c>
    </row>
    <row r="24" ht="12.75" customHeight="1">
      <c r="B24" s="19">
        <v>46106.0</v>
      </c>
      <c r="C24" s="12">
        <v>100000.0</v>
      </c>
      <c r="D24" s="18" t="s">
        <v>43</v>
      </c>
      <c r="E24" s="13" t="s">
        <v>44</v>
      </c>
      <c r="F24" s="13" t="s">
        <v>22</v>
      </c>
      <c r="G24" s="18" t="s">
        <v>45</v>
      </c>
      <c r="H24" s="13" t="s">
        <v>14</v>
      </c>
      <c r="I24" s="15" t="s">
        <v>15</v>
      </c>
      <c r="J24" s="20" t="s">
        <v>46</v>
      </c>
    </row>
    <row r="25" ht="12.75" customHeight="1">
      <c r="B25" s="19">
        <v>46106.0</v>
      </c>
      <c r="C25" s="12">
        <v>70000.0</v>
      </c>
      <c r="D25" s="18" t="s">
        <v>43</v>
      </c>
      <c r="E25" s="13" t="s">
        <v>44</v>
      </c>
      <c r="F25" s="13" t="s">
        <v>22</v>
      </c>
      <c r="G25" s="18" t="s">
        <v>45</v>
      </c>
      <c r="H25" s="13" t="s">
        <v>14</v>
      </c>
      <c r="I25" s="15" t="s">
        <v>15</v>
      </c>
      <c r="J25" s="20" t="s">
        <v>46</v>
      </c>
    </row>
    <row r="26" ht="12.75" customHeight="1">
      <c r="B26" s="19">
        <v>46106.0</v>
      </c>
      <c r="C26" s="12">
        <v>90000.0</v>
      </c>
      <c r="D26" s="18" t="s">
        <v>10</v>
      </c>
      <c r="E26" s="13" t="s">
        <v>18</v>
      </c>
      <c r="F26" s="13" t="s">
        <v>12</v>
      </c>
      <c r="G26" s="14" t="s">
        <v>47</v>
      </c>
      <c r="H26" s="13" t="s">
        <v>14</v>
      </c>
      <c r="I26" s="15" t="s">
        <v>15</v>
      </c>
      <c r="J26" s="20" t="s">
        <v>48</v>
      </c>
    </row>
    <row r="27" ht="12.75" customHeight="1">
      <c r="B27" s="19">
        <v>46106.0</v>
      </c>
      <c r="C27" s="12">
        <v>90000.0</v>
      </c>
      <c r="D27" s="18" t="s">
        <v>10</v>
      </c>
      <c r="E27" s="13" t="s">
        <v>18</v>
      </c>
      <c r="F27" s="13" t="s">
        <v>12</v>
      </c>
      <c r="G27" s="14" t="s">
        <v>47</v>
      </c>
      <c r="H27" s="13" t="s">
        <v>14</v>
      </c>
      <c r="I27" s="15" t="s">
        <v>15</v>
      </c>
      <c r="J27" s="18" t="s">
        <v>48</v>
      </c>
    </row>
    <row r="28" ht="12.75" customHeight="1">
      <c r="B28" s="21">
        <v>46106.0</v>
      </c>
      <c r="C28" s="12">
        <v>90000.0</v>
      </c>
      <c r="D28" s="18" t="s">
        <v>10</v>
      </c>
      <c r="E28" s="13" t="s">
        <v>18</v>
      </c>
      <c r="F28" s="13" t="s">
        <v>12</v>
      </c>
      <c r="G28" s="14" t="s">
        <v>47</v>
      </c>
      <c r="H28" s="13" t="s">
        <v>14</v>
      </c>
      <c r="I28" s="15" t="s">
        <v>15</v>
      </c>
      <c r="J28" s="18" t="s">
        <v>48</v>
      </c>
    </row>
    <row r="29" ht="12.75" customHeight="1">
      <c r="B29" s="21">
        <v>46106.0</v>
      </c>
      <c r="C29" s="12">
        <v>80000.0</v>
      </c>
      <c r="D29" s="18" t="s">
        <v>10</v>
      </c>
      <c r="E29" s="13" t="s">
        <v>18</v>
      </c>
      <c r="F29" s="13" t="s">
        <v>12</v>
      </c>
      <c r="G29" s="14" t="s">
        <v>47</v>
      </c>
      <c r="H29" s="13" t="s">
        <v>14</v>
      </c>
      <c r="I29" s="15" t="s">
        <v>15</v>
      </c>
      <c r="J29" s="18" t="s">
        <v>48</v>
      </c>
    </row>
    <row r="30" ht="12.75" customHeight="1">
      <c r="B30" s="11">
        <v>46107.0</v>
      </c>
      <c r="C30" s="12">
        <v>50000.0</v>
      </c>
      <c r="D30" s="18" t="s">
        <v>10</v>
      </c>
      <c r="E30" s="13" t="s">
        <v>11</v>
      </c>
      <c r="F30" s="13" t="s">
        <v>12</v>
      </c>
      <c r="G30" s="14" t="s">
        <v>25</v>
      </c>
      <c r="H30" s="13" t="s">
        <v>14</v>
      </c>
      <c r="I30" s="15" t="s">
        <v>15</v>
      </c>
      <c r="J30" s="18"/>
    </row>
    <row r="31" ht="12.75" customHeight="1">
      <c r="B31" s="11">
        <v>46107.0</v>
      </c>
      <c r="C31" s="12">
        <v>50000.0</v>
      </c>
      <c r="D31" s="18" t="s">
        <v>10</v>
      </c>
      <c r="E31" s="13" t="s">
        <v>11</v>
      </c>
      <c r="F31" s="13" t="s">
        <v>12</v>
      </c>
      <c r="G31" s="14" t="s">
        <v>25</v>
      </c>
      <c r="H31" s="13" t="s">
        <v>14</v>
      </c>
      <c r="I31" s="15" t="s">
        <v>15</v>
      </c>
      <c r="J31" s="18"/>
    </row>
    <row r="32" ht="12.75" customHeight="1">
      <c r="B32" s="11">
        <v>46107.0</v>
      </c>
      <c r="C32" s="12">
        <v>412200.0</v>
      </c>
      <c r="D32" s="18" t="s">
        <v>49</v>
      </c>
      <c r="E32" s="13" t="s">
        <v>11</v>
      </c>
      <c r="F32" s="13" t="s">
        <v>22</v>
      </c>
      <c r="G32" s="14" t="s">
        <v>50</v>
      </c>
      <c r="H32" s="13" t="s">
        <v>34</v>
      </c>
      <c r="I32" s="15" t="s">
        <v>30</v>
      </c>
      <c r="J32" s="20" t="s">
        <v>51</v>
      </c>
    </row>
    <row r="33" ht="12.75" customHeight="1">
      <c r="B33" s="19">
        <v>46107.0</v>
      </c>
      <c r="C33" s="12">
        <v>50000.0</v>
      </c>
      <c r="D33" s="18" t="s">
        <v>10</v>
      </c>
      <c r="E33" s="13" t="s">
        <v>17</v>
      </c>
      <c r="F33" s="13" t="s">
        <v>12</v>
      </c>
      <c r="G33" s="14" t="s">
        <v>25</v>
      </c>
      <c r="H33" s="13" t="s">
        <v>14</v>
      </c>
      <c r="I33" s="15" t="s">
        <v>15</v>
      </c>
      <c r="J33" s="20"/>
    </row>
    <row r="34" ht="12.75" customHeight="1">
      <c r="B34" s="19">
        <v>46107.0</v>
      </c>
      <c r="C34" s="12">
        <v>50000.0</v>
      </c>
      <c r="D34" s="18" t="s">
        <v>10</v>
      </c>
      <c r="E34" s="13" t="s">
        <v>17</v>
      </c>
      <c r="F34" s="13" t="s">
        <v>12</v>
      </c>
      <c r="G34" s="14" t="s">
        <v>25</v>
      </c>
      <c r="H34" s="13" t="s">
        <v>14</v>
      </c>
      <c r="I34" s="15" t="s">
        <v>15</v>
      </c>
      <c r="J34" s="20"/>
    </row>
    <row r="35" ht="12.75" customHeight="1">
      <c r="B35" s="19">
        <v>46107.0</v>
      </c>
      <c r="C35" s="12">
        <v>50000.0</v>
      </c>
      <c r="D35" s="18" t="s">
        <v>10</v>
      </c>
      <c r="E35" s="13" t="s">
        <v>18</v>
      </c>
      <c r="F35" s="13" t="s">
        <v>12</v>
      </c>
      <c r="G35" s="14" t="s">
        <v>25</v>
      </c>
      <c r="H35" s="13" t="s">
        <v>14</v>
      </c>
      <c r="I35" s="15" t="s">
        <v>15</v>
      </c>
      <c r="J35" s="20"/>
    </row>
    <row r="36" ht="12.75" customHeight="1">
      <c r="B36" s="19">
        <v>46107.0</v>
      </c>
      <c r="C36" s="12">
        <v>50000.0</v>
      </c>
      <c r="D36" s="18" t="s">
        <v>10</v>
      </c>
      <c r="E36" s="13" t="s">
        <v>18</v>
      </c>
      <c r="F36" s="13" t="s">
        <v>12</v>
      </c>
      <c r="G36" s="14" t="s">
        <v>25</v>
      </c>
      <c r="H36" s="13" t="s">
        <v>14</v>
      </c>
      <c r="I36" s="15" t="s">
        <v>15</v>
      </c>
      <c r="J36" s="20"/>
    </row>
    <row r="37" ht="12.75" customHeight="1">
      <c r="B37" s="19">
        <v>46107.0</v>
      </c>
      <c r="C37" s="12">
        <v>200000.0</v>
      </c>
      <c r="D37" s="18" t="s">
        <v>52</v>
      </c>
      <c r="E37" s="13" t="s">
        <v>23</v>
      </c>
      <c r="F37" s="13" t="s">
        <v>22</v>
      </c>
      <c r="G37" s="14" t="s">
        <v>53</v>
      </c>
      <c r="H37" s="13" t="s">
        <v>14</v>
      </c>
      <c r="I37" s="15" t="s">
        <v>30</v>
      </c>
      <c r="J37" s="20" t="s">
        <v>54</v>
      </c>
    </row>
    <row r="38" ht="12.75" customHeight="1">
      <c r="B38" s="19">
        <v>46108.0</v>
      </c>
      <c r="C38" s="12">
        <v>847660.0</v>
      </c>
      <c r="D38" s="18" t="s">
        <v>55</v>
      </c>
      <c r="E38" s="13" t="s">
        <v>23</v>
      </c>
      <c r="F38" s="13" t="s">
        <v>22</v>
      </c>
      <c r="G38" s="14" t="s">
        <v>41</v>
      </c>
      <c r="H38" s="13" t="s">
        <v>34</v>
      </c>
      <c r="I38" s="15" t="s">
        <v>30</v>
      </c>
      <c r="J38" s="20" t="s">
        <v>56</v>
      </c>
    </row>
    <row r="39" ht="12.75" customHeight="1">
      <c r="B39" s="21">
        <v>46109.0</v>
      </c>
      <c r="C39" s="12">
        <v>68950.0</v>
      </c>
      <c r="D39" s="18" t="s">
        <v>57</v>
      </c>
      <c r="E39" s="13" t="s">
        <v>18</v>
      </c>
      <c r="F39" s="13" t="s">
        <v>12</v>
      </c>
      <c r="G39" s="14" t="s">
        <v>47</v>
      </c>
      <c r="H39" s="13" t="s">
        <v>14</v>
      </c>
      <c r="I39" s="15" t="s">
        <v>30</v>
      </c>
      <c r="J39" s="22" t="s">
        <v>48</v>
      </c>
    </row>
    <row r="40" ht="12.75" customHeight="1">
      <c r="B40" s="21">
        <v>46111.0</v>
      </c>
      <c r="C40" s="12">
        <v>108886.0</v>
      </c>
      <c r="D40" s="18" t="s">
        <v>58</v>
      </c>
      <c r="E40" s="13" t="s">
        <v>23</v>
      </c>
      <c r="F40" s="13" t="s">
        <v>22</v>
      </c>
      <c r="G40" s="14" t="s">
        <v>59</v>
      </c>
      <c r="H40" s="13" t="s">
        <v>14</v>
      </c>
      <c r="I40" s="15" t="s">
        <v>30</v>
      </c>
      <c r="J40" s="22" t="s">
        <v>60</v>
      </c>
    </row>
    <row r="41" ht="12.75" customHeight="1">
      <c r="B41" s="19">
        <v>46112.0</v>
      </c>
      <c r="C41" s="12">
        <v>100000.0</v>
      </c>
      <c r="D41" s="18" t="s">
        <v>10</v>
      </c>
      <c r="E41" s="13" t="s">
        <v>11</v>
      </c>
      <c r="F41" s="13" t="s">
        <v>12</v>
      </c>
      <c r="G41" s="14" t="s">
        <v>25</v>
      </c>
      <c r="H41" s="13" t="s">
        <v>14</v>
      </c>
      <c r="I41" s="15" t="s">
        <v>15</v>
      </c>
      <c r="J41" s="23" t="s">
        <v>61</v>
      </c>
    </row>
    <row r="42" ht="12.75" customHeight="1">
      <c r="B42" s="19">
        <v>46112.0</v>
      </c>
      <c r="C42" s="12">
        <v>100000.0</v>
      </c>
      <c r="D42" s="18" t="s">
        <v>10</v>
      </c>
      <c r="E42" s="13" t="s">
        <v>11</v>
      </c>
      <c r="F42" s="13" t="s">
        <v>12</v>
      </c>
      <c r="G42" s="14" t="s">
        <v>25</v>
      </c>
      <c r="H42" s="13" t="s">
        <v>14</v>
      </c>
      <c r="I42" s="15" t="s">
        <v>15</v>
      </c>
      <c r="J42" s="20" t="s">
        <v>61</v>
      </c>
    </row>
    <row r="43" ht="12.75" customHeight="1">
      <c r="B43" s="19">
        <v>46112.0</v>
      </c>
      <c r="C43" s="12">
        <v>100000.0</v>
      </c>
      <c r="D43" s="18" t="s">
        <v>10</v>
      </c>
      <c r="E43" s="13" t="s">
        <v>11</v>
      </c>
      <c r="F43" s="13" t="s">
        <v>12</v>
      </c>
      <c r="G43" s="14" t="s">
        <v>25</v>
      </c>
      <c r="H43" s="13" t="s">
        <v>14</v>
      </c>
      <c r="I43" s="15" t="s">
        <v>15</v>
      </c>
      <c r="J43" s="20" t="s">
        <v>61</v>
      </c>
    </row>
    <row r="44" ht="12.75" customHeight="1">
      <c r="B44" s="19">
        <v>46112.0</v>
      </c>
      <c r="C44" s="12">
        <v>100000.0</v>
      </c>
      <c r="D44" s="18" t="s">
        <v>10</v>
      </c>
      <c r="E44" s="13" t="s">
        <v>11</v>
      </c>
      <c r="F44" s="13" t="s">
        <v>12</v>
      </c>
      <c r="G44" s="14" t="s">
        <v>25</v>
      </c>
      <c r="H44" s="13" t="s">
        <v>14</v>
      </c>
      <c r="I44" s="15" t="s">
        <v>15</v>
      </c>
      <c r="J44" s="24" t="s">
        <v>61</v>
      </c>
    </row>
    <row r="45" ht="12.75" customHeight="1">
      <c r="B45" s="19">
        <v>46112.0</v>
      </c>
      <c r="C45" s="12">
        <v>43744.0</v>
      </c>
      <c r="D45" s="18" t="s">
        <v>10</v>
      </c>
      <c r="E45" s="13" t="s">
        <v>11</v>
      </c>
      <c r="F45" s="13" t="s">
        <v>12</v>
      </c>
      <c r="G45" s="14" t="s">
        <v>25</v>
      </c>
      <c r="H45" s="13" t="s">
        <v>14</v>
      </c>
      <c r="I45" s="15" t="s">
        <v>15</v>
      </c>
      <c r="J45" s="20" t="s">
        <v>61</v>
      </c>
    </row>
    <row r="46" ht="12.75" customHeight="1">
      <c r="B46" s="19">
        <v>46112.0</v>
      </c>
      <c r="C46" s="12">
        <v>53065.0</v>
      </c>
      <c r="D46" s="18" t="s">
        <v>10</v>
      </c>
      <c r="E46" s="13" t="s">
        <v>11</v>
      </c>
      <c r="F46" s="13" t="s">
        <v>12</v>
      </c>
      <c r="G46" s="14" t="s">
        <v>13</v>
      </c>
      <c r="H46" s="13" t="s">
        <v>14</v>
      </c>
      <c r="I46" s="15" t="s">
        <v>15</v>
      </c>
      <c r="J46" s="20" t="s">
        <v>62</v>
      </c>
    </row>
    <row r="47" ht="12.75" customHeight="1">
      <c r="B47" s="19">
        <v>46112.0</v>
      </c>
      <c r="C47" s="12">
        <v>82520.0</v>
      </c>
      <c r="D47" s="18" t="s">
        <v>10</v>
      </c>
      <c r="E47" s="13" t="s">
        <v>11</v>
      </c>
      <c r="F47" s="13" t="s">
        <v>12</v>
      </c>
      <c r="G47" s="14" t="s">
        <v>63</v>
      </c>
      <c r="H47" s="13" t="s">
        <v>34</v>
      </c>
      <c r="I47" s="15" t="s">
        <v>15</v>
      </c>
      <c r="J47" s="20" t="s">
        <v>64</v>
      </c>
    </row>
    <row r="48" ht="12.75" customHeight="1">
      <c r="B48" s="19">
        <v>46112.0</v>
      </c>
      <c r="C48" s="12">
        <v>50000.0</v>
      </c>
      <c r="D48" s="18" t="s">
        <v>10</v>
      </c>
      <c r="E48" s="13" t="s">
        <v>17</v>
      </c>
      <c r="F48" s="13" t="s">
        <v>12</v>
      </c>
      <c r="G48" s="14" t="s">
        <v>13</v>
      </c>
      <c r="H48" s="13" t="s">
        <v>14</v>
      </c>
      <c r="I48" s="15" t="s">
        <v>15</v>
      </c>
      <c r="J48" s="20" t="s">
        <v>62</v>
      </c>
    </row>
    <row r="49" ht="12.75" customHeight="1">
      <c r="B49" s="19">
        <v>46112.0</v>
      </c>
      <c r="C49" s="12">
        <v>50000.0</v>
      </c>
      <c r="D49" s="18" t="s">
        <v>10</v>
      </c>
      <c r="E49" s="13" t="s">
        <v>18</v>
      </c>
      <c r="F49" s="13" t="s">
        <v>12</v>
      </c>
      <c r="G49" s="14" t="s">
        <v>13</v>
      </c>
      <c r="H49" s="13" t="s">
        <v>14</v>
      </c>
      <c r="I49" s="15" t="s">
        <v>15</v>
      </c>
      <c r="J49" s="20" t="s">
        <v>62</v>
      </c>
    </row>
    <row r="50" ht="12.75" customHeight="1">
      <c r="B50" s="19">
        <v>46112.0</v>
      </c>
      <c r="C50" s="12">
        <v>300000.0</v>
      </c>
      <c r="D50" s="18" t="s">
        <v>65</v>
      </c>
      <c r="E50" s="13" t="s">
        <v>23</v>
      </c>
      <c r="F50" s="13" t="s">
        <v>22</v>
      </c>
      <c r="G50" s="14" t="s">
        <v>63</v>
      </c>
      <c r="H50" s="13" t="s">
        <v>14</v>
      </c>
      <c r="I50" s="15" t="s">
        <v>30</v>
      </c>
      <c r="J50" s="20" t="s">
        <v>64</v>
      </c>
    </row>
    <row r="51" ht="12.75" customHeight="1">
      <c r="B51" s="19">
        <v>46112.0</v>
      </c>
      <c r="C51" s="12">
        <v>120000.0</v>
      </c>
      <c r="D51" s="18" t="s">
        <v>66</v>
      </c>
      <c r="E51" s="13" t="s">
        <v>23</v>
      </c>
      <c r="F51" s="13" t="s">
        <v>22</v>
      </c>
      <c r="G51" s="14" t="s">
        <v>67</v>
      </c>
      <c r="H51" s="13" t="s">
        <v>14</v>
      </c>
      <c r="I51" s="15" t="s">
        <v>15</v>
      </c>
      <c r="J51" s="20" t="s">
        <v>68</v>
      </c>
    </row>
    <row r="52" ht="12.75" customHeight="1">
      <c r="B52" s="19">
        <v>46119.0</v>
      </c>
      <c r="C52" s="12">
        <v>300000.0</v>
      </c>
      <c r="D52" s="18" t="s">
        <v>10</v>
      </c>
      <c r="E52" s="13" t="s">
        <v>11</v>
      </c>
      <c r="F52" s="13" t="s">
        <v>12</v>
      </c>
      <c r="G52" s="14" t="s">
        <v>69</v>
      </c>
      <c r="H52" s="13" t="s">
        <v>14</v>
      </c>
      <c r="I52" s="15" t="s">
        <v>15</v>
      </c>
      <c r="J52" s="20" t="s">
        <v>70</v>
      </c>
    </row>
    <row r="53" ht="12.75" customHeight="1">
      <c r="B53" s="19">
        <v>46119.0</v>
      </c>
      <c r="C53" s="12">
        <v>287600.0</v>
      </c>
      <c r="D53" s="18" t="s">
        <v>10</v>
      </c>
      <c r="E53" s="13" t="s">
        <v>18</v>
      </c>
      <c r="F53" s="13" t="s">
        <v>12</v>
      </c>
      <c r="G53" s="14" t="s">
        <v>29</v>
      </c>
      <c r="H53" s="13" t="s">
        <v>34</v>
      </c>
      <c r="I53" s="15" t="s">
        <v>15</v>
      </c>
      <c r="J53" s="20" t="s">
        <v>54</v>
      </c>
    </row>
    <row r="54" ht="12.75" customHeight="1">
      <c r="B54" s="19">
        <v>46119.0</v>
      </c>
      <c r="C54" s="12">
        <v>411320.0</v>
      </c>
      <c r="D54" s="18" t="s">
        <v>71</v>
      </c>
      <c r="E54" s="13" t="s">
        <v>23</v>
      </c>
      <c r="F54" s="13" t="s">
        <v>22</v>
      </c>
      <c r="G54" s="14" t="s">
        <v>72</v>
      </c>
      <c r="H54" s="13" t="s">
        <v>34</v>
      </c>
      <c r="I54" s="15" t="s">
        <v>30</v>
      </c>
      <c r="J54" s="20" t="s">
        <v>73</v>
      </c>
    </row>
    <row r="55" ht="12.75" customHeight="1">
      <c r="B55" s="19">
        <v>46120.0</v>
      </c>
      <c r="C55" s="12">
        <v>294888.88</v>
      </c>
      <c r="D55" s="18" t="s">
        <v>22</v>
      </c>
      <c r="E55" s="13" t="s">
        <v>23</v>
      </c>
      <c r="F55" s="13" t="s">
        <v>22</v>
      </c>
      <c r="G55" s="14" t="s">
        <v>74</v>
      </c>
      <c r="H55" s="13" t="s">
        <v>34</v>
      </c>
      <c r="I55" s="15" t="s">
        <v>30</v>
      </c>
      <c r="J55" s="20" t="s">
        <v>75</v>
      </c>
    </row>
    <row r="56" ht="12.75" customHeight="1">
      <c r="B56" s="19">
        <v>46120.0</v>
      </c>
      <c r="C56" s="12">
        <v>178100.0</v>
      </c>
      <c r="D56" s="18" t="s">
        <v>22</v>
      </c>
      <c r="E56" s="13" t="s">
        <v>23</v>
      </c>
      <c r="F56" s="13" t="s">
        <v>22</v>
      </c>
      <c r="G56" s="14" t="s">
        <v>76</v>
      </c>
      <c r="H56" s="13" t="s">
        <v>34</v>
      </c>
      <c r="I56" s="15" t="s">
        <v>30</v>
      </c>
      <c r="J56" s="20" t="s">
        <v>68</v>
      </c>
    </row>
    <row r="57" ht="12.75" customHeight="1">
      <c r="B57" s="19">
        <v>46121.0</v>
      </c>
      <c r="C57" s="12">
        <v>3368.0</v>
      </c>
      <c r="D57" s="18" t="s">
        <v>22</v>
      </c>
      <c r="E57" s="13" t="s">
        <v>23</v>
      </c>
      <c r="F57" s="13" t="s">
        <v>22</v>
      </c>
      <c r="G57" s="14" t="s">
        <v>53</v>
      </c>
      <c r="H57" s="13" t="s">
        <v>34</v>
      </c>
      <c r="I57" s="15" t="s">
        <v>15</v>
      </c>
      <c r="J57" s="20" t="s">
        <v>54</v>
      </c>
    </row>
    <row r="58" ht="12.75" customHeight="1">
      <c r="B58" s="25">
        <v>46125.0</v>
      </c>
      <c r="C58" s="26">
        <v>473040.0</v>
      </c>
      <c r="D58" s="27" t="s">
        <v>10</v>
      </c>
      <c r="E58" s="28" t="s">
        <v>18</v>
      </c>
      <c r="F58" s="28" t="s">
        <v>12</v>
      </c>
      <c r="G58" s="29" t="s">
        <v>53</v>
      </c>
      <c r="H58" s="28" t="s">
        <v>34</v>
      </c>
      <c r="I58" s="30" t="s">
        <v>15</v>
      </c>
      <c r="J58" s="31" t="s">
        <v>77</v>
      </c>
    </row>
    <row r="59" ht="12.75" customHeight="1">
      <c r="B59" s="19">
        <v>46127.0</v>
      </c>
      <c r="C59" s="12">
        <v>240000.0</v>
      </c>
      <c r="D59" s="18" t="s">
        <v>22</v>
      </c>
      <c r="E59" s="13" t="s">
        <v>23</v>
      </c>
      <c r="F59" s="13" t="s">
        <v>22</v>
      </c>
      <c r="G59" s="29" t="s">
        <v>78</v>
      </c>
      <c r="H59" s="13" t="s">
        <v>14</v>
      </c>
      <c r="I59" s="15" t="s">
        <v>30</v>
      </c>
      <c r="J59" s="20" t="s">
        <v>60</v>
      </c>
    </row>
    <row r="60" ht="12.75" customHeight="1">
      <c r="B60" s="19">
        <v>46128.0</v>
      </c>
      <c r="C60" s="12">
        <v>457250.0</v>
      </c>
      <c r="D60" s="18" t="s">
        <v>22</v>
      </c>
      <c r="E60" s="13" t="s">
        <v>23</v>
      </c>
      <c r="F60" s="13" t="s">
        <v>22</v>
      </c>
      <c r="G60" s="14" t="s">
        <v>69</v>
      </c>
      <c r="H60" s="13" t="s">
        <v>34</v>
      </c>
      <c r="I60" s="15" t="s">
        <v>30</v>
      </c>
      <c r="J60" s="20" t="s">
        <v>79</v>
      </c>
    </row>
    <row r="61" ht="12.75" customHeight="1">
      <c r="B61" s="19">
        <v>46135.0</v>
      </c>
      <c r="C61" s="12">
        <v>451840.0</v>
      </c>
      <c r="D61" s="18" t="s">
        <v>22</v>
      </c>
      <c r="E61" s="13" t="s">
        <v>23</v>
      </c>
      <c r="F61" s="13" t="s">
        <v>22</v>
      </c>
      <c r="G61" s="14" t="s">
        <v>80</v>
      </c>
      <c r="H61" s="13" t="s">
        <v>34</v>
      </c>
      <c r="I61" s="15" t="s">
        <v>30</v>
      </c>
      <c r="J61" s="20" t="s">
        <v>81</v>
      </c>
    </row>
    <row r="62" ht="12.75" customHeight="1">
      <c r="B62" s="19">
        <v>46140.0</v>
      </c>
      <c r="C62" s="12">
        <v>20714.0</v>
      </c>
      <c r="D62" s="18" t="s">
        <v>22</v>
      </c>
      <c r="E62" s="13" t="s">
        <v>23</v>
      </c>
      <c r="F62" s="13" t="s">
        <v>22</v>
      </c>
      <c r="G62" s="14" t="s">
        <v>59</v>
      </c>
      <c r="H62" s="13" t="s">
        <v>34</v>
      </c>
      <c r="I62" s="15" t="s">
        <v>30</v>
      </c>
      <c r="J62" s="20" t="s">
        <v>60</v>
      </c>
    </row>
    <row r="63" ht="12.75" customHeight="1">
      <c r="B63" s="25">
        <v>46146.0</v>
      </c>
      <c r="C63" s="26">
        <v>633610.0</v>
      </c>
      <c r="D63" s="28" t="s">
        <v>22</v>
      </c>
      <c r="E63" s="28" t="s">
        <v>23</v>
      </c>
      <c r="F63" s="28" t="s">
        <v>22</v>
      </c>
      <c r="G63" s="29" t="s">
        <v>82</v>
      </c>
      <c r="H63" s="28" t="s">
        <v>34</v>
      </c>
      <c r="I63" s="15" t="s">
        <v>30</v>
      </c>
      <c r="J63" s="32">
        <v>385.0</v>
      </c>
    </row>
    <row r="64" ht="12.75" customHeight="1">
      <c r="B64" s="25">
        <v>46148.0</v>
      </c>
      <c r="C64" s="26">
        <v>80000.0</v>
      </c>
      <c r="D64" s="27" t="s">
        <v>10</v>
      </c>
      <c r="E64" s="28" t="s">
        <v>17</v>
      </c>
      <c r="F64" s="13" t="s">
        <v>12</v>
      </c>
      <c r="G64" s="29" t="s">
        <v>83</v>
      </c>
      <c r="H64" s="28" t="s">
        <v>14</v>
      </c>
      <c r="I64" s="30" t="s">
        <v>15</v>
      </c>
      <c r="J64" s="32">
        <v>390.0</v>
      </c>
    </row>
    <row r="65" ht="12.75" customHeight="1">
      <c r="B65" s="25">
        <v>46148.0</v>
      </c>
      <c r="C65" s="26">
        <v>80000.0</v>
      </c>
      <c r="D65" s="27" t="s">
        <v>10</v>
      </c>
      <c r="E65" s="28" t="s">
        <v>17</v>
      </c>
      <c r="F65" s="13" t="s">
        <v>12</v>
      </c>
      <c r="G65" s="29" t="s">
        <v>83</v>
      </c>
      <c r="H65" s="28" t="s">
        <v>14</v>
      </c>
      <c r="I65" s="30" t="s">
        <v>15</v>
      </c>
      <c r="J65" s="32">
        <v>390.0</v>
      </c>
    </row>
    <row r="66" ht="12.75" customHeight="1">
      <c r="B66" s="25">
        <v>46148.0</v>
      </c>
      <c r="C66" s="26">
        <v>80000.0</v>
      </c>
      <c r="D66" s="27" t="s">
        <v>10</v>
      </c>
      <c r="E66" s="28" t="s">
        <v>17</v>
      </c>
      <c r="F66" s="13" t="s">
        <v>12</v>
      </c>
      <c r="G66" s="29" t="s">
        <v>83</v>
      </c>
      <c r="H66" s="28" t="s">
        <v>14</v>
      </c>
      <c r="I66" s="30" t="s">
        <v>15</v>
      </c>
      <c r="J66" s="32">
        <v>390.0</v>
      </c>
    </row>
    <row r="67" ht="12.75" customHeight="1">
      <c r="B67" s="25">
        <v>46148.0</v>
      </c>
      <c r="C67" s="26">
        <v>80000.0</v>
      </c>
      <c r="D67" s="27" t="s">
        <v>10</v>
      </c>
      <c r="E67" s="28" t="s">
        <v>17</v>
      </c>
      <c r="F67" s="13" t="s">
        <v>12</v>
      </c>
      <c r="G67" s="29" t="s">
        <v>83</v>
      </c>
      <c r="H67" s="28" t="s">
        <v>14</v>
      </c>
      <c r="I67" s="30" t="s">
        <v>15</v>
      </c>
      <c r="J67" s="32">
        <v>390.0</v>
      </c>
    </row>
    <row r="68" ht="12.75" customHeight="1">
      <c r="B68" s="25">
        <v>46148.0</v>
      </c>
      <c r="C68" s="26">
        <v>80000.0</v>
      </c>
      <c r="D68" s="27" t="s">
        <v>10</v>
      </c>
      <c r="E68" s="28" t="s">
        <v>17</v>
      </c>
      <c r="F68" s="13" t="s">
        <v>12</v>
      </c>
      <c r="G68" s="29" t="s">
        <v>83</v>
      </c>
      <c r="H68" s="28" t="s">
        <v>14</v>
      </c>
      <c r="I68" s="30" t="s">
        <v>15</v>
      </c>
      <c r="J68" s="32">
        <v>390.0</v>
      </c>
    </row>
    <row r="69" ht="12.75" customHeight="1">
      <c r="B69" s="33">
        <v>46150.0</v>
      </c>
      <c r="C69" s="26">
        <v>843250.0</v>
      </c>
      <c r="D69" s="28" t="s">
        <v>22</v>
      </c>
      <c r="E69" s="28" t="s">
        <v>23</v>
      </c>
      <c r="F69" s="28" t="s">
        <v>22</v>
      </c>
      <c r="G69" s="29" t="s">
        <v>84</v>
      </c>
      <c r="H69" s="28" t="s">
        <v>34</v>
      </c>
      <c r="I69" s="30" t="s">
        <v>30</v>
      </c>
      <c r="J69" s="32" t="s">
        <v>85</v>
      </c>
    </row>
    <row r="70" ht="12.75" customHeight="1">
      <c r="B70" s="33">
        <v>46150.0</v>
      </c>
      <c r="C70" s="26">
        <v>1100060.0</v>
      </c>
      <c r="D70" s="28" t="s">
        <v>22</v>
      </c>
      <c r="E70" s="28" t="s">
        <v>23</v>
      </c>
      <c r="F70" s="28" t="s">
        <v>22</v>
      </c>
      <c r="G70" s="29" t="s">
        <v>84</v>
      </c>
      <c r="H70" s="28" t="s">
        <v>34</v>
      </c>
      <c r="I70" s="30" t="s">
        <v>30</v>
      </c>
      <c r="J70" s="32" t="s">
        <v>86</v>
      </c>
    </row>
    <row r="71" ht="12.75" customHeight="1">
      <c r="B71" s="33">
        <v>46150.0</v>
      </c>
      <c r="C71" s="26">
        <v>117990.0</v>
      </c>
      <c r="D71" s="28" t="s">
        <v>22</v>
      </c>
      <c r="E71" s="28" t="s">
        <v>23</v>
      </c>
      <c r="F71" s="28" t="s">
        <v>22</v>
      </c>
      <c r="G71" s="29" t="s">
        <v>20</v>
      </c>
      <c r="H71" s="28" t="s">
        <v>34</v>
      </c>
      <c r="I71" s="30" t="s">
        <v>30</v>
      </c>
      <c r="J71" s="28" t="s">
        <v>87</v>
      </c>
    </row>
    <row r="72" ht="12.75" customHeight="1">
      <c r="B72" s="34">
        <v>46160.0</v>
      </c>
      <c r="C72" s="26">
        <v>930480.0</v>
      </c>
      <c r="D72" s="28" t="s">
        <v>22</v>
      </c>
      <c r="E72" s="28" t="s">
        <v>88</v>
      </c>
      <c r="F72" s="28" t="s">
        <v>22</v>
      </c>
      <c r="G72" s="29" t="s">
        <v>84</v>
      </c>
      <c r="H72" s="28" t="s">
        <v>34</v>
      </c>
      <c r="I72" s="30" t="s">
        <v>30</v>
      </c>
      <c r="J72" s="35"/>
    </row>
    <row r="73" ht="12.75" customHeight="1">
      <c r="B73" s="34">
        <v>46169.0</v>
      </c>
      <c r="C73" s="26">
        <v>1267950.0</v>
      </c>
      <c r="D73" s="28" t="s">
        <v>22</v>
      </c>
      <c r="E73" s="28" t="s">
        <v>88</v>
      </c>
      <c r="F73" s="28" t="s">
        <v>22</v>
      </c>
      <c r="G73" s="29" t="s">
        <v>84</v>
      </c>
      <c r="H73" s="35"/>
      <c r="I73" s="30" t="s">
        <v>30</v>
      </c>
      <c r="J73" s="35"/>
    </row>
    <row r="74" ht="12.75" customHeight="1"/>
    <row r="75" ht="12.75" customHeight="1">
      <c r="B75" s="1" t="s">
        <v>89</v>
      </c>
      <c r="C75" s="2"/>
      <c r="D75" s="2"/>
      <c r="E75" s="2"/>
      <c r="F75" s="2"/>
      <c r="G75" s="2"/>
      <c r="H75" s="2"/>
      <c r="I75" s="2"/>
      <c r="J75" s="3"/>
    </row>
    <row r="76" ht="12.75" customHeight="1">
      <c r="B76" s="4"/>
      <c r="C76" s="5"/>
      <c r="D76" s="5"/>
      <c r="E76" s="5"/>
      <c r="F76" s="5"/>
      <c r="G76" s="5"/>
      <c r="H76" s="5"/>
      <c r="I76" s="5"/>
      <c r="J76" s="6"/>
    </row>
    <row r="77" ht="12.75" customHeight="1">
      <c r="B77" s="7" t="s">
        <v>1</v>
      </c>
      <c r="C77" s="8" t="s">
        <v>2</v>
      </c>
      <c r="D77" s="9" t="s">
        <v>3</v>
      </c>
      <c r="E77" s="9" t="s">
        <v>4</v>
      </c>
      <c r="F77" s="9" t="s">
        <v>5</v>
      </c>
      <c r="G77" s="9" t="s">
        <v>6</v>
      </c>
      <c r="H77" s="9" t="s">
        <v>7</v>
      </c>
      <c r="I77" s="10" t="s">
        <v>8</v>
      </c>
      <c r="J77" s="9" t="s">
        <v>9</v>
      </c>
    </row>
    <row r="78" ht="12.75" customHeight="1">
      <c r="B78" s="36">
        <v>46134.0</v>
      </c>
      <c r="C78" s="37">
        <v>6640000.0</v>
      </c>
      <c r="D78" s="38" t="s">
        <v>90</v>
      </c>
      <c r="E78" s="38" t="s">
        <v>44</v>
      </c>
      <c r="F78" s="38" t="s">
        <v>22</v>
      </c>
      <c r="G78" s="39" t="s">
        <v>91</v>
      </c>
      <c r="H78" s="38" t="s">
        <v>92</v>
      </c>
      <c r="I78" s="40" t="s">
        <v>30</v>
      </c>
      <c r="J78" s="41"/>
    </row>
    <row r="79" ht="12.75" customHeight="1">
      <c r="B79" s="36">
        <v>46134.0</v>
      </c>
      <c r="C79" s="37">
        <v>6650000.0</v>
      </c>
      <c r="D79" s="38" t="s">
        <v>90</v>
      </c>
      <c r="E79" s="38" t="s">
        <v>18</v>
      </c>
      <c r="F79" s="38" t="s">
        <v>22</v>
      </c>
      <c r="G79" s="39" t="s">
        <v>91</v>
      </c>
      <c r="H79" s="38" t="s">
        <v>92</v>
      </c>
      <c r="I79" s="40" t="s">
        <v>30</v>
      </c>
      <c r="J79" s="41"/>
    </row>
    <row r="80" ht="12.75" customHeight="1">
      <c r="B80" s="36">
        <v>46134.0</v>
      </c>
      <c r="C80" s="37">
        <v>6645000.0</v>
      </c>
      <c r="D80" s="38" t="s">
        <v>90</v>
      </c>
      <c r="E80" s="38" t="s">
        <v>17</v>
      </c>
      <c r="F80" s="38" t="s">
        <v>22</v>
      </c>
      <c r="G80" s="39" t="s">
        <v>91</v>
      </c>
      <c r="H80" s="38" t="s">
        <v>92</v>
      </c>
      <c r="I80" s="40" t="s">
        <v>30</v>
      </c>
      <c r="J80" s="4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</sheetData>
  <autoFilter ref="$B$4:$J$73">
    <sortState ref="B4:J73">
      <sortCondition ref="B4:B73"/>
    </sortState>
  </autoFilter>
  <mergeCells count="2">
    <mergeCell ref="B2:J3"/>
    <mergeCell ref="B75:J7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2.25"/>
    <col customWidth="1" min="2" max="2" width="14.88"/>
    <col customWidth="1" hidden="1" min="3" max="4" width="11.13"/>
    <col customWidth="1" min="5" max="5" width="17.38"/>
    <col customWidth="1" hidden="1" min="6" max="6" width="13.63"/>
    <col customWidth="1" hidden="1" min="7" max="7" width="12.38"/>
    <col customWidth="1" hidden="1" min="8" max="9" width="13.25"/>
    <col customWidth="1" min="10" max="10" width="29.75"/>
    <col customWidth="1" hidden="1" min="11" max="11" width="17.88"/>
    <col customWidth="1" min="12" max="12" width="29.0"/>
    <col customWidth="1" min="13" max="13" width="27.13"/>
    <col customWidth="1" min="14" max="14" width="16.0"/>
    <col customWidth="1" min="15" max="15" width="15.38"/>
    <col customWidth="1" min="16" max="16" width="17.25"/>
    <col customWidth="1" min="17" max="17" width="18.63"/>
    <col customWidth="1" min="18" max="18" width="18.13"/>
    <col customWidth="1" min="19" max="22" width="16.75"/>
    <col customWidth="1" min="23" max="23" width="18.0"/>
  </cols>
  <sheetData>
    <row r="1" ht="15.75" customHeight="1">
      <c r="A1" s="42" t="s">
        <v>93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4"/>
      <c r="X1" s="45"/>
      <c r="Y1" s="45"/>
      <c r="Z1" s="45"/>
      <c r="AA1" s="45"/>
      <c r="AB1" s="45"/>
      <c r="AC1" s="45"/>
      <c r="AD1" s="45"/>
    </row>
    <row r="2" ht="46.5" customHeight="1">
      <c r="A2" s="46" t="s">
        <v>94</v>
      </c>
      <c r="B2" s="46" t="s">
        <v>95</v>
      </c>
      <c r="C2" s="47" t="s">
        <v>96</v>
      </c>
      <c r="D2" s="47" t="s">
        <v>97</v>
      </c>
      <c r="E2" s="46" t="s">
        <v>98</v>
      </c>
      <c r="F2" s="48" t="s">
        <v>99</v>
      </c>
      <c r="G2" s="48" t="s">
        <v>100</v>
      </c>
      <c r="H2" s="49" t="s">
        <v>101</v>
      </c>
      <c r="I2" s="49" t="s">
        <v>102</v>
      </c>
      <c r="J2" s="47" t="s">
        <v>6</v>
      </c>
      <c r="K2" s="47" t="s">
        <v>103</v>
      </c>
      <c r="L2" s="47" t="s">
        <v>104</v>
      </c>
      <c r="M2" s="47" t="s">
        <v>105</v>
      </c>
      <c r="N2" s="47" t="s">
        <v>106</v>
      </c>
      <c r="O2" s="50" t="s">
        <v>107</v>
      </c>
      <c r="P2" s="51" t="s">
        <v>108</v>
      </c>
      <c r="Q2" s="51" t="s">
        <v>49</v>
      </c>
      <c r="R2" s="47" t="s">
        <v>109</v>
      </c>
      <c r="S2" s="46" t="s">
        <v>7</v>
      </c>
      <c r="T2" s="46" t="s">
        <v>110</v>
      </c>
      <c r="U2" s="46" t="s">
        <v>111</v>
      </c>
      <c r="V2" s="46" t="s">
        <v>112</v>
      </c>
      <c r="W2" s="52" t="s">
        <v>113</v>
      </c>
      <c r="X2" s="45"/>
      <c r="Y2" s="45"/>
      <c r="Z2" s="45"/>
      <c r="AA2" s="45"/>
      <c r="AB2" s="45"/>
      <c r="AC2" s="45"/>
      <c r="AD2" s="45"/>
    </row>
    <row r="3" ht="15.75" customHeight="1">
      <c r="A3" s="53" t="s">
        <v>16</v>
      </c>
      <c r="B3" s="54">
        <v>46083.0</v>
      </c>
      <c r="C3" s="55">
        <v>37167.0</v>
      </c>
      <c r="D3" s="55">
        <v>1928.0</v>
      </c>
      <c r="E3" s="56">
        <v>31160.0</v>
      </c>
      <c r="F3" s="55">
        <v>600.0</v>
      </c>
      <c r="G3" s="57"/>
      <c r="H3" s="57"/>
      <c r="I3" s="57"/>
      <c r="J3" s="55" t="s">
        <v>13</v>
      </c>
      <c r="K3" s="57"/>
      <c r="L3" s="55" t="s">
        <v>114</v>
      </c>
      <c r="M3" s="55" t="s">
        <v>115</v>
      </c>
      <c r="N3" s="55">
        <v>7.711435699E9</v>
      </c>
      <c r="O3" s="54">
        <v>46085.0</v>
      </c>
      <c r="P3" s="58">
        <v>515340.0</v>
      </c>
      <c r="Q3" s="58">
        <v>515340.0</v>
      </c>
      <c r="R3" s="58" t="s">
        <v>116</v>
      </c>
      <c r="S3" s="55" t="s">
        <v>34</v>
      </c>
      <c r="T3" s="54">
        <v>46091.0</v>
      </c>
      <c r="U3" s="59">
        <v>18.0</v>
      </c>
      <c r="V3" s="60"/>
      <c r="W3" s="59">
        <v>18.0</v>
      </c>
      <c r="X3" s="61"/>
      <c r="Y3" s="61"/>
      <c r="Z3" s="61"/>
      <c r="AA3" s="61"/>
      <c r="AB3" s="61"/>
      <c r="AC3" s="61"/>
      <c r="AD3" s="61"/>
    </row>
    <row r="4" ht="15.75" customHeight="1">
      <c r="A4" s="53" t="s">
        <v>117</v>
      </c>
      <c r="B4" s="54">
        <v>46083.0</v>
      </c>
      <c r="C4" s="57"/>
      <c r="D4" s="55">
        <v>1928.0</v>
      </c>
      <c r="E4" s="56">
        <v>30510.0</v>
      </c>
      <c r="F4" s="55">
        <v>400.0</v>
      </c>
      <c r="G4" s="55">
        <v>200.0</v>
      </c>
      <c r="H4" s="57"/>
      <c r="I4" s="57"/>
      <c r="J4" s="55" t="s">
        <v>118</v>
      </c>
      <c r="K4" s="57"/>
      <c r="L4" s="55" t="s">
        <v>119</v>
      </c>
      <c r="M4" s="55" t="s">
        <v>120</v>
      </c>
      <c r="N4" s="55">
        <v>6.442062694E9</v>
      </c>
      <c r="O4" s="54">
        <v>46085.0</v>
      </c>
      <c r="P4" s="58">
        <v>414920.0</v>
      </c>
      <c r="Q4" s="58">
        <v>414920.0</v>
      </c>
      <c r="R4" s="58" t="s">
        <v>116</v>
      </c>
      <c r="S4" s="55" t="s">
        <v>34</v>
      </c>
      <c r="T4" s="54">
        <v>46092.0</v>
      </c>
      <c r="U4" s="59">
        <v>17.0</v>
      </c>
      <c r="V4" s="59">
        <v>12.0</v>
      </c>
      <c r="W4" s="59">
        <v>22.0</v>
      </c>
      <c r="X4" s="61"/>
      <c r="Y4" s="61"/>
      <c r="Z4" s="61"/>
      <c r="AA4" s="61"/>
      <c r="AB4" s="61"/>
      <c r="AC4" s="61"/>
      <c r="AD4" s="61"/>
    </row>
    <row r="5" ht="15.75" customHeight="1">
      <c r="A5" s="53" t="s">
        <v>121</v>
      </c>
      <c r="B5" s="54">
        <v>46084.0</v>
      </c>
      <c r="C5" s="57"/>
      <c r="D5" s="55">
        <v>1928.0</v>
      </c>
      <c r="E5" s="56">
        <v>30270.0</v>
      </c>
      <c r="F5" s="55">
        <v>600.0</v>
      </c>
      <c r="G5" s="57"/>
      <c r="H5" s="57"/>
      <c r="I5" s="57"/>
      <c r="J5" s="55" t="s">
        <v>122</v>
      </c>
      <c r="K5" s="57"/>
      <c r="L5" s="55" t="s">
        <v>123</v>
      </c>
      <c r="M5" s="55" t="s">
        <v>124</v>
      </c>
      <c r="N5" s="55">
        <v>5.568874556E9</v>
      </c>
      <c r="O5" s="54">
        <v>46086.0</v>
      </c>
      <c r="P5" s="58">
        <v>294888.0</v>
      </c>
      <c r="Q5" s="58">
        <v>294888.0</v>
      </c>
      <c r="R5" s="58" t="s">
        <v>116</v>
      </c>
      <c r="S5" s="55" t="s">
        <v>34</v>
      </c>
      <c r="T5" s="54">
        <v>46120.0</v>
      </c>
      <c r="U5" s="59">
        <v>11.0</v>
      </c>
      <c r="V5" s="60"/>
      <c r="W5" s="59">
        <v>23.0</v>
      </c>
      <c r="X5" s="61"/>
      <c r="Y5" s="61"/>
      <c r="Z5" s="61"/>
      <c r="AA5" s="61"/>
      <c r="AB5" s="61"/>
      <c r="AC5" s="61"/>
      <c r="AD5" s="61"/>
    </row>
    <row r="6" ht="15.75" customHeight="1">
      <c r="A6" s="53" t="s">
        <v>125</v>
      </c>
      <c r="B6" s="54">
        <v>46084.0</v>
      </c>
      <c r="C6" s="57"/>
      <c r="D6" s="55">
        <v>1928.0</v>
      </c>
      <c r="E6" s="56">
        <v>30570.0</v>
      </c>
      <c r="F6" s="55">
        <v>600.0</v>
      </c>
      <c r="G6" s="57"/>
      <c r="H6" s="57"/>
      <c r="I6" s="57"/>
      <c r="J6" s="55" t="s">
        <v>80</v>
      </c>
      <c r="K6" s="57"/>
      <c r="L6" s="55" t="s">
        <v>126</v>
      </c>
      <c r="M6" s="55" t="s">
        <v>127</v>
      </c>
      <c r="N6" s="55">
        <v>4.492731814E9</v>
      </c>
      <c r="O6" s="54">
        <v>46086.0</v>
      </c>
      <c r="P6" s="58">
        <v>451840.0</v>
      </c>
      <c r="Q6" s="58">
        <v>451840.0</v>
      </c>
      <c r="R6" s="58" t="s">
        <v>116</v>
      </c>
      <c r="S6" s="55" t="s">
        <v>34</v>
      </c>
      <c r="T6" s="54">
        <v>46135.0</v>
      </c>
      <c r="U6" s="59">
        <v>16.0</v>
      </c>
      <c r="V6" s="60"/>
      <c r="W6" s="59">
        <v>31.0</v>
      </c>
      <c r="X6" s="61"/>
      <c r="Y6" s="61"/>
      <c r="Z6" s="61"/>
      <c r="AA6" s="61"/>
      <c r="AB6" s="61"/>
      <c r="AC6" s="61"/>
      <c r="AD6" s="61"/>
    </row>
    <row r="7" ht="15.75" customHeight="1">
      <c r="A7" s="53" t="s">
        <v>42</v>
      </c>
      <c r="B7" s="54">
        <v>46085.0</v>
      </c>
      <c r="C7" s="57"/>
      <c r="D7" s="55">
        <v>1928.0</v>
      </c>
      <c r="E7" s="56">
        <v>30450.0</v>
      </c>
      <c r="F7" s="55">
        <v>600.0</v>
      </c>
      <c r="G7" s="57"/>
      <c r="H7" s="57"/>
      <c r="I7" s="57"/>
      <c r="J7" s="55" t="s">
        <v>41</v>
      </c>
      <c r="K7" s="57"/>
      <c r="L7" s="55" t="s">
        <v>128</v>
      </c>
      <c r="M7" s="55" t="s">
        <v>129</v>
      </c>
      <c r="N7" s="55">
        <v>4.491111634E9</v>
      </c>
      <c r="O7" s="54">
        <v>46087.0</v>
      </c>
      <c r="P7" s="58">
        <v>490500.0</v>
      </c>
      <c r="Q7" s="58">
        <v>490500.0</v>
      </c>
      <c r="R7" s="58" t="s">
        <v>116</v>
      </c>
      <c r="S7" s="55" t="s">
        <v>34</v>
      </c>
      <c r="T7" s="54">
        <v>46104.0</v>
      </c>
      <c r="U7" s="59">
        <v>18.0</v>
      </c>
      <c r="V7" s="60"/>
      <c r="W7" s="59">
        <v>33.0</v>
      </c>
      <c r="X7" s="61"/>
      <c r="Y7" s="61"/>
      <c r="Z7" s="61"/>
      <c r="AA7" s="61"/>
      <c r="AB7" s="61"/>
      <c r="AC7" s="61"/>
      <c r="AD7" s="61"/>
    </row>
    <row r="8" ht="15.75" customHeight="1">
      <c r="A8" s="53" t="s">
        <v>130</v>
      </c>
      <c r="B8" s="54">
        <v>46085.0</v>
      </c>
      <c r="C8" s="57"/>
      <c r="D8" s="55">
        <v>1928.0</v>
      </c>
      <c r="E8" s="56">
        <v>30610.0</v>
      </c>
      <c r="F8" s="55">
        <v>600.0</v>
      </c>
      <c r="G8" s="57"/>
      <c r="H8" s="57"/>
      <c r="I8" s="57"/>
      <c r="J8" s="62" t="s">
        <v>131</v>
      </c>
      <c r="K8" s="63"/>
      <c r="L8" s="62" t="s">
        <v>132</v>
      </c>
      <c r="M8" s="62" t="s">
        <v>133</v>
      </c>
      <c r="N8" s="62">
        <v>6.442462077E9</v>
      </c>
      <c r="O8" s="64">
        <v>46087.0</v>
      </c>
      <c r="P8" s="65">
        <v>432960.0</v>
      </c>
      <c r="Q8" s="65">
        <f>P8</f>
        <v>432960</v>
      </c>
      <c r="R8" s="58">
        <v>0.0</v>
      </c>
      <c r="S8" s="55" t="s">
        <v>34</v>
      </c>
      <c r="T8" s="54">
        <v>46160.0</v>
      </c>
      <c r="U8" s="59">
        <v>16.0</v>
      </c>
      <c r="V8" s="60"/>
      <c r="W8" s="59">
        <v>27.0</v>
      </c>
      <c r="X8" s="61"/>
      <c r="Y8" s="61"/>
      <c r="Z8" s="61"/>
      <c r="AA8" s="61"/>
      <c r="AB8" s="61"/>
      <c r="AC8" s="61"/>
      <c r="AD8" s="61"/>
    </row>
    <row r="9" ht="15.75" customHeight="1">
      <c r="A9" s="53" t="s">
        <v>134</v>
      </c>
      <c r="B9" s="54">
        <v>46086.0</v>
      </c>
      <c r="C9" s="57"/>
      <c r="D9" s="55">
        <v>1928.0</v>
      </c>
      <c r="E9" s="56">
        <v>30330.0</v>
      </c>
      <c r="F9" s="55">
        <v>600.0</v>
      </c>
      <c r="G9" s="57"/>
      <c r="H9" s="57"/>
      <c r="I9" s="57"/>
      <c r="J9" s="55" t="s">
        <v>135</v>
      </c>
      <c r="K9" s="57"/>
      <c r="L9" s="55" t="s">
        <v>136</v>
      </c>
      <c r="M9" s="55" t="s">
        <v>137</v>
      </c>
      <c r="N9" s="55">
        <v>9.981124764E9</v>
      </c>
      <c r="O9" s="54">
        <v>46088.0</v>
      </c>
      <c r="P9" s="58">
        <v>382520.0</v>
      </c>
      <c r="Q9" s="58">
        <v>382520.0</v>
      </c>
      <c r="R9" s="58" t="s">
        <v>116</v>
      </c>
      <c r="S9" s="55" t="s">
        <v>34</v>
      </c>
      <c r="T9" s="54">
        <v>46112.0</v>
      </c>
      <c r="U9" s="59">
        <v>14.5</v>
      </c>
      <c r="V9" s="59">
        <v>11.0</v>
      </c>
      <c r="W9" s="59">
        <v>35.9</v>
      </c>
      <c r="X9" s="66"/>
      <c r="Y9" s="66"/>
      <c r="Z9" s="66"/>
      <c r="AA9" s="66"/>
      <c r="AB9" s="66"/>
      <c r="AC9" s="66"/>
      <c r="AD9" s="66"/>
    </row>
    <row r="10" ht="15.75" customHeight="1">
      <c r="A10" s="53" t="s">
        <v>138</v>
      </c>
      <c r="B10" s="54">
        <v>46086.0</v>
      </c>
      <c r="C10" s="57"/>
      <c r="D10" s="55">
        <v>1928.0</v>
      </c>
      <c r="E10" s="56">
        <v>30320.0</v>
      </c>
      <c r="F10" s="55">
        <v>600.0</v>
      </c>
      <c r="G10" s="57"/>
      <c r="H10" s="57"/>
      <c r="I10" s="57"/>
      <c r="J10" s="62" t="s">
        <v>41</v>
      </c>
      <c r="K10" s="63"/>
      <c r="L10" s="62" t="s">
        <v>128</v>
      </c>
      <c r="M10" s="62" t="s">
        <v>139</v>
      </c>
      <c r="N10" s="62">
        <v>8.113687191E9</v>
      </c>
      <c r="O10" s="64">
        <v>46088.0</v>
      </c>
      <c r="P10" s="65">
        <v>470520.0</v>
      </c>
      <c r="Q10" s="65" t="s">
        <v>116</v>
      </c>
      <c r="R10" s="58">
        <v>470520.0</v>
      </c>
      <c r="S10" s="55" t="s">
        <v>140</v>
      </c>
      <c r="T10" s="67"/>
      <c r="U10" s="59">
        <v>18.0</v>
      </c>
      <c r="V10" s="60"/>
      <c r="W10" s="59">
        <v>33.0</v>
      </c>
      <c r="X10" s="61"/>
      <c r="Y10" s="61"/>
      <c r="Z10" s="61"/>
      <c r="AA10" s="61"/>
      <c r="AB10" s="61"/>
      <c r="AC10" s="61"/>
      <c r="AD10" s="61"/>
    </row>
    <row r="11" ht="15.75" customHeight="1">
      <c r="A11" s="53" t="s">
        <v>141</v>
      </c>
      <c r="B11" s="54">
        <v>46087.0</v>
      </c>
      <c r="C11" s="57"/>
      <c r="D11" s="55">
        <v>1928.0</v>
      </c>
      <c r="E11" s="56">
        <v>30540.0</v>
      </c>
      <c r="F11" s="55">
        <v>600.0</v>
      </c>
      <c r="G11" s="57"/>
      <c r="H11" s="57"/>
      <c r="I11" s="57"/>
      <c r="J11" s="62" t="s">
        <v>142</v>
      </c>
      <c r="K11" s="68"/>
      <c r="L11" s="62" t="s">
        <v>143</v>
      </c>
      <c r="M11" s="62" t="s">
        <v>144</v>
      </c>
      <c r="N11" s="62">
        <v>5.525317818E9</v>
      </c>
      <c r="O11" s="64">
        <v>46089.0</v>
      </c>
      <c r="P11" s="65">
        <v>497520.0</v>
      </c>
      <c r="Q11" s="65">
        <f t="shared" ref="Q11:Q12" si="1">P11</f>
        <v>497520</v>
      </c>
      <c r="R11" s="58">
        <v>0.0</v>
      </c>
      <c r="S11" s="55" t="s">
        <v>34</v>
      </c>
      <c r="T11" s="54">
        <v>46160.0</v>
      </c>
      <c r="U11" s="59">
        <v>18.0</v>
      </c>
      <c r="V11" s="60"/>
      <c r="W11" s="59">
        <v>24.0</v>
      </c>
      <c r="X11" s="61"/>
      <c r="Y11" s="61"/>
      <c r="Z11" s="61"/>
      <c r="AA11" s="61"/>
      <c r="AB11" s="61"/>
      <c r="AC11" s="61"/>
      <c r="AD11" s="61"/>
    </row>
    <row r="12" ht="15.75" customHeight="1">
      <c r="A12" s="69" t="s">
        <v>145</v>
      </c>
      <c r="B12" s="70">
        <v>46087.0</v>
      </c>
      <c r="C12" s="71"/>
      <c r="D12" s="72">
        <v>1928.0</v>
      </c>
      <c r="E12" s="73">
        <v>30480.0</v>
      </c>
      <c r="F12" s="72">
        <v>600.0</v>
      </c>
      <c r="G12" s="71"/>
      <c r="H12" s="71"/>
      <c r="I12" s="71"/>
      <c r="J12" s="74" t="s">
        <v>142</v>
      </c>
      <c r="K12" s="75"/>
      <c r="L12" s="74" t="s">
        <v>143</v>
      </c>
      <c r="M12" s="74" t="s">
        <v>146</v>
      </c>
      <c r="N12" s="74">
        <v>5.531985876E9</v>
      </c>
      <c r="O12" s="76">
        <v>46089.0</v>
      </c>
      <c r="P12" s="77">
        <v>493920.0</v>
      </c>
      <c r="Q12" s="77">
        <f t="shared" si="1"/>
        <v>493920</v>
      </c>
      <c r="R12" s="78"/>
      <c r="S12" s="72" t="s">
        <v>140</v>
      </c>
      <c r="T12" s="79"/>
      <c r="U12" s="80"/>
      <c r="V12" s="80"/>
      <c r="W12" s="81">
        <v>24.0</v>
      </c>
      <c r="X12" s="82"/>
      <c r="Y12" s="82"/>
      <c r="Z12" s="82"/>
      <c r="AA12" s="82"/>
      <c r="AB12" s="82"/>
      <c r="AC12" s="82"/>
      <c r="AD12" s="82"/>
    </row>
    <row r="13" ht="15.75" customHeight="1">
      <c r="A13" s="53" t="s">
        <v>31</v>
      </c>
      <c r="B13" s="54">
        <v>46088.0</v>
      </c>
      <c r="C13" s="57"/>
      <c r="D13" s="55">
        <v>1928.0</v>
      </c>
      <c r="E13" s="56">
        <v>30640.0</v>
      </c>
      <c r="F13" s="55">
        <v>600.0</v>
      </c>
      <c r="G13" s="57"/>
      <c r="H13" s="57"/>
      <c r="I13" s="57"/>
      <c r="J13" s="55" t="s">
        <v>29</v>
      </c>
      <c r="K13" s="57"/>
      <c r="L13" s="55" t="s">
        <v>128</v>
      </c>
      <c r="M13" s="55" t="s">
        <v>147</v>
      </c>
      <c r="N13" s="55">
        <v>6.251527952E9</v>
      </c>
      <c r="O13" s="54">
        <v>46090.0</v>
      </c>
      <c r="P13" s="58">
        <v>441120.0</v>
      </c>
      <c r="Q13" s="58">
        <v>441050.0</v>
      </c>
      <c r="R13" s="58" t="s">
        <v>116</v>
      </c>
      <c r="S13" s="55" t="s">
        <v>34</v>
      </c>
      <c r="T13" s="54">
        <v>46088.0</v>
      </c>
      <c r="U13" s="59">
        <v>16.0</v>
      </c>
      <c r="V13" s="60"/>
      <c r="W13" s="59">
        <v>33.0</v>
      </c>
      <c r="X13" s="61"/>
      <c r="Y13" s="61"/>
      <c r="Z13" s="61"/>
      <c r="AA13" s="61"/>
      <c r="AB13" s="61"/>
      <c r="AC13" s="61"/>
      <c r="AD13" s="61"/>
    </row>
    <row r="14" ht="15.75" customHeight="1">
      <c r="A14" s="53" t="s">
        <v>148</v>
      </c>
      <c r="B14" s="54">
        <v>46088.0</v>
      </c>
      <c r="C14" s="57"/>
      <c r="D14" s="55">
        <v>1928.0</v>
      </c>
      <c r="E14" s="56">
        <v>30430.0</v>
      </c>
      <c r="F14" s="55">
        <v>600.0</v>
      </c>
      <c r="G14" s="57"/>
      <c r="H14" s="57"/>
      <c r="I14" s="57"/>
      <c r="J14" s="62" t="s">
        <v>80</v>
      </c>
      <c r="K14" s="63"/>
      <c r="L14" s="62" t="s">
        <v>149</v>
      </c>
      <c r="M14" s="62" t="s">
        <v>150</v>
      </c>
      <c r="N14" s="62">
        <v>4.651078985E9</v>
      </c>
      <c r="O14" s="64">
        <v>46090.0</v>
      </c>
      <c r="P14" s="65">
        <v>431200.0</v>
      </c>
      <c r="Q14" s="65">
        <v>431200.0</v>
      </c>
      <c r="R14" s="58" t="s">
        <v>116</v>
      </c>
      <c r="S14" s="55" t="s">
        <v>34</v>
      </c>
      <c r="T14" s="54">
        <v>46150.0</v>
      </c>
      <c r="U14" s="59">
        <v>16.0</v>
      </c>
      <c r="V14" s="60"/>
      <c r="W14" s="59">
        <v>27.0</v>
      </c>
      <c r="X14" s="61"/>
      <c r="Y14" s="61"/>
      <c r="Z14" s="61"/>
      <c r="AA14" s="61"/>
      <c r="AB14" s="61"/>
      <c r="AC14" s="61"/>
      <c r="AD14" s="61"/>
    </row>
    <row r="15" ht="15.75" customHeight="1">
      <c r="A15" s="53" t="s">
        <v>21</v>
      </c>
      <c r="B15" s="54">
        <v>46090.0</v>
      </c>
      <c r="C15" s="57"/>
      <c r="D15" s="55">
        <v>1928.0</v>
      </c>
      <c r="E15" s="56">
        <v>15280.0</v>
      </c>
      <c r="F15" s="55">
        <v>300.0</v>
      </c>
      <c r="G15" s="57"/>
      <c r="H15" s="57"/>
      <c r="I15" s="57"/>
      <c r="J15" s="62" t="s">
        <v>20</v>
      </c>
      <c r="K15" s="63"/>
      <c r="L15" s="62" t="s">
        <v>128</v>
      </c>
      <c r="M15" s="62" t="s">
        <v>151</v>
      </c>
      <c r="N15" s="62">
        <v>8.26170743E9</v>
      </c>
      <c r="O15" s="64">
        <v>46092.0</v>
      </c>
      <c r="P15" s="65">
        <v>212860.0</v>
      </c>
      <c r="Q15" s="65">
        <v>212860.0</v>
      </c>
      <c r="R15" s="58" t="s">
        <v>116</v>
      </c>
      <c r="S15" s="55" t="s">
        <v>140</v>
      </c>
      <c r="T15" s="54"/>
      <c r="U15" s="59">
        <v>14.5</v>
      </c>
      <c r="V15" s="60"/>
      <c r="W15" s="59">
        <v>33.0</v>
      </c>
      <c r="X15" s="61"/>
      <c r="Y15" s="61"/>
      <c r="Z15" s="61"/>
      <c r="AA15" s="61"/>
      <c r="AB15" s="61"/>
      <c r="AC15" s="61"/>
      <c r="AD15" s="61"/>
    </row>
    <row r="16" ht="15.75" customHeight="1">
      <c r="A16" s="53" t="s">
        <v>24</v>
      </c>
      <c r="B16" s="54">
        <v>46090.0</v>
      </c>
      <c r="C16" s="57"/>
      <c r="D16" s="55">
        <v>1928.0</v>
      </c>
      <c r="E16" s="56">
        <v>30560.0</v>
      </c>
      <c r="F16" s="55">
        <v>600.0</v>
      </c>
      <c r="G16" s="57"/>
      <c r="H16" s="57"/>
      <c r="I16" s="57"/>
      <c r="J16" s="62" t="s">
        <v>20</v>
      </c>
      <c r="K16" s="63"/>
      <c r="L16" s="62" t="s">
        <v>152</v>
      </c>
      <c r="M16" s="62" t="s">
        <v>153</v>
      </c>
      <c r="N16" s="62">
        <v>3.411620837E9</v>
      </c>
      <c r="O16" s="64">
        <v>46092.0</v>
      </c>
      <c r="P16" s="65">
        <v>405130.0</v>
      </c>
      <c r="Q16" s="65">
        <v>405130.0</v>
      </c>
      <c r="R16" s="58" t="s">
        <v>116</v>
      </c>
      <c r="S16" s="55" t="s">
        <v>140</v>
      </c>
      <c r="T16" s="54"/>
      <c r="U16" s="59">
        <v>14.5</v>
      </c>
      <c r="V16" s="60"/>
      <c r="W16" s="59">
        <v>25.0</v>
      </c>
      <c r="X16" s="61"/>
      <c r="Y16" s="61"/>
      <c r="Z16" s="61"/>
      <c r="AA16" s="61"/>
      <c r="AB16" s="61"/>
      <c r="AC16" s="61"/>
      <c r="AD16" s="61"/>
    </row>
    <row r="17" ht="15.75" customHeight="1">
      <c r="A17" s="53" t="s">
        <v>154</v>
      </c>
      <c r="B17" s="54">
        <v>46090.0</v>
      </c>
      <c r="C17" s="57"/>
      <c r="D17" s="55">
        <v>1928.0</v>
      </c>
      <c r="E17" s="56">
        <v>30790.0</v>
      </c>
      <c r="F17" s="55">
        <v>600.0</v>
      </c>
      <c r="G17" s="57"/>
      <c r="H17" s="57"/>
      <c r="I17" s="57"/>
      <c r="J17" s="55" t="s">
        <v>76</v>
      </c>
      <c r="K17" s="57"/>
      <c r="L17" s="55" t="s">
        <v>123</v>
      </c>
      <c r="M17" s="55" t="s">
        <v>155</v>
      </c>
      <c r="N17" s="55">
        <v>6.694034337E9</v>
      </c>
      <c r="O17" s="54">
        <v>46092.0</v>
      </c>
      <c r="P17" s="58">
        <v>338750.0</v>
      </c>
      <c r="Q17" s="58">
        <v>298100.0</v>
      </c>
      <c r="R17" s="58">
        <f>P17-Q17</f>
        <v>40650</v>
      </c>
      <c r="S17" s="55" t="s">
        <v>34</v>
      </c>
      <c r="T17" s="54">
        <v>46120.0</v>
      </c>
      <c r="U17" s="59">
        <v>12.5</v>
      </c>
      <c r="V17" s="60"/>
      <c r="W17" s="59">
        <v>23.0</v>
      </c>
      <c r="X17" s="61"/>
      <c r="Y17" s="61"/>
      <c r="Z17" s="61"/>
      <c r="AA17" s="61"/>
      <c r="AB17" s="61"/>
      <c r="AC17" s="61"/>
      <c r="AD17" s="61"/>
    </row>
    <row r="18" ht="15.75" customHeight="1">
      <c r="A18" s="53" t="s">
        <v>35</v>
      </c>
      <c r="B18" s="54">
        <v>46091.0</v>
      </c>
      <c r="C18" s="57"/>
      <c r="D18" s="55">
        <v>1928.0</v>
      </c>
      <c r="E18" s="56">
        <v>30860.0</v>
      </c>
      <c r="F18" s="55">
        <v>600.0</v>
      </c>
      <c r="G18" s="57"/>
      <c r="H18" s="57"/>
      <c r="I18" s="57"/>
      <c r="J18" s="55" t="s">
        <v>50</v>
      </c>
      <c r="K18" s="57"/>
      <c r="L18" s="55" t="s">
        <v>156</v>
      </c>
      <c r="M18" s="55" t="s">
        <v>157</v>
      </c>
      <c r="N18" s="55">
        <v>4.422372733E9</v>
      </c>
      <c r="O18" s="54">
        <v>46093.0</v>
      </c>
      <c r="P18" s="58">
        <v>417600.0</v>
      </c>
      <c r="Q18" s="58">
        <v>417600.0</v>
      </c>
      <c r="R18" s="58" t="s">
        <v>116</v>
      </c>
      <c r="S18" s="55" t="s">
        <v>34</v>
      </c>
      <c r="T18" s="54">
        <v>46100.0</v>
      </c>
      <c r="U18" s="59">
        <v>15.0</v>
      </c>
      <c r="V18" s="60"/>
      <c r="W18" s="59">
        <v>20.0</v>
      </c>
      <c r="X18" s="61"/>
      <c r="Y18" s="61"/>
      <c r="Z18" s="61"/>
      <c r="AA18" s="61"/>
      <c r="AB18" s="61"/>
      <c r="AC18" s="61"/>
      <c r="AD18" s="61"/>
    </row>
    <row r="19" ht="15.75" customHeight="1">
      <c r="A19" s="53" t="s">
        <v>158</v>
      </c>
      <c r="B19" s="54">
        <v>46091.0</v>
      </c>
      <c r="C19" s="57"/>
      <c r="D19" s="55">
        <v>1928.0</v>
      </c>
      <c r="E19" s="56">
        <v>30550.0</v>
      </c>
      <c r="F19" s="55">
        <v>400.0</v>
      </c>
      <c r="G19" s="55">
        <v>200.0</v>
      </c>
      <c r="H19" s="57"/>
      <c r="I19" s="57"/>
      <c r="J19" s="55" t="s">
        <v>159</v>
      </c>
      <c r="K19" s="57"/>
      <c r="L19" s="55" t="s">
        <v>160</v>
      </c>
      <c r="M19" s="55" t="s">
        <v>161</v>
      </c>
      <c r="N19" s="55">
        <v>4.521003379E9</v>
      </c>
      <c r="O19" s="54">
        <v>46093.0</v>
      </c>
      <c r="P19" s="58">
        <v>369000.0</v>
      </c>
      <c r="Q19" s="58">
        <v>369600.0</v>
      </c>
      <c r="R19" s="58" t="s">
        <v>116</v>
      </c>
      <c r="S19" s="55" t="s">
        <v>34</v>
      </c>
      <c r="T19" s="54">
        <v>46140.0</v>
      </c>
      <c r="U19" s="59">
        <v>16.0</v>
      </c>
      <c r="V19" s="59">
        <v>10.0</v>
      </c>
      <c r="W19" s="59">
        <v>23.0</v>
      </c>
      <c r="X19" s="61"/>
      <c r="Y19" s="61"/>
      <c r="Z19" s="61"/>
      <c r="AA19" s="61"/>
      <c r="AB19" s="61"/>
      <c r="AC19" s="61"/>
      <c r="AD19" s="61"/>
    </row>
    <row r="20" ht="15.75" customHeight="1">
      <c r="A20" s="53" t="s">
        <v>162</v>
      </c>
      <c r="B20" s="54">
        <v>46091.0</v>
      </c>
      <c r="C20" s="57"/>
      <c r="D20" s="55">
        <v>1928.0</v>
      </c>
      <c r="E20" s="56">
        <v>30600.0</v>
      </c>
      <c r="F20" s="55">
        <v>600.0</v>
      </c>
      <c r="G20" s="57"/>
      <c r="H20" s="57"/>
      <c r="I20" s="57"/>
      <c r="J20" s="55" t="s">
        <v>41</v>
      </c>
      <c r="K20" s="57"/>
      <c r="L20" s="55" t="s">
        <v>128</v>
      </c>
      <c r="M20" s="55" t="s">
        <v>163</v>
      </c>
      <c r="N20" s="55">
        <v>6.251463217E9</v>
      </c>
      <c r="O20" s="54">
        <v>46093.0</v>
      </c>
      <c r="P20" s="58">
        <v>444160.0</v>
      </c>
      <c r="Q20" s="58">
        <v>444160.0</v>
      </c>
      <c r="R20" s="58" t="s">
        <v>116</v>
      </c>
      <c r="S20" s="55" t="s">
        <v>34</v>
      </c>
      <c r="T20" s="54">
        <v>46108.0</v>
      </c>
      <c r="U20" s="59">
        <v>18.0</v>
      </c>
      <c r="V20" s="60"/>
      <c r="W20" s="59">
        <v>33.0</v>
      </c>
      <c r="X20" s="61"/>
      <c r="Y20" s="61"/>
      <c r="Z20" s="61"/>
      <c r="AA20" s="61"/>
      <c r="AB20" s="61"/>
      <c r="AC20" s="61"/>
      <c r="AD20" s="61"/>
    </row>
    <row r="21" ht="15.75" customHeight="1">
      <c r="A21" s="69" t="s">
        <v>164</v>
      </c>
      <c r="B21" s="70">
        <v>46092.0</v>
      </c>
      <c r="C21" s="71"/>
      <c r="D21" s="72">
        <v>1928.0</v>
      </c>
      <c r="E21" s="73">
        <v>30900.0</v>
      </c>
      <c r="F21" s="72">
        <v>600.0</v>
      </c>
      <c r="G21" s="71"/>
      <c r="H21" s="71"/>
      <c r="I21" s="71"/>
      <c r="J21" s="74" t="s">
        <v>131</v>
      </c>
      <c r="K21" s="75"/>
      <c r="L21" s="74" t="s">
        <v>132</v>
      </c>
      <c r="M21" s="74" t="s">
        <v>165</v>
      </c>
      <c r="N21" s="74">
        <v>6.142256686E9</v>
      </c>
      <c r="O21" s="76">
        <v>46093.0</v>
      </c>
      <c r="P21" s="77">
        <v>413250.0</v>
      </c>
      <c r="Q21" s="77">
        <f>P21</f>
        <v>413250</v>
      </c>
      <c r="R21" s="78"/>
      <c r="S21" s="72" t="s">
        <v>140</v>
      </c>
      <c r="T21" s="79"/>
      <c r="U21" s="81">
        <v>15.0</v>
      </c>
      <c r="V21" s="80"/>
      <c r="W21" s="81">
        <v>26.0</v>
      </c>
      <c r="X21" s="82"/>
      <c r="Y21" s="82"/>
      <c r="Z21" s="82"/>
      <c r="AA21" s="82"/>
      <c r="AB21" s="82"/>
      <c r="AC21" s="82"/>
      <c r="AD21" s="82"/>
    </row>
    <row r="22" ht="15.75" customHeight="1">
      <c r="A22" s="53" t="s">
        <v>166</v>
      </c>
      <c r="B22" s="54">
        <v>46092.0</v>
      </c>
      <c r="C22" s="57"/>
      <c r="D22" s="55">
        <v>1928.0</v>
      </c>
      <c r="E22" s="56">
        <v>30680.0</v>
      </c>
      <c r="F22" s="55">
        <v>600.0</v>
      </c>
      <c r="G22" s="57"/>
      <c r="H22" s="57"/>
      <c r="I22" s="57"/>
      <c r="J22" s="62" t="s">
        <v>167</v>
      </c>
      <c r="K22" s="63"/>
      <c r="L22" s="62" t="s">
        <v>168</v>
      </c>
      <c r="M22" s="62" t="s">
        <v>120</v>
      </c>
      <c r="N22" s="62">
        <v>6.442062694E9</v>
      </c>
      <c r="O22" s="64">
        <v>46094.0</v>
      </c>
      <c r="P22" s="65">
        <v>412050.0</v>
      </c>
      <c r="Q22" s="65">
        <v>412050.0</v>
      </c>
      <c r="R22" s="58">
        <v>0.0</v>
      </c>
      <c r="S22" s="55" t="s">
        <v>34</v>
      </c>
      <c r="T22" s="54">
        <v>46150.0</v>
      </c>
      <c r="U22" s="59">
        <v>15.0</v>
      </c>
      <c r="V22" s="60"/>
      <c r="W22" s="59">
        <v>23.5</v>
      </c>
      <c r="X22" s="61"/>
      <c r="Y22" s="61"/>
      <c r="Z22" s="61"/>
      <c r="AA22" s="61"/>
      <c r="AB22" s="61"/>
      <c r="AC22" s="61"/>
      <c r="AD22" s="61"/>
    </row>
    <row r="23" ht="15.75" customHeight="1">
      <c r="A23" s="53" t="s">
        <v>169</v>
      </c>
      <c r="B23" s="54">
        <v>46093.0</v>
      </c>
      <c r="C23" s="57"/>
      <c r="D23" s="55">
        <v>1928.0</v>
      </c>
      <c r="E23" s="56">
        <v>30590.0</v>
      </c>
      <c r="F23" s="55">
        <v>600.0</v>
      </c>
      <c r="G23" s="57"/>
      <c r="H23" s="57"/>
      <c r="I23" s="57"/>
      <c r="J23" s="55" t="s">
        <v>41</v>
      </c>
      <c r="K23" s="57"/>
      <c r="L23" s="55" t="s">
        <v>128</v>
      </c>
      <c r="M23" s="55" t="s">
        <v>170</v>
      </c>
      <c r="N23" s="55">
        <v>6.141004131E9</v>
      </c>
      <c r="O23" s="54">
        <v>46095.0</v>
      </c>
      <c r="P23" s="58">
        <v>403500.0</v>
      </c>
      <c r="Q23" s="58">
        <v>403500.0</v>
      </c>
      <c r="R23" s="58" t="s">
        <v>116</v>
      </c>
      <c r="S23" s="55" t="s">
        <v>34</v>
      </c>
      <c r="T23" s="54">
        <v>46093.0</v>
      </c>
      <c r="U23" s="59">
        <v>15.0</v>
      </c>
      <c r="V23" s="60"/>
      <c r="W23" s="59">
        <v>33.0</v>
      </c>
      <c r="X23" s="61"/>
      <c r="Y23" s="61"/>
      <c r="Z23" s="61"/>
      <c r="AA23" s="61"/>
      <c r="AB23" s="61"/>
      <c r="AC23" s="61"/>
      <c r="AD23" s="61"/>
    </row>
    <row r="24" ht="15.75" customHeight="1">
      <c r="A24" s="53" t="s">
        <v>39</v>
      </c>
      <c r="B24" s="54">
        <v>46101.0</v>
      </c>
      <c r="C24" s="57"/>
      <c r="D24" s="55">
        <v>405.0</v>
      </c>
      <c r="E24" s="56">
        <v>30210.0</v>
      </c>
      <c r="F24" s="55">
        <v>600.0</v>
      </c>
      <c r="G24" s="57"/>
      <c r="H24" s="57"/>
      <c r="I24" s="57"/>
      <c r="J24" s="55" t="s">
        <v>38</v>
      </c>
      <c r="K24" s="57"/>
      <c r="L24" s="55" t="s">
        <v>171</v>
      </c>
      <c r="M24" s="55" t="s">
        <v>172</v>
      </c>
      <c r="N24" s="55">
        <v>7.611038417E9</v>
      </c>
      <c r="O24" s="54">
        <v>46103.0</v>
      </c>
      <c r="P24" s="58">
        <v>390880.0</v>
      </c>
      <c r="Q24" s="58">
        <v>400000.0</v>
      </c>
      <c r="R24" s="58" t="s">
        <v>116</v>
      </c>
      <c r="S24" s="55" t="s">
        <v>34</v>
      </c>
      <c r="T24" s="54">
        <v>46102.0</v>
      </c>
      <c r="U24" s="59">
        <v>14.0</v>
      </c>
      <c r="V24" s="60"/>
      <c r="W24" s="59">
        <v>20.0</v>
      </c>
      <c r="X24" s="61"/>
      <c r="Y24" s="61"/>
      <c r="Z24" s="61"/>
      <c r="AA24" s="61"/>
      <c r="AB24" s="61"/>
      <c r="AC24" s="61"/>
      <c r="AD24" s="61"/>
    </row>
    <row r="25" ht="15.75" customHeight="1">
      <c r="A25" s="69" t="s">
        <v>173</v>
      </c>
      <c r="B25" s="70">
        <v>46101.0</v>
      </c>
      <c r="C25" s="71"/>
      <c r="D25" s="72">
        <v>405.0</v>
      </c>
      <c r="E25" s="73">
        <v>30050.0</v>
      </c>
      <c r="F25" s="72">
        <v>600.0</v>
      </c>
      <c r="G25" s="71"/>
      <c r="H25" s="71"/>
      <c r="I25" s="71"/>
      <c r="J25" s="74" t="s">
        <v>80</v>
      </c>
      <c r="K25" s="75"/>
      <c r="L25" s="74" t="s">
        <v>174</v>
      </c>
      <c r="M25" s="74" t="s">
        <v>175</v>
      </c>
      <c r="N25" s="74">
        <v>4.441652219E9</v>
      </c>
      <c r="O25" s="76">
        <v>46104.0</v>
      </c>
      <c r="P25" s="77">
        <v>360780.0</v>
      </c>
      <c r="Q25" s="77">
        <f>P25</f>
        <v>360780</v>
      </c>
      <c r="R25" s="78"/>
      <c r="S25" s="72" t="s">
        <v>140</v>
      </c>
      <c r="T25" s="79"/>
      <c r="U25" s="80"/>
      <c r="V25" s="80"/>
      <c r="W25" s="81">
        <v>30.0</v>
      </c>
      <c r="X25" s="82"/>
      <c r="Y25" s="82"/>
      <c r="Z25" s="82"/>
      <c r="AA25" s="82"/>
      <c r="AB25" s="82"/>
      <c r="AC25" s="82"/>
      <c r="AD25" s="82"/>
    </row>
    <row r="26" ht="15.75" customHeight="1">
      <c r="A26" s="53" t="s">
        <v>176</v>
      </c>
      <c r="B26" s="54">
        <v>46101.0</v>
      </c>
      <c r="C26" s="57"/>
      <c r="D26" s="55">
        <v>405.0</v>
      </c>
      <c r="E26" s="56">
        <v>30120.0</v>
      </c>
      <c r="F26" s="55">
        <v>600.0</v>
      </c>
      <c r="G26" s="57"/>
      <c r="H26" s="57"/>
      <c r="I26" s="57"/>
      <c r="J26" s="55" t="s">
        <v>50</v>
      </c>
      <c r="K26" s="57"/>
      <c r="L26" s="55" t="s">
        <v>156</v>
      </c>
      <c r="M26" s="55" t="s">
        <v>177</v>
      </c>
      <c r="N26" s="55">
        <v>6.44172043E9</v>
      </c>
      <c r="O26" s="54">
        <v>46104.0</v>
      </c>
      <c r="P26" s="58">
        <v>412200.0</v>
      </c>
      <c r="Q26" s="58">
        <v>412200.0</v>
      </c>
      <c r="R26" s="58" t="s">
        <v>116</v>
      </c>
      <c r="S26" s="55" t="s">
        <v>34</v>
      </c>
      <c r="T26" s="54">
        <v>46104.0</v>
      </c>
      <c r="U26" s="59">
        <v>15.0</v>
      </c>
      <c r="V26" s="60"/>
      <c r="W26" s="59">
        <v>20.0</v>
      </c>
      <c r="X26" s="61"/>
      <c r="Y26" s="61"/>
      <c r="Z26" s="61"/>
      <c r="AA26" s="61"/>
      <c r="AB26" s="61"/>
      <c r="AC26" s="61"/>
      <c r="AD26" s="61"/>
    </row>
    <row r="27" ht="15.75" customHeight="1">
      <c r="A27" s="53" t="s">
        <v>178</v>
      </c>
      <c r="B27" s="54">
        <v>46101.0</v>
      </c>
      <c r="C27" s="57"/>
      <c r="D27" s="55">
        <v>405.0</v>
      </c>
      <c r="E27" s="56">
        <v>29920.0</v>
      </c>
      <c r="F27" s="55">
        <v>600.0</v>
      </c>
      <c r="G27" s="57"/>
      <c r="H27" s="57"/>
      <c r="I27" s="57"/>
      <c r="J27" s="55" t="s">
        <v>69</v>
      </c>
      <c r="K27" s="57"/>
      <c r="L27" s="55" t="s">
        <v>179</v>
      </c>
      <c r="M27" s="55" t="s">
        <v>180</v>
      </c>
      <c r="N27" s="55">
        <v>5.662215067E9</v>
      </c>
      <c r="O27" s="54">
        <v>46104.0</v>
      </c>
      <c r="P27" s="58">
        <v>375200.0</v>
      </c>
      <c r="Q27" s="58">
        <v>375200.0</v>
      </c>
      <c r="R27" s="58" t="s">
        <v>116</v>
      </c>
      <c r="S27" s="55" t="s">
        <v>34</v>
      </c>
      <c r="T27" s="54">
        <v>46128.0</v>
      </c>
      <c r="U27" s="59">
        <v>14.0</v>
      </c>
      <c r="V27" s="60"/>
      <c r="W27" s="59">
        <v>18.0</v>
      </c>
      <c r="X27" s="61"/>
      <c r="Y27" s="61"/>
      <c r="Z27" s="61"/>
      <c r="AA27" s="61"/>
      <c r="AB27" s="61"/>
      <c r="AC27" s="61"/>
      <c r="AD27" s="61"/>
    </row>
    <row r="28" ht="15.75" customHeight="1">
      <c r="A28" s="53" t="s">
        <v>181</v>
      </c>
      <c r="B28" s="54">
        <v>46104.0</v>
      </c>
      <c r="C28" s="57"/>
      <c r="D28" s="55">
        <v>405.0</v>
      </c>
      <c r="E28" s="56">
        <v>31160.0</v>
      </c>
      <c r="F28" s="55">
        <v>500.0</v>
      </c>
      <c r="G28" s="55">
        <v>100.0</v>
      </c>
      <c r="H28" s="57"/>
      <c r="I28" s="57"/>
      <c r="J28" s="62" t="s">
        <v>118</v>
      </c>
      <c r="K28" s="63"/>
      <c r="L28" s="62" t="s">
        <v>119</v>
      </c>
      <c r="M28" s="62" t="s">
        <v>182</v>
      </c>
      <c r="N28" s="62">
        <v>3.334703236E9</v>
      </c>
      <c r="O28" s="64">
        <v>46106.0</v>
      </c>
      <c r="P28" s="65">
        <v>443744.0</v>
      </c>
      <c r="Q28" s="65">
        <v>443744.0</v>
      </c>
      <c r="R28" s="58" t="s">
        <v>116</v>
      </c>
      <c r="S28" s="55" t="s">
        <v>34</v>
      </c>
      <c r="T28" s="54">
        <v>46107.0</v>
      </c>
      <c r="U28" s="59">
        <v>16.0</v>
      </c>
      <c r="V28" s="59">
        <v>12.0</v>
      </c>
      <c r="W28" s="59">
        <v>22.0</v>
      </c>
      <c r="X28" s="61"/>
      <c r="Y28" s="61"/>
      <c r="Z28" s="61"/>
      <c r="AA28" s="61"/>
      <c r="AB28" s="61"/>
      <c r="AC28" s="61"/>
      <c r="AD28" s="61"/>
    </row>
    <row r="29" ht="15.75" customHeight="1">
      <c r="A29" s="53" t="s">
        <v>183</v>
      </c>
      <c r="B29" s="54">
        <v>46106.0</v>
      </c>
      <c r="C29" s="57"/>
      <c r="D29" s="55">
        <v>405.0</v>
      </c>
      <c r="E29" s="56">
        <v>31440.0</v>
      </c>
      <c r="F29" s="55">
        <v>600.0</v>
      </c>
      <c r="G29" s="55"/>
      <c r="H29" s="57"/>
      <c r="I29" s="57"/>
      <c r="J29" s="55" t="s">
        <v>80</v>
      </c>
      <c r="K29" s="57"/>
      <c r="L29" s="55" t="s">
        <v>126</v>
      </c>
      <c r="M29" s="55" t="s">
        <v>184</v>
      </c>
      <c r="N29" s="55">
        <v>8.444934909E9</v>
      </c>
      <c r="O29" s="54">
        <v>46108.0</v>
      </c>
      <c r="P29" s="58">
        <v>541260.0</v>
      </c>
      <c r="Q29" s="58">
        <v>541260.0</v>
      </c>
      <c r="R29" s="58" t="s">
        <v>116</v>
      </c>
      <c r="S29" s="55" t="s">
        <v>34</v>
      </c>
      <c r="T29" s="54">
        <v>46150.0</v>
      </c>
      <c r="U29" s="59">
        <v>18.0</v>
      </c>
      <c r="V29" s="59"/>
      <c r="W29" s="59">
        <v>25.0</v>
      </c>
      <c r="X29" s="61"/>
      <c r="Y29" s="61"/>
      <c r="Z29" s="61"/>
      <c r="AA29" s="61"/>
      <c r="AB29" s="61"/>
      <c r="AC29" s="61"/>
      <c r="AD29" s="61"/>
    </row>
    <row r="30" ht="15.75" customHeight="1">
      <c r="A30" s="53" t="s">
        <v>185</v>
      </c>
      <c r="B30" s="54">
        <v>46106.0</v>
      </c>
      <c r="C30" s="57"/>
      <c r="D30" s="55">
        <v>405.0</v>
      </c>
      <c r="E30" s="56">
        <v>31000.0</v>
      </c>
      <c r="F30" s="55">
        <v>600.0</v>
      </c>
      <c r="G30" s="57"/>
      <c r="H30" s="57"/>
      <c r="I30" s="57"/>
      <c r="J30" s="62" t="s">
        <v>29</v>
      </c>
      <c r="K30" s="63"/>
      <c r="L30" s="62" t="s">
        <v>128</v>
      </c>
      <c r="M30" s="62" t="s">
        <v>186</v>
      </c>
      <c r="N30" s="62">
        <v>1.5092748188E10</v>
      </c>
      <c r="O30" s="64">
        <v>46108.0</v>
      </c>
      <c r="P30" s="65">
        <v>490968.0</v>
      </c>
      <c r="Q30" s="65">
        <v>490968.0</v>
      </c>
      <c r="R30" s="58" t="s">
        <v>116</v>
      </c>
      <c r="S30" s="55" t="s">
        <v>34</v>
      </c>
      <c r="T30" s="54">
        <v>46121.0</v>
      </c>
      <c r="U30" s="59">
        <v>18.0</v>
      </c>
      <c r="V30" s="60"/>
      <c r="W30" s="59">
        <v>25.0</v>
      </c>
      <c r="X30" s="61"/>
      <c r="Y30" s="61"/>
      <c r="Z30" s="61"/>
      <c r="AA30" s="61"/>
      <c r="AB30" s="61"/>
      <c r="AC30" s="61"/>
      <c r="AD30" s="61"/>
    </row>
    <row r="31" ht="15.75" customHeight="1">
      <c r="A31" s="53" t="s">
        <v>187</v>
      </c>
      <c r="B31" s="54">
        <v>46107.0</v>
      </c>
      <c r="C31" s="57"/>
      <c r="D31" s="55">
        <v>405.0</v>
      </c>
      <c r="E31" s="56">
        <v>30870.0</v>
      </c>
      <c r="F31" s="55">
        <v>300.0</v>
      </c>
      <c r="G31" s="55">
        <v>300.0</v>
      </c>
      <c r="H31" s="57"/>
      <c r="I31" s="57"/>
      <c r="J31" s="55" t="s">
        <v>13</v>
      </c>
      <c r="K31" s="57"/>
      <c r="L31" s="55" t="s">
        <v>114</v>
      </c>
      <c r="M31" s="55" t="s">
        <v>188</v>
      </c>
      <c r="N31" s="55">
        <v>5.545389067E9</v>
      </c>
      <c r="O31" s="54">
        <v>46109.0</v>
      </c>
      <c r="P31" s="58">
        <v>443765.0</v>
      </c>
      <c r="Q31" s="58">
        <v>153065.0</v>
      </c>
      <c r="R31" s="58">
        <v>290700.0</v>
      </c>
      <c r="S31" s="55" t="s">
        <v>140</v>
      </c>
      <c r="T31" s="54"/>
      <c r="U31" s="59">
        <v>18.0</v>
      </c>
      <c r="V31" s="59">
        <v>13.0</v>
      </c>
      <c r="W31" s="59">
        <v>22.0</v>
      </c>
      <c r="X31" s="61"/>
      <c r="Y31" s="61"/>
      <c r="Z31" s="61"/>
      <c r="AA31" s="61"/>
      <c r="AB31" s="61"/>
      <c r="AC31" s="61"/>
      <c r="AD31" s="61"/>
    </row>
    <row r="32" ht="15.75" customHeight="1">
      <c r="A32" s="53" t="s">
        <v>189</v>
      </c>
      <c r="B32" s="54">
        <v>46107.0</v>
      </c>
      <c r="C32" s="57"/>
      <c r="D32" s="55">
        <v>405.0</v>
      </c>
      <c r="E32" s="56">
        <v>31150.0</v>
      </c>
      <c r="F32" s="55"/>
      <c r="G32" s="55">
        <v>600.0</v>
      </c>
      <c r="H32" s="57"/>
      <c r="I32" s="57"/>
      <c r="J32" s="62" t="s">
        <v>190</v>
      </c>
      <c r="K32" s="63"/>
      <c r="L32" s="62" t="s">
        <v>191</v>
      </c>
      <c r="M32" s="62" t="s">
        <v>192</v>
      </c>
      <c r="N32" s="62">
        <v>6.682258643E9</v>
      </c>
      <c r="O32" s="64">
        <v>46109.0</v>
      </c>
      <c r="P32" s="65">
        <v>382050.0</v>
      </c>
      <c r="Q32" s="65">
        <v>382050.0</v>
      </c>
      <c r="R32" s="58" t="s">
        <v>116</v>
      </c>
      <c r="S32" s="55" t="s">
        <v>34</v>
      </c>
      <c r="T32" s="54">
        <v>46128.0</v>
      </c>
      <c r="U32" s="59"/>
      <c r="V32" s="59">
        <v>13.5</v>
      </c>
      <c r="W32" s="59">
        <v>22.0</v>
      </c>
      <c r="X32" s="61"/>
      <c r="Y32" s="61"/>
      <c r="Z32" s="61"/>
      <c r="AA32" s="61"/>
      <c r="AB32" s="61"/>
      <c r="AC32" s="61"/>
      <c r="AD32" s="61"/>
    </row>
    <row r="33" ht="15.75" customHeight="1">
      <c r="A33" s="53" t="s">
        <v>193</v>
      </c>
      <c r="B33" s="54">
        <v>46107.0</v>
      </c>
      <c r="C33" s="57"/>
      <c r="D33" s="55">
        <v>405.0</v>
      </c>
      <c r="E33" s="56">
        <v>31080.0</v>
      </c>
      <c r="F33" s="55">
        <v>600.0</v>
      </c>
      <c r="G33" s="55"/>
      <c r="H33" s="57"/>
      <c r="I33" s="57"/>
      <c r="J33" s="55" t="s">
        <v>78</v>
      </c>
      <c r="K33" s="57"/>
      <c r="L33" s="55" t="s">
        <v>128</v>
      </c>
      <c r="M33" s="55" t="s">
        <v>194</v>
      </c>
      <c r="N33" s="55">
        <v>6.251037565E9</v>
      </c>
      <c r="O33" s="54">
        <v>46109.0</v>
      </c>
      <c r="P33" s="58">
        <v>473040.0</v>
      </c>
      <c r="Q33" s="58">
        <v>473040.0</v>
      </c>
      <c r="R33" s="58" t="s">
        <v>116</v>
      </c>
      <c r="S33" s="55" t="s">
        <v>34</v>
      </c>
      <c r="T33" s="54">
        <v>46125.0</v>
      </c>
      <c r="U33" s="59">
        <v>18.0</v>
      </c>
      <c r="V33" s="59"/>
      <c r="W33" s="59">
        <v>25.0</v>
      </c>
      <c r="X33" s="61"/>
      <c r="Y33" s="61"/>
      <c r="Z33" s="61"/>
      <c r="AA33" s="61"/>
      <c r="AB33" s="61"/>
      <c r="AC33" s="61"/>
      <c r="AD33" s="61"/>
    </row>
    <row r="34" ht="15.75" customHeight="1">
      <c r="A34" s="53" t="s">
        <v>195</v>
      </c>
      <c r="B34" s="54">
        <v>46107.0</v>
      </c>
      <c r="C34" s="57"/>
      <c r="D34" s="55">
        <v>405.0</v>
      </c>
      <c r="E34" s="56">
        <v>30670.0</v>
      </c>
      <c r="F34" s="55">
        <v>300.0</v>
      </c>
      <c r="G34" s="55">
        <v>300.0</v>
      </c>
      <c r="H34" s="57"/>
      <c r="I34" s="57"/>
      <c r="J34" s="55" t="s">
        <v>47</v>
      </c>
      <c r="K34" s="57"/>
      <c r="L34" s="55" t="s">
        <v>196</v>
      </c>
      <c r="M34" s="55" t="s">
        <v>197</v>
      </c>
      <c r="N34" s="55">
        <v>2.41103871E9</v>
      </c>
      <c r="O34" s="54">
        <v>46109.0</v>
      </c>
      <c r="P34" s="58">
        <v>418950.0</v>
      </c>
      <c r="Q34" s="58">
        <v>418950.0</v>
      </c>
      <c r="R34" s="58" t="s">
        <v>116</v>
      </c>
      <c r="S34" s="55" t="s">
        <v>34</v>
      </c>
      <c r="T34" s="54">
        <v>46107.0</v>
      </c>
      <c r="U34" s="59">
        <v>18.0</v>
      </c>
      <c r="V34" s="59">
        <v>13.5</v>
      </c>
      <c r="W34" s="59">
        <v>26.0</v>
      </c>
      <c r="X34" s="61"/>
      <c r="Y34" s="61"/>
      <c r="Z34" s="61"/>
      <c r="AA34" s="61"/>
      <c r="AB34" s="61"/>
      <c r="AC34" s="61"/>
      <c r="AD34" s="61"/>
    </row>
    <row r="35" ht="15.75" customHeight="1">
      <c r="A35" s="53" t="s">
        <v>198</v>
      </c>
      <c r="B35" s="54">
        <v>46107.0</v>
      </c>
      <c r="C35" s="57"/>
      <c r="D35" s="55">
        <v>405.0</v>
      </c>
      <c r="E35" s="56">
        <v>30880.0</v>
      </c>
      <c r="F35" s="55"/>
      <c r="G35" s="55">
        <v>600.0</v>
      </c>
      <c r="H35" s="57"/>
      <c r="I35" s="57"/>
      <c r="J35" s="55" t="s">
        <v>72</v>
      </c>
      <c r="K35" s="57"/>
      <c r="L35" s="55" t="s">
        <v>199</v>
      </c>
      <c r="M35" s="55" t="s">
        <v>200</v>
      </c>
      <c r="N35" s="55">
        <v>5.57965895E9</v>
      </c>
      <c r="O35" s="54">
        <v>46109.0</v>
      </c>
      <c r="P35" s="58">
        <v>411320.0</v>
      </c>
      <c r="Q35" s="58">
        <v>411320.0</v>
      </c>
      <c r="R35" s="58" t="s">
        <v>116</v>
      </c>
      <c r="S35" s="55" t="s">
        <v>34</v>
      </c>
      <c r="T35" s="54">
        <v>46119.0</v>
      </c>
      <c r="U35" s="59"/>
      <c r="V35" s="59">
        <v>14.0</v>
      </c>
      <c r="W35" s="59">
        <v>20.0</v>
      </c>
      <c r="X35" s="66"/>
      <c r="Y35" s="66"/>
      <c r="Z35" s="66"/>
      <c r="AA35" s="66"/>
      <c r="AB35" s="66"/>
      <c r="AC35" s="66"/>
      <c r="AD35" s="66"/>
    </row>
    <row r="36" ht="15.75" customHeight="1">
      <c r="A36" s="53" t="s">
        <v>201</v>
      </c>
      <c r="B36" s="54">
        <v>46111.0</v>
      </c>
      <c r="C36" s="57"/>
      <c r="D36" s="55" t="s">
        <v>202</v>
      </c>
      <c r="E36" s="56">
        <v>30310.0</v>
      </c>
      <c r="F36" s="57"/>
      <c r="G36" s="55">
        <v>600.0</v>
      </c>
      <c r="H36" s="57"/>
      <c r="I36" s="57"/>
      <c r="J36" s="55" t="s">
        <v>203</v>
      </c>
      <c r="K36" s="57"/>
      <c r="L36" s="55" t="s">
        <v>204</v>
      </c>
      <c r="M36" s="55" t="s">
        <v>205</v>
      </c>
      <c r="N36" s="55">
        <v>7.260040279E9</v>
      </c>
      <c r="O36" s="54">
        <v>46113.0</v>
      </c>
      <c r="P36" s="58">
        <v>326810.0</v>
      </c>
      <c r="Q36" s="58">
        <f>P36</f>
        <v>326810</v>
      </c>
      <c r="R36" s="58">
        <f>P36-Q36</f>
        <v>0</v>
      </c>
      <c r="S36" s="55" t="s">
        <v>34</v>
      </c>
      <c r="T36" s="54">
        <v>46104.0</v>
      </c>
      <c r="U36" s="60"/>
      <c r="V36" s="59">
        <v>11.0</v>
      </c>
      <c r="W36" s="59">
        <v>23.0</v>
      </c>
      <c r="X36" s="61"/>
      <c r="Y36" s="61"/>
      <c r="Z36" s="61"/>
      <c r="AA36" s="61"/>
      <c r="AB36" s="61"/>
      <c r="AC36" s="61"/>
      <c r="AD36" s="61"/>
    </row>
    <row r="37" ht="15.75" customHeight="1">
      <c r="A37" s="53" t="s">
        <v>206</v>
      </c>
      <c r="B37" s="54">
        <v>46112.0</v>
      </c>
      <c r="C37" s="57"/>
      <c r="D37" s="55" t="s">
        <v>202</v>
      </c>
      <c r="E37" s="56">
        <v>30030.0</v>
      </c>
      <c r="F37" s="55">
        <v>600.0</v>
      </c>
      <c r="G37" s="55"/>
      <c r="H37" s="57"/>
      <c r="I37" s="57"/>
      <c r="J37" s="62" t="s">
        <v>80</v>
      </c>
      <c r="K37" s="63"/>
      <c r="L37" s="62" t="s">
        <v>126</v>
      </c>
      <c r="M37" s="62" t="s">
        <v>59</v>
      </c>
      <c r="N37" s="62">
        <v>4.721612703E9</v>
      </c>
      <c r="O37" s="64">
        <v>46118.0</v>
      </c>
      <c r="P37" s="65">
        <v>558800.0</v>
      </c>
      <c r="Q37" s="65">
        <v>558800.0</v>
      </c>
      <c r="R37" s="58" t="s">
        <v>116</v>
      </c>
      <c r="S37" s="55" t="s">
        <v>140</v>
      </c>
      <c r="T37" s="54"/>
      <c r="U37" s="59">
        <v>20.0</v>
      </c>
      <c r="V37" s="59"/>
      <c r="W37" s="59"/>
      <c r="X37" s="45"/>
      <c r="Y37" s="45"/>
      <c r="Z37" s="45"/>
      <c r="AA37" s="45"/>
      <c r="AB37" s="45"/>
      <c r="AC37" s="45"/>
      <c r="AD37" s="45"/>
    </row>
    <row r="38" ht="15.75" customHeight="1">
      <c r="A38" s="53" t="s">
        <v>207</v>
      </c>
      <c r="B38" s="54">
        <v>46135.0</v>
      </c>
      <c r="C38" s="57"/>
      <c r="D38" s="55"/>
      <c r="E38" s="56">
        <v>29990.0</v>
      </c>
      <c r="F38" s="55"/>
      <c r="G38" s="57"/>
      <c r="H38" s="57"/>
      <c r="I38" s="57"/>
      <c r="J38" s="62" t="s">
        <v>72</v>
      </c>
      <c r="K38" s="63"/>
      <c r="L38" s="62" t="s">
        <v>199</v>
      </c>
      <c r="M38" s="62" t="s">
        <v>208</v>
      </c>
      <c r="N38" s="62">
        <v>6.688609045E9</v>
      </c>
      <c r="O38" s="64">
        <v>46138.0</v>
      </c>
      <c r="P38" s="65">
        <v>676800.0</v>
      </c>
      <c r="Q38" s="65">
        <f>P38</f>
        <v>676800</v>
      </c>
      <c r="R38" s="58">
        <f>P38-Q38</f>
        <v>0</v>
      </c>
      <c r="S38" s="55" t="s">
        <v>34</v>
      </c>
      <c r="T38" s="67"/>
      <c r="U38" s="59">
        <v>24.0</v>
      </c>
      <c r="V38" s="59"/>
      <c r="W38" s="60"/>
      <c r="X38" s="45"/>
      <c r="Y38" s="45"/>
      <c r="Z38" s="45"/>
      <c r="AA38" s="45"/>
      <c r="AB38" s="45"/>
      <c r="AC38" s="45"/>
      <c r="AD38" s="45"/>
    </row>
    <row r="39" ht="15.75" customHeight="1">
      <c r="A39" s="53" t="s">
        <v>209</v>
      </c>
      <c r="B39" s="54">
        <v>46141.0</v>
      </c>
      <c r="C39" s="57"/>
      <c r="D39" s="57"/>
      <c r="E39" s="56">
        <v>30300.0</v>
      </c>
      <c r="F39" s="57"/>
      <c r="G39" s="57"/>
      <c r="H39" s="55" t="s">
        <v>210</v>
      </c>
      <c r="I39" s="57"/>
      <c r="J39" s="55" t="s">
        <v>50</v>
      </c>
      <c r="K39" s="57"/>
      <c r="L39" s="55" t="s">
        <v>156</v>
      </c>
      <c r="M39" s="55" t="s">
        <v>211</v>
      </c>
      <c r="N39" s="55">
        <v>5.635245789E9</v>
      </c>
      <c r="O39" s="54">
        <v>46143.0</v>
      </c>
      <c r="P39" s="58">
        <v>679680.0</v>
      </c>
      <c r="Q39" s="58" t="str">
        <f>Q40</f>
        <v>$-</v>
      </c>
      <c r="R39" s="58">
        <v>679680.0</v>
      </c>
      <c r="S39" s="55" t="s">
        <v>140</v>
      </c>
      <c r="T39" s="54">
        <v>46143.0</v>
      </c>
      <c r="U39" s="59">
        <v>24.0</v>
      </c>
      <c r="V39" s="59"/>
      <c r="W39" s="60"/>
      <c r="X39" s="45"/>
      <c r="Y39" s="45"/>
      <c r="Z39" s="45"/>
      <c r="AA39" s="45"/>
      <c r="AB39" s="45"/>
      <c r="AC39" s="45"/>
      <c r="AD39" s="45"/>
    </row>
    <row r="40" ht="15.75" customHeight="1">
      <c r="A40" s="53" t="s">
        <v>212</v>
      </c>
      <c r="B40" s="54">
        <v>46141.0</v>
      </c>
      <c r="C40" s="45"/>
      <c r="D40" s="45"/>
      <c r="E40" s="56">
        <v>29900.0</v>
      </c>
      <c r="F40" s="83"/>
      <c r="G40" s="83"/>
      <c r="H40" s="84"/>
      <c r="I40" s="85"/>
      <c r="J40" s="55" t="s">
        <v>213</v>
      </c>
      <c r="K40" s="57"/>
      <c r="L40" s="55" t="s">
        <v>160</v>
      </c>
      <c r="M40" s="55" t="s">
        <v>214</v>
      </c>
      <c r="N40" s="55">
        <v>4.521762782E9</v>
      </c>
      <c r="O40" s="54">
        <v>46144.0</v>
      </c>
      <c r="P40" s="58">
        <v>658200.0</v>
      </c>
      <c r="Q40" s="58" t="s">
        <v>116</v>
      </c>
      <c r="R40" s="58">
        <v>658200.0</v>
      </c>
      <c r="S40" s="55" t="s">
        <v>140</v>
      </c>
      <c r="T40" s="54"/>
      <c r="U40" s="59">
        <v>24.0</v>
      </c>
      <c r="V40" s="59"/>
      <c r="W40" s="60"/>
      <c r="X40" s="45"/>
      <c r="Y40" s="45"/>
      <c r="Z40" s="45"/>
      <c r="AA40" s="45"/>
      <c r="AB40" s="45"/>
      <c r="AC40" s="45"/>
      <c r="AD40" s="45"/>
    </row>
    <row r="41" ht="15.75" customHeight="1">
      <c r="A41" s="53" t="s">
        <v>215</v>
      </c>
      <c r="B41" s="54">
        <v>38841.0</v>
      </c>
      <c r="C41" s="86"/>
      <c r="D41" s="86"/>
      <c r="E41" s="56">
        <v>29930.0</v>
      </c>
      <c r="F41" s="86"/>
      <c r="G41" s="86"/>
      <c r="H41" s="86"/>
      <c r="I41" s="86"/>
      <c r="J41" s="55" t="s">
        <v>50</v>
      </c>
      <c r="K41" s="57"/>
      <c r="L41" s="55" t="s">
        <v>156</v>
      </c>
      <c r="M41" s="55" t="s">
        <v>216</v>
      </c>
      <c r="N41" s="55">
        <v>7.712832632E9</v>
      </c>
      <c r="O41" s="54"/>
      <c r="P41" s="78"/>
      <c r="Q41" s="58" t="s">
        <v>116</v>
      </c>
      <c r="R41" s="78" t="str">
        <f t="shared" ref="R41:R42" si="2">P41</f>
        <v/>
      </c>
      <c r="S41" s="55"/>
      <c r="T41" s="67"/>
      <c r="U41" s="60"/>
      <c r="V41" s="59"/>
      <c r="W41" s="60"/>
      <c r="X41" s="45"/>
      <c r="Y41" s="45"/>
      <c r="Z41" s="45"/>
      <c r="AA41" s="45"/>
      <c r="AB41" s="45"/>
      <c r="AC41" s="45"/>
      <c r="AD41" s="45"/>
    </row>
    <row r="42" ht="15.75" customHeight="1">
      <c r="A42" s="53" t="s">
        <v>217</v>
      </c>
      <c r="B42" s="87">
        <v>46149.0</v>
      </c>
      <c r="C42" s="86"/>
      <c r="D42" s="86"/>
      <c r="E42" s="56">
        <v>29068.0</v>
      </c>
      <c r="F42" s="88"/>
      <c r="G42" s="86"/>
      <c r="H42" s="86"/>
      <c r="I42" s="86"/>
      <c r="J42" s="55" t="s">
        <v>38</v>
      </c>
      <c r="K42" s="86"/>
      <c r="L42" s="55" t="s">
        <v>123</v>
      </c>
      <c r="M42" s="55" t="s">
        <v>218</v>
      </c>
      <c r="N42" s="55">
        <v>5.648078303E9</v>
      </c>
      <c r="O42" s="86"/>
      <c r="P42" s="78"/>
      <c r="Q42" s="58" t="s">
        <v>116</v>
      </c>
      <c r="R42" s="78" t="str">
        <f t="shared" si="2"/>
        <v/>
      </c>
      <c r="S42" s="89"/>
      <c r="T42" s="89"/>
      <c r="U42" s="45"/>
      <c r="V42" s="45"/>
      <c r="W42" s="90"/>
      <c r="X42" s="45"/>
      <c r="Y42" s="45"/>
      <c r="Z42" s="45"/>
      <c r="AA42" s="45"/>
      <c r="AB42" s="45"/>
      <c r="AC42" s="45"/>
      <c r="AD42" s="45"/>
    </row>
    <row r="43" ht="15.75" customHeight="1">
      <c r="A43" s="53" t="s">
        <v>219</v>
      </c>
      <c r="B43" s="87">
        <v>46149.0</v>
      </c>
      <c r="C43" s="86"/>
      <c r="D43" s="86"/>
      <c r="E43" s="56">
        <v>12590.0</v>
      </c>
      <c r="F43" s="88"/>
      <c r="G43" s="86"/>
      <c r="H43" s="86"/>
      <c r="I43" s="86"/>
      <c r="J43" s="55" t="s">
        <v>220</v>
      </c>
      <c r="K43" s="86"/>
      <c r="L43" s="55" t="s">
        <v>83</v>
      </c>
      <c r="M43" s="55" t="s">
        <v>221</v>
      </c>
      <c r="N43" s="55">
        <v>3.23151262E9</v>
      </c>
      <c r="O43" s="86"/>
      <c r="P43" s="58">
        <v>277368.0</v>
      </c>
      <c r="Q43" s="58">
        <v>400000.0</v>
      </c>
      <c r="R43" s="58">
        <f>P43-Q43</f>
        <v>-122632</v>
      </c>
      <c r="S43" s="55" t="s">
        <v>140</v>
      </c>
      <c r="T43" s="86"/>
      <c r="U43" s="59">
        <v>24.0</v>
      </c>
      <c r="V43" s="91"/>
      <c r="W43" s="92"/>
      <c r="X43" s="91"/>
      <c r="Y43" s="91"/>
      <c r="Z43" s="91"/>
      <c r="AA43" s="91"/>
      <c r="AB43" s="91"/>
      <c r="AC43" s="91"/>
      <c r="AD43" s="91"/>
    </row>
    <row r="44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93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90"/>
      <c r="X44" s="45"/>
      <c r="Y44" s="45"/>
      <c r="Z44" s="45"/>
      <c r="AA44" s="45"/>
      <c r="AB44" s="45"/>
      <c r="AC44" s="45"/>
      <c r="AD44" s="45"/>
    </row>
    <row r="45" ht="15.75" customHeight="1">
      <c r="A45" s="45"/>
      <c r="B45" s="45"/>
      <c r="C45" s="45"/>
      <c r="D45" s="45"/>
      <c r="E45" s="93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90"/>
      <c r="X45" s="45"/>
      <c r="Y45" s="45"/>
      <c r="Z45" s="45"/>
      <c r="AA45" s="45"/>
      <c r="AB45" s="45"/>
      <c r="AC45" s="45"/>
      <c r="AD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93"/>
      <c r="P46" s="45"/>
      <c r="Q46" s="45"/>
      <c r="R46" s="45"/>
      <c r="S46" s="45"/>
      <c r="T46" s="45"/>
      <c r="U46" s="45"/>
      <c r="V46" s="45"/>
      <c r="W46" s="90"/>
      <c r="X46" s="45"/>
      <c r="Y46" s="45"/>
      <c r="Z46" s="45"/>
      <c r="AA46" s="45"/>
      <c r="AB46" s="45"/>
      <c r="AC46" s="45"/>
      <c r="AD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94"/>
      <c r="L47" s="45"/>
      <c r="M47" s="45"/>
      <c r="N47" s="45"/>
      <c r="O47" s="93"/>
      <c r="P47" s="95"/>
      <c r="Q47" s="45"/>
      <c r="R47" s="45"/>
      <c r="S47" s="45"/>
      <c r="T47" s="45"/>
      <c r="U47" s="45"/>
      <c r="V47" s="45"/>
      <c r="W47" s="90"/>
      <c r="X47" s="45"/>
      <c r="Y47" s="45"/>
      <c r="Z47" s="45"/>
      <c r="AA47" s="45"/>
      <c r="AB47" s="45"/>
      <c r="AC47" s="45"/>
      <c r="AD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93"/>
      <c r="P48" s="45"/>
      <c r="Q48" s="45"/>
      <c r="R48" s="45"/>
      <c r="S48" s="45"/>
      <c r="T48" s="45"/>
      <c r="U48" s="45"/>
      <c r="V48" s="45"/>
      <c r="W48" s="90"/>
      <c r="X48" s="45"/>
      <c r="Y48" s="45"/>
      <c r="Z48" s="45"/>
      <c r="AA48" s="45"/>
      <c r="AB48" s="45"/>
      <c r="AC48" s="45"/>
      <c r="AD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90"/>
      <c r="X49" s="45"/>
      <c r="Y49" s="45"/>
      <c r="Z49" s="45"/>
      <c r="AA49" s="45"/>
      <c r="AB49" s="45"/>
      <c r="AC49" s="45"/>
      <c r="AD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90"/>
      <c r="X50" s="45"/>
      <c r="Y50" s="45"/>
      <c r="Z50" s="45"/>
      <c r="AA50" s="45"/>
      <c r="AB50" s="45"/>
      <c r="AC50" s="45"/>
      <c r="AD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90"/>
      <c r="X51" s="45"/>
      <c r="Y51" s="45"/>
      <c r="Z51" s="45"/>
      <c r="AA51" s="45"/>
      <c r="AB51" s="45"/>
      <c r="AC51" s="45"/>
      <c r="AD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90"/>
      <c r="X52" s="45"/>
      <c r="Y52" s="45"/>
      <c r="Z52" s="45"/>
      <c r="AA52" s="45"/>
      <c r="AB52" s="45"/>
      <c r="AC52" s="45"/>
      <c r="AD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90"/>
      <c r="X53" s="45"/>
      <c r="Y53" s="45"/>
      <c r="Z53" s="45"/>
      <c r="AA53" s="45"/>
      <c r="AB53" s="45"/>
      <c r="AC53" s="45"/>
      <c r="AD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96" t="s">
        <v>222</v>
      </c>
      <c r="M54" s="97">
        <f>SUM(P3:P43)</f>
        <v>17055363</v>
      </c>
      <c r="N54" s="45"/>
      <c r="O54" s="45"/>
      <c r="P54" s="45"/>
      <c r="Q54" s="45"/>
      <c r="R54" s="45"/>
      <c r="S54" s="45"/>
      <c r="T54" s="45"/>
      <c r="U54" s="45"/>
      <c r="V54" s="45"/>
      <c r="W54" s="90"/>
      <c r="X54" s="45"/>
      <c r="Y54" s="45"/>
      <c r="Z54" s="45"/>
      <c r="AA54" s="45"/>
      <c r="AB54" s="45"/>
      <c r="AC54" s="45"/>
      <c r="AD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96" t="s">
        <v>223</v>
      </c>
      <c r="M55" s="95">
        <f>NATURASOL.!B87</f>
        <v>22149968.82</v>
      </c>
      <c r="N55" s="45"/>
      <c r="O55" s="45"/>
      <c r="P55" s="45"/>
      <c r="Q55" s="45"/>
      <c r="R55" s="45"/>
      <c r="S55" s="45"/>
      <c r="T55" s="45"/>
      <c r="U55" s="45"/>
      <c r="V55" s="45"/>
      <c r="W55" s="90"/>
      <c r="X55" s="45"/>
      <c r="Y55" s="45"/>
      <c r="Z55" s="45"/>
      <c r="AA55" s="45"/>
      <c r="AB55" s="45"/>
      <c r="AC55" s="45"/>
      <c r="AD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96" t="s">
        <v>224</v>
      </c>
      <c r="M56" s="97">
        <f>(M54+M55)*0.1</f>
        <v>3920533.182</v>
      </c>
      <c r="N56" s="45"/>
      <c r="O56" s="45"/>
      <c r="P56" s="45"/>
      <c r="Q56" s="45"/>
      <c r="R56" s="45"/>
      <c r="S56" s="45"/>
      <c r="T56" s="45"/>
      <c r="U56" s="45"/>
      <c r="V56" s="45"/>
      <c r="W56" s="90"/>
      <c r="X56" s="45"/>
      <c r="Y56" s="45"/>
      <c r="Z56" s="45"/>
      <c r="AA56" s="45"/>
      <c r="AB56" s="45"/>
      <c r="AC56" s="45"/>
      <c r="AD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96" t="s">
        <v>225</v>
      </c>
      <c r="M57" s="95">
        <f>M55+M54-M56</f>
        <v>35284798.64</v>
      </c>
      <c r="N57" s="45"/>
      <c r="O57" s="45"/>
      <c r="P57" s="45"/>
      <c r="Q57" s="45"/>
      <c r="R57" s="45"/>
      <c r="S57" s="45"/>
      <c r="T57" s="45"/>
      <c r="U57" s="45"/>
      <c r="V57" s="45"/>
      <c r="W57" s="90"/>
      <c r="X57" s="45"/>
      <c r="Y57" s="45"/>
      <c r="Z57" s="45"/>
      <c r="AA57" s="45"/>
      <c r="AB57" s="45"/>
      <c r="AC57" s="45"/>
      <c r="AD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96" t="s">
        <v>226</v>
      </c>
      <c r="M58" s="98">
        <v>2.2567899E7</v>
      </c>
      <c r="N58" s="45"/>
      <c r="O58" s="45"/>
      <c r="P58" s="45"/>
      <c r="Q58" s="45"/>
      <c r="R58" s="45"/>
      <c r="S58" s="45"/>
      <c r="T58" s="45"/>
      <c r="U58" s="45"/>
      <c r="V58" s="45"/>
      <c r="W58" s="90"/>
      <c r="X58" s="45"/>
      <c r="Y58" s="45"/>
      <c r="Z58" s="45"/>
      <c r="AA58" s="45"/>
      <c r="AB58" s="45"/>
      <c r="AC58" s="45"/>
      <c r="AD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96" t="s">
        <v>227</v>
      </c>
      <c r="M59" s="95">
        <f>M57-M58</f>
        <v>12716899.64</v>
      </c>
      <c r="N59" s="45"/>
      <c r="O59" s="45"/>
      <c r="P59" s="45"/>
      <c r="Q59" s="45"/>
      <c r="R59" s="45"/>
      <c r="S59" s="45"/>
      <c r="T59" s="45"/>
      <c r="U59" s="45"/>
      <c r="V59" s="45"/>
      <c r="W59" s="90"/>
      <c r="X59" s="45"/>
      <c r="Y59" s="45"/>
      <c r="Z59" s="45"/>
      <c r="AA59" s="45"/>
      <c r="AB59" s="45"/>
      <c r="AC59" s="45"/>
      <c r="AD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90"/>
      <c r="X60" s="45"/>
      <c r="Y60" s="45"/>
      <c r="Z60" s="45"/>
      <c r="AA60" s="45"/>
      <c r="AB60" s="45"/>
      <c r="AC60" s="45"/>
      <c r="AD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90"/>
      <c r="X61" s="45"/>
      <c r="Y61" s="45"/>
      <c r="Z61" s="45"/>
      <c r="AA61" s="45"/>
      <c r="AB61" s="45"/>
      <c r="AC61" s="45"/>
      <c r="AD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90"/>
      <c r="X62" s="45"/>
      <c r="Y62" s="45"/>
      <c r="Z62" s="45"/>
      <c r="AA62" s="45"/>
      <c r="AB62" s="45"/>
      <c r="AC62" s="45"/>
      <c r="AD62" s="45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90"/>
      <c r="X63" s="45"/>
      <c r="Y63" s="45"/>
      <c r="Z63" s="45"/>
      <c r="AA63" s="45"/>
      <c r="AB63" s="45"/>
      <c r="AC63" s="45"/>
      <c r="AD63" s="45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90"/>
      <c r="X64" s="45"/>
      <c r="Y64" s="45"/>
      <c r="Z64" s="45"/>
      <c r="AA64" s="45"/>
      <c r="AB64" s="45"/>
      <c r="AC64" s="45"/>
      <c r="AD64" s="45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90"/>
      <c r="X65" s="45"/>
      <c r="Y65" s="45"/>
      <c r="Z65" s="45"/>
      <c r="AA65" s="45"/>
      <c r="AB65" s="45"/>
      <c r="AC65" s="45"/>
      <c r="AD65" s="45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90"/>
      <c r="X66" s="45"/>
      <c r="Y66" s="45"/>
      <c r="Z66" s="45"/>
      <c r="AA66" s="45"/>
      <c r="AB66" s="45"/>
      <c r="AC66" s="45"/>
      <c r="AD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90"/>
      <c r="X67" s="45"/>
      <c r="Y67" s="45"/>
      <c r="Z67" s="45"/>
      <c r="AA67" s="45"/>
      <c r="AB67" s="45"/>
      <c r="AC67" s="45"/>
      <c r="AD67" s="45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90"/>
      <c r="X68" s="45"/>
      <c r="Y68" s="45"/>
      <c r="Z68" s="45"/>
      <c r="AA68" s="45"/>
      <c r="AB68" s="45"/>
      <c r="AC68" s="45"/>
      <c r="AD68" s="45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90"/>
      <c r="X69" s="45"/>
      <c r="Y69" s="45"/>
      <c r="Z69" s="45"/>
      <c r="AA69" s="45"/>
      <c r="AB69" s="45"/>
      <c r="AC69" s="45"/>
      <c r="AD69" s="45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90"/>
      <c r="X70" s="45"/>
      <c r="Y70" s="45"/>
      <c r="Z70" s="45"/>
      <c r="AA70" s="45"/>
      <c r="AB70" s="45"/>
      <c r="AC70" s="45"/>
      <c r="AD70" s="45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90"/>
      <c r="X71" s="45"/>
      <c r="Y71" s="45"/>
      <c r="Z71" s="45"/>
      <c r="AA71" s="45"/>
      <c r="AB71" s="45"/>
      <c r="AC71" s="45"/>
      <c r="AD71" s="45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90"/>
      <c r="X72" s="45"/>
      <c r="Y72" s="45"/>
      <c r="Z72" s="45"/>
      <c r="AA72" s="45"/>
      <c r="AB72" s="45"/>
      <c r="AC72" s="45"/>
      <c r="AD72" s="45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90"/>
      <c r="X73" s="45"/>
      <c r="Y73" s="45"/>
      <c r="Z73" s="45"/>
      <c r="AA73" s="45"/>
      <c r="AB73" s="45"/>
      <c r="AC73" s="45"/>
      <c r="AD73" s="45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90"/>
      <c r="X74" s="45"/>
      <c r="Y74" s="45"/>
      <c r="Z74" s="45"/>
      <c r="AA74" s="45"/>
      <c r="AB74" s="45"/>
      <c r="AC74" s="45"/>
      <c r="AD74" s="45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90"/>
      <c r="X75" s="45"/>
      <c r="Y75" s="45"/>
      <c r="Z75" s="45"/>
      <c r="AA75" s="45"/>
      <c r="AB75" s="45"/>
      <c r="AC75" s="45"/>
      <c r="AD75" s="45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90"/>
      <c r="X76" s="45"/>
      <c r="Y76" s="45"/>
      <c r="Z76" s="45"/>
      <c r="AA76" s="45"/>
      <c r="AB76" s="45"/>
      <c r="AC76" s="45"/>
      <c r="AD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90"/>
      <c r="X77" s="45"/>
      <c r="Y77" s="45"/>
      <c r="Z77" s="45"/>
      <c r="AA77" s="45"/>
      <c r="AB77" s="45"/>
      <c r="AC77" s="45"/>
      <c r="AD77" s="45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90"/>
      <c r="X78" s="45"/>
      <c r="Y78" s="45"/>
      <c r="Z78" s="45"/>
      <c r="AA78" s="45"/>
      <c r="AB78" s="45"/>
      <c r="AC78" s="45"/>
      <c r="AD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90"/>
      <c r="X79" s="45"/>
      <c r="Y79" s="45"/>
      <c r="Z79" s="45"/>
      <c r="AA79" s="45"/>
      <c r="AB79" s="45"/>
      <c r="AC79" s="45"/>
      <c r="AD79" s="45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90"/>
      <c r="X80" s="45"/>
      <c r="Y80" s="45"/>
      <c r="Z80" s="45"/>
      <c r="AA80" s="45"/>
      <c r="AB80" s="45"/>
      <c r="AC80" s="45"/>
      <c r="AD80" s="45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90"/>
      <c r="X81" s="45"/>
      <c r="Y81" s="45"/>
      <c r="Z81" s="45"/>
      <c r="AA81" s="45"/>
      <c r="AB81" s="45"/>
      <c r="AC81" s="45"/>
      <c r="AD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90"/>
      <c r="X82" s="45"/>
      <c r="Y82" s="45"/>
      <c r="Z82" s="45"/>
      <c r="AA82" s="45"/>
      <c r="AB82" s="45"/>
      <c r="AC82" s="45"/>
      <c r="AD82" s="45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90"/>
      <c r="X83" s="45"/>
      <c r="Y83" s="45"/>
      <c r="Z83" s="45"/>
      <c r="AA83" s="45"/>
      <c r="AB83" s="45"/>
      <c r="AC83" s="45"/>
      <c r="AD83" s="45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90"/>
      <c r="X84" s="45"/>
      <c r="Y84" s="45"/>
      <c r="Z84" s="45"/>
      <c r="AA84" s="45"/>
      <c r="AB84" s="45"/>
      <c r="AC84" s="45"/>
      <c r="AD84" s="45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90"/>
      <c r="X85" s="45"/>
      <c r="Y85" s="45"/>
      <c r="Z85" s="45"/>
      <c r="AA85" s="45"/>
      <c r="AB85" s="45"/>
      <c r="AC85" s="45"/>
      <c r="AD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90"/>
      <c r="X86" s="45"/>
      <c r="Y86" s="45"/>
      <c r="Z86" s="45"/>
      <c r="AA86" s="45"/>
      <c r="AB86" s="45"/>
      <c r="AC86" s="45"/>
      <c r="AD86" s="45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90"/>
      <c r="X87" s="45"/>
      <c r="Y87" s="45"/>
      <c r="Z87" s="45"/>
      <c r="AA87" s="45"/>
      <c r="AB87" s="45"/>
      <c r="AC87" s="45"/>
      <c r="AD87" s="45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90"/>
      <c r="X88" s="45"/>
      <c r="Y88" s="45"/>
      <c r="Z88" s="45"/>
      <c r="AA88" s="45"/>
      <c r="AB88" s="45"/>
      <c r="AC88" s="45"/>
      <c r="AD88" s="45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90"/>
      <c r="X89" s="45"/>
      <c r="Y89" s="45"/>
      <c r="Z89" s="45"/>
      <c r="AA89" s="45"/>
      <c r="AB89" s="45"/>
      <c r="AC89" s="45"/>
      <c r="AD89" s="45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90"/>
      <c r="X90" s="45"/>
      <c r="Y90" s="45"/>
      <c r="Z90" s="45"/>
      <c r="AA90" s="45"/>
      <c r="AB90" s="45"/>
      <c r="AC90" s="45"/>
      <c r="AD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90"/>
      <c r="X91" s="45"/>
      <c r="Y91" s="45"/>
      <c r="Z91" s="45"/>
      <c r="AA91" s="45"/>
      <c r="AB91" s="45"/>
      <c r="AC91" s="45"/>
      <c r="AD91" s="45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90"/>
      <c r="X92" s="45"/>
      <c r="Y92" s="45"/>
      <c r="Z92" s="45"/>
      <c r="AA92" s="45"/>
      <c r="AB92" s="45"/>
      <c r="AC92" s="45"/>
      <c r="AD92" s="45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90"/>
      <c r="X93" s="45"/>
      <c r="Y93" s="45"/>
      <c r="Z93" s="45"/>
      <c r="AA93" s="45"/>
      <c r="AB93" s="45"/>
      <c r="AC93" s="45"/>
      <c r="AD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90"/>
      <c r="X94" s="45"/>
      <c r="Y94" s="45"/>
      <c r="Z94" s="45"/>
      <c r="AA94" s="45"/>
      <c r="AB94" s="45"/>
      <c r="AC94" s="45"/>
      <c r="AD94" s="45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90"/>
      <c r="X95" s="45"/>
      <c r="Y95" s="45"/>
      <c r="Z95" s="45"/>
      <c r="AA95" s="45"/>
      <c r="AB95" s="45"/>
      <c r="AC95" s="45"/>
      <c r="AD95" s="45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90"/>
      <c r="X96" s="45"/>
      <c r="Y96" s="45"/>
      <c r="Z96" s="45"/>
      <c r="AA96" s="45"/>
      <c r="AB96" s="45"/>
      <c r="AC96" s="45"/>
      <c r="AD96" s="45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90"/>
      <c r="X97" s="45"/>
      <c r="Y97" s="45"/>
      <c r="Z97" s="45"/>
      <c r="AA97" s="45"/>
      <c r="AB97" s="45"/>
      <c r="AC97" s="45"/>
      <c r="AD97" s="45"/>
    </row>
    <row r="98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90"/>
      <c r="X98" s="45"/>
      <c r="Y98" s="45"/>
      <c r="Z98" s="45"/>
      <c r="AA98" s="45"/>
      <c r="AB98" s="45"/>
      <c r="AC98" s="45"/>
      <c r="AD98" s="45"/>
    </row>
    <row r="99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90"/>
      <c r="X99" s="45"/>
      <c r="Y99" s="45"/>
      <c r="Z99" s="45"/>
      <c r="AA99" s="45"/>
      <c r="AB99" s="45"/>
      <c r="AC99" s="45"/>
      <c r="AD99" s="45"/>
    </row>
    <row r="100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90"/>
      <c r="X100" s="45"/>
      <c r="Y100" s="45"/>
      <c r="Z100" s="45"/>
      <c r="AA100" s="45"/>
      <c r="AB100" s="45"/>
      <c r="AC100" s="45"/>
      <c r="AD100" s="45"/>
    </row>
    <row r="101" ht="15.7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90"/>
      <c r="X101" s="45"/>
      <c r="Y101" s="45"/>
      <c r="Z101" s="45"/>
      <c r="AA101" s="45"/>
      <c r="AB101" s="45"/>
      <c r="AC101" s="45"/>
      <c r="AD101" s="45"/>
    </row>
    <row r="102" ht="15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90"/>
      <c r="X102" s="45"/>
      <c r="Y102" s="45"/>
      <c r="Z102" s="45"/>
      <c r="AA102" s="45"/>
      <c r="AB102" s="45"/>
      <c r="AC102" s="45"/>
      <c r="AD102" s="45"/>
    </row>
    <row r="103" ht="15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90"/>
      <c r="X103" s="45"/>
      <c r="Y103" s="45"/>
      <c r="Z103" s="45"/>
      <c r="AA103" s="45"/>
      <c r="AB103" s="45"/>
      <c r="AC103" s="45"/>
      <c r="AD103" s="45"/>
    </row>
    <row r="104" ht="15.7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90"/>
      <c r="X104" s="45"/>
      <c r="Y104" s="45"/>
      <c r="Z104" s="45"/>
      <c r="AA104" s="45"/>
      <c r="AB104" s="45"/>
      <c r="AC104" s="45"/>
      <c r="AD104" s="45"/>
    </row>
    <row r="105" ht="15.7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90"/>
      <c r="X105" s="45"/>
      <c r="Y105" s="45"/>
      <c r="Z105" s="45"/>
      <c r="AA105" s="45"/>
      <c r="AB105" s="45"/>
      <c r="AC105" s="45"/>
      <c r="AD105" s="45"/>
    </row>
    <row r="106" ht="15.7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90"/>
      <c r="X106" s="45"/>
      <c r="Y106" s="45"/>
      <c r="Z106" s="45"/>
      <c r="AA106" s="45"/>
      <c r="AB106" s="45"/>
      <c r="AC106" s="45"/>
      <c r="AD106" s="45"/>
    </row>
    <row r="107" ht="15.7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90"/>
      <c r="X107" s="45"/>
      <c r="Y107" s="45"/>
      <c r="Z107" s="45"/>
      <c r="AA107" s="45"/>
      <c r="AB107" s="45"/>
      <c r="AC107" s="45"/>
      <c r="AD107" s="45"/>
    </row>
    <row r="108" ht="15.7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90"/>
      <c r="X108" s="45"/>
      <c r="Y108" s="45"/>
      <c r="Z108" s="45"/>
      <c r="AA108" s="45"/>
      <c r="AB108" s="45"/>
      <c r="AC108" s="45"/>
      <c r="AD108" s="45"/>
    </row>
    <row r="109" ht="15.7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90"/>
      <c r="X109" s="45"/>
      <c r="Y109" s="45"/>
      <c r="Z109" s="45"/>
      <c r="AA109" s="45"/>
      <c r="AB109" s="45"/>
      <c r="AC109" s="45"/>
      <c r="AD109" s="45"/>
    </row>
    <row r="110" ht="15.7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90"/>
      <c r="X110" s="45"/>
      <c r="Y110" s="45"/>
      <c r="Z110" s="45"/>
      <c r="AA110" s="45"/>
      <c r="AB110" s="45"/>
      <c r="AC110" s="45"/>
      <c r="AD110" s="45"/>
    </row>
    <row r="111" ht="15.7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90"/>
      <c r="X111" s="45"/>
      <c r="Y111" s="45"/>
      <c r="Z111" s="45"/>
      <c r="AA111" s="45"/>
      <c r="AB111" s="45"/>
      <c r="AC111" s="45"/>
      <c r="AD111" s="45"/>
    </row>
    <row r="112" ht="15.7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90"/>
      <c r="X112" s="45"/>
      <c r="Y112" s="45"/>
      <c r="Z112" s="45"/>
      <c r="AA112" s="45"/>
      <c r="AB112" s="45"/>
      <c r="AC112" s="45"/>
      <c r="AD112" s="45"/>
    </row>
    <row r="113" ht="15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90"/>
      <c r="X113" s="45"/>
      <c r="Y113" s="45"/>
      <c r="Z113" s="45"/>
      <c r="AA113" s="45"/>
      <c r="AB113" s="45"/>
      <c r="AC113" s="45"/>
      <c r="AD113" s="45"/>
    </row>
    <row r="114" ht="15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90"/>
      <c r="X114" s="45"/>
      <c r="Y114" s="45"/>
      <c r="Z114" s="45"/>
      <c r="AA114" s="45"/>
      <c r="AB114" s="45"/>
      <c r="AC114" s="45"/>
      <c r="AD114" s="45"/>
    </row>
    <row r="115" ht="15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90"/>
      <c r="X115" s="45"/>
      <c r="Y115" s="45"/>
      <c r="Z115" s="45"/>
      <c r="AA115" s="45"/>
      <c r="AB115" s="45"/>
      <c r="AC115" s="45"/>
      <c r="AD115" s="45"/>
    </row>
    <row r="116" ht="15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90"/>
      <c r="X116" s="45"/>
      <c r="Y116" s="45"/>
      <c r="Z116" s="45"/>
      <c r="AA116" s="45"/>
      <c r="AB116" s="45"/>
      <c r="AC116" s="45"/>
      <c r="AD116" s="45"/>
    </row>
    <row r="117" ht="15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90"/>
      <c r="X117" s="45"/>
      <c r="Y117" s="45"/>
      <c r="Z117" s="45"/>
      <c r="AA117" s="45"/>
      <c r="AB117" s="45"/>
      <c r="AC117" s="45"/>
      <c r="AD117" s="45"/>
    </row>
    <row r="118" ht="15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90"/>
      <c r="X118" s="45"/>
      <c r="Y118" s="45"/>
      <c r="Z118" s="45"/>
      <c r="AA118" s="45"/>
      <c r="AB118" s="45"/>
      <c r="AC118" s="45"/>
      <c r="AD118" s="45"/>
    </row>
    <row r="119" ht="15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90"/>
      <c r="X119" s="45"/>
      <c r="Y119" s="45"/>
      <c r="Z119" s="45"/>
      <c r="AA119" s="45"/>
      <c r="AB119" s="45"/>
      <c r="AC119" s="45"/>
      <c r="AD119" s="45"/>
    </row>
    <row r="120" ht="15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90"/>
      <c r="X120" s="45"/>
      <c r="Y120" s="45"/>
      <c r="Z120" s="45"/>
      <c r="AA120" s="45"/>
      <c r="AB120" s="45"/>
      <c r="AC120" s="45"/>
      <c r="AD120" s="45"/>
    </row>
    <row r="121" ht="15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90"/>
      <c r="X121" s="45"/>
      <c r="Y121" s="45"/>
      <c r="Z121" s="45"/>
      <c r="AA121" s="45"/>
      <c r="AB121" s="45"/>
      <c r="AC121" s="45"/>
      <c r="AD121" s="45"/>
    </row>
    <row r="122" ht="15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90"/>
      <c r="X122" s="45"/>
      <c r="Y122" s="45"/>
      <c r="Z122" s="45"/>
      <c r="AA122" s="45"/>
      <c r="AB122" s="45"/>
      <c r="AC122" s="45"/>
      <c r="AD122" s="45"/>
    </row>
    <row r="123" ht="15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90"/>
      <c r="X123" s="45"/>
      <c r="Y123" s="45"/>
      <c r="Z123" s="45"/>
      <c r="AA123" s="45"/>
      <c r="AB123" s="45"/>
      <c r="AC123" s="45"/>
      <c r="AD123" s="45"/>
    </row>
    <row r="124" ht="15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90"/>
      <c r="X124" s="45"/>
      <c r="Y124" s="45"/>
      <c r="Z124" s="45"/>
      <c r="AA124" s="45"/>
      <c r="AB124" s="45"/>
      <c r="AC124" s="45"/>
      <c r="AD124" s="45"/>
    </row>
    <row r="125" ht="15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90"/>
      <c r="X125" s="45"/>
      <c r="Y125" s="45"/>
      <c r="Z125" s="45"/>
      <c r="AA125" s="45"/>
      <c r="AB125" s="45"/>
      <c r="AC125" s="45"/>
      <c r="AD125" s="45"/>
    </row>
    <row r="126" ht="15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90"/>
      <c r="X126" s="45"/>
      <c r="Y126" s="45"/>
      <c r="Z126" s="45"/>
      <c r="AA126" s="45"/>
      <c r="AB126" s="45"/>
      <c r="AC126" s="45"/>
      <c r="AD126" s="45"/>
    </row>
    <row r="127" ht="15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90"/>
      <c r="X127" s="45"/>
      <c r="Y127" s="45"/>
      <c r="Z127" s="45"/>
      <c r="AA127" s="45"/>
      <c r="AB127" s="45"/>
      <c r="AC127" s="45"/>
      <c r="AD127" s="45"/>
    </row>
    <row r="128" ht="15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90"/>
      <c r="X128" s="45"/>
      <c r="Y128" s="45"/>
      <c r="Z128" s="45"/>
      <c r="AA128" s="45"/>
      <c r="AB128" s="45"/>
      <c r="AC128" s="45"/>
      <c r="AD128" s="45"/>
    </row>
    <row r="129" ht="15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90"/>
      <c r="X129" s="45"/>
      <c r="Y129" s="45"/>
      <c r="Z129" s="45"/>
      <c r="AA129" s="45"/>
      <c r="AB129" s="45"/>
      <c r="AC129" s="45"/>
      <c r="AD129" s="45"/>
    </row>
    <row r="130" ht="15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90"/>
      <c r="X130" s="45"/>
      <c r="Y130" s="45"/>
      <c r="Z130" s="45"/>
      <c r="AA130" s="45"/>
      <c r="AB130" s="45"/>
      <c r="AC130" s="45"/>
      <c r="AD130" s="45"/>
    </row>
    <row r="131" ht="15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90"/>
      <c r="X131" s="45"/>
      <c r="Y131" s="45"/>
      <c r="Z131" s="45"/>
      <c r="AA131" s="45"/>
      <c r="AB131" s="45"/>
      <c r="AC131" s="45"/>
      <c r="AD131" s="45"/>
    </row>
    <row r="132" ht="15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90"/>
      <c r="X132" s="45"/>
      <c r="Y132" s="45"/>
      <c r="Z132" s="45"/>
      <c r="AA132" s="45"/>
      <c r="AB132" s="45"/>
      <c r="AC132" s="45"/>
      <c r="AD132" s="45"/>
    </row>
    <row r="133" ht="15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90"/>
      <c r="X133" s="45"/>
      <c r="Y133" s="45"/>
      <c r="Z133" s="45"/>
      <c r="AA133" s="45"/>
      <c r="AB133" s="45"/>
      <c r="AC133" s="45"/>
      <c r="AD133" s="45"/>
    </row>
    <row r="134" ht="15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90"/>
      <c r="X134" s="45"/>
      <c r="Y134" s="45"/>
      <c r="Z134" s="45"/>
      <c r="AA134" s="45"/>
      <c r="AB134" s="45"/>
      <c r="AC134" s="45"/>
      <c r="AD134" s="45"/>
    </row>
    <row r="135" ht="15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90"/>
      <c r="X135" s="45"/>
      <c r="Y135" s="45"/>
      <c r="Z135" s="45"/>
      <c r="AA135" s="45"/>
      <c r="AB135" s="45"/>
      <c r="AC135" s="45"/>
      <c r="AD135" s="45"/>
    </row>
    <row r="136" ht="15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90"/>
      <c r="X136" s="45"/>
      <c r="Y136" s="45"/>
      <c r="Z136" s="45"/>
      <c r="AA136" s="45"/>
      <c r="AB136" s="45"/>
      <c r="AC136" s="45"/>
      <c r="AD136" s="45"/>
    </row>
    <row r="137" ht="15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90"/>
      <c r="X137" s="45"/>
      <c r="Y137" s="45"/>
      <c r="Z137" s="45"/>
      <c r="AA137" s="45"/>
      <c r="AB137" s="45"/>
      <c r="AC137" s="45"/>
      <c r="AD137" s="45"/>
    </row>
    <row r="138" ht="15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90"/>
      <c r="X138" s="45"/>
      <c r="Y138" s="45"/>
      <c r="Z138" s="45"/>
      <c r="AA138" s="45"/>
      <c r="AB138" s="45"/>
      <c r="AC138" s="45"/>
      <c r="AD138" s="45"/>
    </row>
    <row r="139" ht="15.7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90"/>
      <c r="X139" s="45"/>
      <c r="Y139" s="45"/>
      <c r="Z139" s="45"/>
      <c r="AA139" s="45"/>
      <c r="AB139" s="45"/>
      <c r="AC139" s="45"/>
      <c r="AD139" s="45"/>
    </row>
    <row r="140" ht="15.7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90"/>
      <c r="X140" s="45"/>
      <c r="Y140" s="45"/>
      <c r="Z140" s="45"/>
      <c r="AA140" s="45"/>
      <c r="AB140" s="45"/>
      <c r="AC140" s="45"/>
      <c r="AD140" s="45"/>
    </row>
    <row r="141" ht="15.7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90"/>
      <c r="X141" s="45"/>
      <c r="Y141" s="45"/>
      <c r="Z141" s="45"/>
      <c r="AA141" s="45"/>
      <c r="AB141" s="45"/>
      <c r="AC141" s="45"/>
      <c r="AD141" s="45"/>
    </row>
    <row r="142" ht="15.7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90"/>
      <c r="X142" s="45"/>
      <c r="Y142" s="45"/>
      <c r="Z142" s="45"/>
      <c r="AA142" s="45"/>
      <c r="AB142" s="45"/>
      <c r="AC142" s="45"/>
      <c r="AD142" s="45"/>
    </row>
    <row r="143" ht="15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90"/>
      <c r="X143" s="45"/>
      <c r="Y143" s="45"/>
      <c r="Z143" s="45"/>
      <c r="AA143" s="45"/>
      <c r="AB143" s="45"/>
      <c r="AC143" s="45"/>
      <c r="AD143" s="45"/>
    </row>
    <row r="144" ht="15.7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90"/>
      <c r="X144" s="45"/>
      <c r="Y144" s="45"/>
      <c r="Z144" s="45"/>
      <c r="AA144" s="45"/>
      <c r="AB144" s="45"/>
      <c r="AC144" s="45"/>
      <c r="AD144" s="45"/>
    </row>
    <row r="145" ht="15.7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90"/>
      <c r="X145" s="45"/>
      <c r="Y145" s="45"/>
      <c r="Z145" s="45"/>
      <c r="AA145" s="45"/>
      <c r="AB145" s="45"/>
      <c r="AC145" s="45"/>
      <c r="AD145" s="45"/>
    </row>
    <row r="146" ht="15.7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90"/>
      <c r="X146" s="45"/>
      <c r="Y146" s="45"/>
      <c r="Z146" s="45"/>
      <c r="AA146" s="45"/>
      <c r="AB146" s="45"/>
      <c r="AC146" s="45"/>
      <c r="AD146" s="45"/>
    </row>
    <row r="147" ht="15.7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90"/>
      <c r="X147" s="45"/>
      <c r="Y147" s="45"/>
      <c r="Z147" s="45"/>
      <c r="AA147" s="45"/>
      <c r="AB147" s="45"/>
      <c r="AC147" s="45"/>
      <c r="AD147" s="45"/>
    </row>
    <row r="148" ht="15.7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90"/>
      <c r="X148" s="45"/>
      <c r="Y148" s="45"/>
      <c r="Z148" s="45"/>
      <c r="AA148" s="45"/>
      <c r="AB148" s="45"/>
      <c r="AC148" s="45"/>
      <c r="AD148" s="45"/>
    </row>
    <row r="149" ht="15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90"/>
      <c r="X149" s="45"/>
      <c r="Y149" s="45"/>
      <c r="Z149" s="45"/>
      <c r="AA149" s="45"/>
      <c r="AB149" s="45"/>
      <c r="AC149" s="45"/>
      <c r="AD149" s="45"/>
    </row>
    <row r="150" ht="15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90"/>
      <c r="X150" s="45"/>
      <c r="Y150" s="45"/>
      <c r="Z150" s="45"/>
      <c r="AA150" s="45"/>
      <c r="AB150" s="45"/>
      <c r="AC150" s="45"/>
      <c r="AD150" s="45"/>
    </row>
    <row r="151" ht="15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90"/>
      <c r="X151" s="45"/>
      <c r="Y151" s="45"/>
      <c r="Z151" s="45"/>
      <c r="AA151" s="45"/>
      <c r="AB151" s="45"/>
      <c r="AC151" s="45"/>
      <c r="AD151" s="45"/>
    </row>
    <row r="152" ht="15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90"/>
      <c r="X152" s="45"/>
      <c r="Y152" s="45"/>
      <c r="Z152" s="45"/>
      <c r="AA152" s="45"/>
      <c r="AB152" s="45"/>
      <c r="AC152" s="45"/>
      <c r="AD152" s="45"/>
    </row>
    <row r="153" ht="15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90"/>
      <c r="X153" s="45"/>
      <c r="Y153" s="45"/>
      <c r="Z153" s="45"/>
      <c r="AA153" s="45"/>
      <c r="AB153" s="45"/>
      <c r="AC153" s="45"/>
      <c r="AD153" s="45"/>
    </row>
    <row r="154" ht="15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90"/>
      <c r="X154" s="45"/>
      <c r="Y154" s="45"/>
      <c r="Z154" s="45"/>
      <c r="AA154" s="45"/>
      <c r="AB154" s="45"/>
      <c r="AC154" s="45"/>
      <c r="AD154" s="45"/>
    </row>
    <row r="155" ht="15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90"/>
      <c r="X155" s="45"/>
      <c r="Y155" s="45"/>
      <c r="Z155" s="45"/>
      <c r="AA155" s="45"/>
      <c r="AB155" s="45"/>
      <c r="AC155" s="45"/>
      <c r="AD155" s="45"/>
    </row>
    <row r="156" ht="15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90"/>
      <c r="X156" s="45"/>
      <c r="Y156" s="45"/>
      <c r="Z156" s="45"/>
      <c r="AA156" s="45"/>
      <c r="AB156" s="45"/>
      <c r="AC156" s="45"/>
      <c r="AD156" s="45"/>
    </row>
    <row r="157" ht="15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90"/>
      <c r="X157" s="45"/>
      <c r="Y157" s="45"/>
      <c r="Z157" s="45"/>
      <c r="AA157" s="45"/>
      <c r="AB157" s="45"/>
      <c r="AC157" s="45"/>
      <c r="AD157" s="45"/>
    </row>
    <row r="158" ht="15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90"/>
      <c r="X158" s="45"/>
      <c r="Y158" s="45"/>
      <c r="Z158" s="45"/>
      <c r="AA158" s="45"/>
      <c r="AB158" s="45"/>
      <c r="AC158" s="45"/>
      <c r="AD158" s="45"/>
    </row>
    <row r="159" ht="15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90"/>
      <c r="X159" s="45"/>
      <c r="Y159" s="45"/>
      <c r="Z159" s="45"/>
      <c r="AA159" s="45"/>
      <c r="AB159" s="45"/>
      <c r="AC159" s="45"/>
      <c r="AD159" s="45"/>
    </row>
    <row r="160" ht="15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90"/>
      <c r="X160" s="45"/>
      <c r="Y160" s="45"/>
      <c r="Z160" s="45"/>
      <c r="AA160" s="45"/>
      <c r="AB160" s="45"/>
      <c r="AC160" s="45"/>
      <c r="AD160" s="45"/>
    </row>
    <row r="161" ht="15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90"/>
      <c r="X161" s="45"/>
      <c r="Y161" s="45"/>
      <c r="Z161" s="45"/>
      <c r="AA161" s="45"/>
      <c r="AB161" s="45"/>
      <c r="AC161" s="45"/>
      <c r="AD161" s="45"/>
    </row>
    <row r="162" ht="15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90"/>
      <c r="X162" s="45"/>
      <c r="Y162" s="45"/>
      <c r="Z162" s="45"/>
      <c r="AA162" s="45"/>
      <c r="AB162" s="45"/>
      <c r="AC162" s="45"/>
      <c r="AD162" s="45"/>
    </row>
    <row r="163" ht="15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90"/>
      <c r="X163" s="45"/>
      <c r="Y163" s="45"/>
      <c r="Z163" s="45"/>
      <c r="AA163" s="45"/>
      <c r="AB163" s="45"/>
      <c r="AC163" s="45"/>
      <c r="AD163" s="45"/>
    </row>
    <row r="164" ht="15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90"/>
      <c r="X164" s="45"/>
      <c r="Y164" s="45"/>
      <c r="Z164" s="45"/>
      <c r="AA164" s="45"/>
      <c r="AB164" s="45"/>
      <c r="AC164" s="45"/>
      <c r="AD164" s="45"/>
    </row>
    <row r="165" ht="15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90"/>
      <c r="X165" s="45"/>
      <c r="Y165" s="45"/>
      <c r="Z165" s="45"/>
      <c r="AA165" s="45"/>
      <c r="AB165" s="45"/>
      <c r="AC165" s="45"/>
      <c r="AD165" s="45"/>
    </row>
    <row r="166" ht="15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90"/>
      <c r="X166" s="45"/>
      <c r="Y166" s="45"/>
      <c r="Z166" s="45"/>
      <c r="AA166" s="45"/>
      <c r="AB166" s="45"/>
      <c r="AC166" s="45"/>
      <c r="AD166" s="45"/>
    </row>
    <row r="167" ht="15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90"/>
      <c r="X167" s="45"/>
      <c r="Y167" s="45"/>
      <c r="Z167" s="45"/>
      <c r="AA167" s="45"/>
      <c r="AB167" s="45"/>
      <c r="AC167" s="45"/>
      <c r="AD167" s="45"/>
    </row>
    <row r="168" ht="15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90"/>
      <c r="X168" s="45"/>
      <c r="Y168" s="45"/>
      <c r="Z168" s="45"/>
      <c r="AA168" s="45"/>
      <c r="AB168" s="45"/>
      <c r="AC168" s="45"/>
      <c r="AD168" s="45"/>
    </row>
    <row r="169" ht="15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90"/>
      <c r="X169" s="45"/>
      <c r="Y169" s="45"/>
      <c r="Z169" s="45"/>
      <c r="AA169" s="45"/>
      <c r="AB169" s="45"/>
      <c r="AC169" s="45"/>
      <c r="AD169" s="45"/>
    </row>
    <row r="170" ht="15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90"/>
      <c r="X170" s="45"/>
      <c r="Y170" s="45"/>
      <c r="Z170" s="45"/>
      <c r="AA170" s="45"/>
      <c r="AB170" s="45"/>
      <c r="AC170" s="45"/>
      <c r="AD170" s="45"/>
    </row>
    <row r="171" ht="15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90"/>
      <c r="X171" s="45"/>
      <c r="Y171" s="45"/>
      <c r="Z171" s="45"/>
      <c r="AA171" s="45"/>
      <c r="AB171" s="45"/>
      <c r="AC171" s="45"/>
      <c r="AD171" s="45"/>
    </row>
    <row r="172" ht="15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90"/>
      <c r="X172" s="45"/>
      <c r="Y172" s="45"/>
      <c r="Z172" s="45"/>
      <c r="AA172" s="45"/>
      <c r="AB172" s="45"/>
      <c r="AC172" s="45"/>
      <c r="AD172" s="45"/>
    </row>
    <row r="173" ht="15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90"/>
      <c r="X173" s="45"/>
      <c r="Y173" s="45"/>
      <c r="Z173" s="45"/>
      <c r="AA173" s="45"/>
      <c r="AB173" s="45"/>
      <c r="AC173" s="45"/>
      <c r="AD173" s="45"/>
    </row>
    <row r="174" ht="15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90"/>
      <c r="X174" s="45"/>
      <c r="Y174" s="45"/>
      <c r="Z174" s="45"/>
      <c r="AA174" s="45"/>
      <c r="AB174" s="45"/>
      <c r="AC174" s="45"/>
      <c r="AD174" s="45"/>
    </row>
    <row r="175" ht="15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90"/>
      <c r="X175" s="45"/>
      <c r="Y175" s="45"/>
      <c r="Z175" s="45"/>
      <c r="AA175" s="45"/>
      <c r="AB175" s="45"/>
      <c r="AC175" s="45"/>
      <c r="AD175" s="45"/>
    </row>
    <row r="176" ht="15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90"/>
      <c r="X176" s="45"/>
      <c r="Y176" s="45"/>
      <c r="Z176" s="45"/>
      <c r="AA176" s="45"/>
      <c r="AB176" s="45"/>
      <c r="AC176" s="45"/>
      <c r="AD176" s="45"/>
    </row>
    <row r="177" ht="15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90"/>
      <c r="X177" s="45"/>
      <c r="Y177" s="45"/>
      <c r="Z177" s="45"/>
      <c r="AA177" s="45"/>
      <c r="AB177" s="45"/>
      <c r="AC177" s="45"/>
      <c r="AD177" s="45"/>
    </row>
    <row r="178" ht="15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90"/>
      <c r="X178" s="45"/>
      <c r="Y178" s="45"/>
      <c r="Z178" s="45"/>
      <c r="AA178" s="45"/>
      <c r="AB178" s="45"/>
      <c r="AC178" s="45"/>
      <c r="AD178" s="45"/>
    </row>
    <row r="179" ht="15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90"/>
      <c r="X179" s="45"/>
      <c r="Y179" s="45"/>
      <c r="Z179" s="45"/>
      <c r="AA179" s="45"/>
      <c r="AB179" s="45"/>
      <c r="AC179" s="45"/>
      <c r="AD179" s="45"/>
    </row>
    <row r="180" ht="15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90"/>
      <c r="X180" s="45"/>
      <c r="Y180" s="45"/>
      <c r="Z180" s="45"/>
      <c r="AA180" s="45"/>
      <c r="AB180" s="45"/>
      <c r="AC180" s="45"/>
      <c r="AD180" s="45"/>
    </row>
    <row r="181" ht="15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90"/>
      <c r="X181" s="45"/>
      <c r="Y181" s="45"/>
      <c r="Z181" s="45"/>
      <c r="AA181" s="45"/>
      <c r="AB181" s="45"/>
      <c r="AC181" s="45"/>
      <c r="AD181" s="45"/>
    </row>
    <row r="182" ht="15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90"/>
      <c r="X182" s="45"/>
      <c r="Y182" s="45"/>
      <c r="Z182" s="45"/>
      <c r="AA182" s="45"/>
      <c r="AB182" s="45"/>
      <c r="AC182" s="45"/>
      <c r="AD182" s="45"/>
    </row>
    <row r="183" ht="15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90"/>
      <c r="X183" s="45"/>
      <c r="Y183" s="45"/>
      <c r="Z183" s="45"/>
      <c r="AA183" s="45"/>
      <c r="AB183" s="45"/>
      <c r="AC183" s="45"/>
      <c r="AD183" s="45"/>
    </row>
    <row r="184" ht="15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90"/>
      <c r="X184" s="45"/>
      <c r="Y184" s="45"/>
      <c r="Z184" s="45"/>
      <c r="AA184" s="45"/>
      <c r="AB184" s="45"/>
      <c r="AC184" s="45"/>
      <c r="AD184" s="45"/>
    </row>
    <row r="185" ht="15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90"/>
      <c r="X185" s="45"/>
      <c r="Y185" s="45"/>
      <c r="Z185" s="45"/>
      <c r="AA185" s="45"/>
      <c r="AB185" s="45"/>
      <c r="AC185" s="45"/>
      <c r="AD185" s="45"/>
    </row>
    <row r="186" ht="15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90"/>
      <c r="X186" s="45"/>
      <c r="Y186" s="45"/>
      <c r="Z186" s="45"/>
      <c r="AA186" s="45"/>
      <c r="AB186" s="45"/>
      <c r="AC186" s="45"/>
      <c r="AD186" s="45"/>
    </row>
    <row r="187" ht="15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90"/>
      <c r="X187" s="45"/>
      <c r="Y187" s="45"/>
      <c r="Z187" s="45"/>
      <c r="AA187" s="45"/>
      <c r="AB187" s="45"/>
      <c r="AC187" s="45"/>
      <c r="AD187" s="45"/>
    </row>
    <row r="188" ht="15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90"/>
      <c r="X188" s="45"/>
      <c r="Y188" s="45"/>
      <c r="Z188" s="45"/>
      <c r="AA188" s="45"/>
      <c r="AB188" s="45"/>
      <c r="AC188" s="45"/>
      <c r="AD188" s="45"/>
    </row>
    <row r="189" ht="15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90"/>
      <c r="X189" s="45"/>
      <c r="Y189" s="45"/>
      <c r="Z189" s="45"/>
      <c r="AA189" s="45"/>
      <c r="AB189" s="45"/>
      <c r="AC189" s="45"/>
      <c r="AD189" s="45"/>
    </row>
    <row r="190" ht="15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90"/>
      <c r="X190" s="45"/>
      <c r="Y190" s="45"/>
      <c r="Z190" s="45"/>
      <c r="AA190" s="45"/>
      <c r="AB190" s="45"/>
      <c r="AC190" s="45"/>
      <c r="AD190" s="45"/>
    </row>
    <row r="191" ht="15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90"/>
      <c r="X191" s="45"/>
      <c r="Y191" s="45"/>
      <c r="Z191" s="45"/>
      <c r="AA191" s="45"/>
      <c r="AB191" s="45"/>
      <c r="AC191" s="45"/>
      <c r="AD191" s="45"/>
    </row>
    <row r="192" ht="15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90"/>
      <c r="X192" s="45"/>
      <c r="Y192" s="45"/>
      <c r="Z192" s="45"/>
      <c r="AA192" s="45"/>
      <c r="AB192" s="45"/>
      <c r="AC192" s="45"/>
      <c r="AD192" s="45"/>
    </row>
    <row r="193" ht="15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90"/>
      <c r="X193" s="45"/>
      <c r="Y193" s="45"/>
      <c r="Z193" s="45"/>
      <c r="AA193" s="45"/>
      <c r="AB193" s="45"/>
      <c r="AC193" s="45"/>
      <c r="AD193" s="45"/>
    </row>
    <row r="194" ht="15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90"/>
      <c r="X194" s="45"/>
      <c r="Y194" s="45"/>
      <c r="Z194" s="45"/>
      <c r="AA194" s="45"/>
      <c r="AB194" s="45"/>
      <c r="AC194" s="45"/>
      <c r="AD194" s="45"/>
    </row>
    <row r="195" ht="15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90"/>
      <c r="X195" s="45"/>
      <c r="Y195" s="45"/>
      <c r="Z195" s="45"/>
      <c r="AA195" s="45"/>
      <c r="AB195" s="45"/>
      <c r="AC195" s="45"/>
      <c r="AD195" s="45"/>
    </row>
    <row r="196" ht="15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90"/>
      <c r="X196" s="45"/>
      <c r="Y196" s="45"/>
      <c r="Z196" s="45"/>
      <c r="AA196" s="45"/>
      <c r="AB196" s="45"/>
      <c r="AC196" s="45"/>
      <c r="AD196" s="45"/>
    </row>
    <row r="197" ht="15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90"/>
      <c r="X197" s="45"/>
      <c r="Y197" s="45"/>
      <c r="Z197" s="45"/>
      <c r="AA197" s="45"/>
      <c r="AB197" s="45"/>
      <c r="AC197" s="45"/>
      <c r="AD197" s="45"/>
    </row>
    <row r="198" ht="15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90"/>
      <c r="X198" s="45"/>
      <c r="Y198" s="45"/>
      <c r="Z198" s="45"/>
      <c r="AA198" s="45"/>
      <c r="AB198" s="45"/>
      <c r="AC198" s="45"/>
      <c r="AD198" s="45"/>
    </row>
    <row r="199" ht="15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90"/>
      <c r="X199" s="45"/>
      <c r="Y199" s="45"/>
      <c r="Z199" s="45"/>
      <c r="AA199" s="45"/>
      <c r="AB199" s="45"/>
      <c r="AC199" s="45"/>
      <c r="AD199" s="45"/>
    </row>
    <row r="200" ht="15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90"/>
      <c r="X200" s="45"/>
      <c r="Y200" s="45"/>
      <c r="Z200" s="45"/>
      <c r="AA200" s="45"/>
      <c r="AB200" s="45"/>
      <c r="AC200" s="45"/>
      <c r="AD200" s="45"/>
    </row>
    <row r="201" ht="15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90"/>
      <c r="X201" s="45"/>
      <c r="Y201" s="45"/>
      <c r="Z201" s="45"/>
      <c r="AA201" s="45"/>
      <c r="AB201" s="45"/>
      <c r="AC201" s="45"/>
      <c r="AD201" s="45"/>
    </row>
    <row r="202" ht="15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90"/>
      <c r="X202" s="45"/>
      <c r="Y202" s="45"/>
      <c r="Z202" s="45"/>
      <c r="AA202" s="45"/>
      <c r="AB202" s="45"/>
      <c r="AC202" s="45"/>
      <c r="AD202" s="45"/>
    </row>
    <row r="203" ht="15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90"/>
      <c r="X203" s="45"/>
      <c r="Y203" s="45"/>
      <c r="Z203" s="45"/>
      <c r="AA203" s="45"/>
      <c r="AB203" s="45"/>
      <c r="AC203" s="45"/>
      <c r="AD203" s="45"/>
    </row>
    <row r="204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90"/>
      <c r="X204" s="45"/>
      <c r="Y204" s="45"/>
      <c r="Z204" s="45"/>
      <c r="AA204" s="45"/>
      <c r="AB204" s="45"/>
      <c r="AC204" s="45"/>
      <c r="AD204" s="45"/>
    </row>
    <row r="205" ht="15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90"/>
      <c r="X205" s="45"/>
      <c r="Y205" s="45"/>
      <c r="Z205" s="45"/>
      <c r="AA205" s="45"/>
      <c r="AB205" s="45"/>
      <c r="AC205" s="45"/>
      <c r="AD205" s="45"/>
    </row>
    <row r="206" ht="15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90"/>
      <c r="X206" s="45"/>
      <c r="Y206" s="45"/>
      <c r="Z206" s="45"/>
      <c r="AA206" s="45"/>
      <c r="AB206" s="45"/>
      <c r="AC206" s="45"/>
      <c r="AD206" s="45"/>
    </row>
    <row r="207" ht="15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90"/>
      <c r="X207" s="45"/>
      <c r="Y207" s="45"/>
      <c r="Z207" s="45"/>
      <c r="AA207" s="45"/>
      <c r="AB207" s="45"/>
      <c r="AC207" s="45"/>
      <c r="AD207" s="45"/>
    </row>
    <row r="208" ht="15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90"/>
      <c r="X208" s="45"/>
      <c r="Y208" s="45"/>
      <c r="Z208" s="45"/>
      <c r="AA208" s="45"/>
      <c r="AB208" s="45"/>
      <c r="AC208" s="45"/>
      <c r="AD208" s="45"/>
    </row>
    <row r="209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90"/>
      <c r="X209" s="45"/>
      <c r="Y209" s="45"/>
      <c r="Z209" s="45"/>
      <c r="AA209" s="45"/>
      <c r="AB209" s="45"/>
      <c r="AC209" s="45"/>
      <c r="AD209" s="45"/>
    </row>
    <row r="210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90"/>
      <c r="X210" s="45"/>
      <c r="Y210" s="45"/>
      <c r="Z210" s="45"/>
      <c r="AA210" s="45"/>
      <c r="AB210" s="45"/>
      <c r="AC210" s="45"/>
      <c r="AD210" s="45"/>
    </row>
    <row r="211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90"/>
      <c r="X211" s="45"/>
      <c r="Y211" s="45"/>
      <c r="Z211" s="45"/>
      <c r="AA211" s="45"/>
      <c r="AB211" s="45"/>
      <c r="AC211" s="45"/>
      <c r="AD211" s="45"/>
    </row>
    <row r="212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90"/>
      <c r="X212" s="45"/>
      <c r="Y212" s="45"/>
      <c r="Z212" s="45"/>
      <c r="AA212" s="45"/>
      <c r="AB212" s="45"/>
      <c r="AC212" s="45"/>
      <c r="AD212" s="45"/>
    </row>
    <row r="213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90"/>
      <c r="X213" s="45"/>
      <c r="Y213" s="45"/>
      <c r="Z213" s="45"/>
      <c r="AA213" s="45"/>
      <c r="AB213" s="45"/>
      <c r="AC213" s="45"/>
      <c r="AD213" s="45"/>
    </row>
    <row r="214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90"/>
      <c r="X214" s="45"/>
      <c r="Y214" s="45"/>
      <c r="Z214" s="45"/>
      <c r="AA214" s="45"/>
      <c r="AB214" s="45"/>
      <c r="AC214" s="45"/>
      <c r="AD214" s="45"/>
    </row>
    <row r="215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90"/>
      <c r="X215" s="45"/>
      <c r="Y215" s="45"/>
      <c r="Z215" s="45"/>
      <c r="AA215" s="45"/>
      <c r="AB215" s="45"/>
      <c r="AC215" s="45"/>
      <c r="AD215" s="45"/>
    </row>
    <row r="216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90"/>
      <c r="X216" s="45"/>
      <c r="Y216" s="45"/>
      <c r="Z216" s="45"/>
      <c r="AA216" s="45"/>
      <c r="AB216" s="45"/>
      <c r="AC216" s="45"/>
      <c r="AD216" s="45"/>
    </row>
    <row r="217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90"/>
      <c r="X217" s="45"/>
      <c r="Y217" s="45"/>
      <c r="Z217" s="45"/>
      <c r="AA217" s="45"/>
      <c r="AB217" s="45"/>
      <c r="AC217" s="45"/>
      <c r="AD217" s="45"/>
    </row>
    <row r="218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90"/>
      <c r="X218" s="45"/>
      <c r="Y218" s="45"/>
      <c r="Z218" s="45"/>
      <c r="AA218" s="45"/>
      <c r="AB218" s="45"/>
      <c r="AC218" s="45"/>
      <c r="AD218" s="45"/>
    </row>
    <row r="219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90"/>
      <c r="X219" s="45"/>
      <c r="Y219" s="45"/>
      <c r="Z219" s="45"/>
      <c r="AA219" s="45"/>
      <c r="AB219" s="45"/>
      <c r="AC219" s="45"/>
      <c r="AD219" s="45"/>
    </row>
    <row r="220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90"/>
      <c r="X220" s="45"/>
      <c r="Y220" s="45"/>
      <c r="Z220" s="45"/>
      <c r="AA220" s="45"/>
      <c r="AB220" s="45"/>
      <c r="AC220" s="45"/>
      <c r="AD220" s="45"/>
    </row>
    <row r="221" ht="15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90"/>
      <c r="X221" s="45"/>
      <c r="Y221" s="45"/>
      <c r="Z221" s="45"/>
      <c r="AA221" s="45"/>
      <c r="AB221" s="45"/>
      <c r="AC221" s="45"/>
      <c r="AD221" s="45"/>
    </row>
    <row r="222" ht="15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90"/>
      <c r="X222" s="45"/>
      <c r="Y222" s="45"/>
      <c r="Z222" s="45"/>
      <c r="AA222" s="45"/>
      <c r="AB222" s="45"/>
      <c r="AC222" s="45"/>
      <c r="AD222" s="45"/>
    </row>
    <row r="223" ht="15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90"/>
      <c r="X223" s="45"/>
      <c r="Y223" s="45"/>
      <c r="Z223" s="45"/>
      <c r="AA223" s="45"/>
      <c r="AB223" s="45"/>
      <c r="AC223" s="45"/>
      <c r="AD223" s="45"/>
    </row>
    <row r="224" ht="15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90"/>
      <c r="X224" s="45"/>
      <c r="Y224" s="45"/>
      <c r="Z224" s="45"/>
      <c r="AA224" s="45"/>
      <c r="AB224" s="45"/>
      <c r="AC224" s="45"/>
      <c r="AD224" s="45"/>
    </row>
    <row r="225" ht="15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90"/>
      <c r="X225" s="45"/>
      <c r="Y225" s="45"/>
      <c r="Z225" s="45"/>
      <c r="AA225" s="45"/>
      <c r="AB225" s="45"/>
      <c r="AC225" s="45"/>
      <c r="AD225" s="45"/>
    </row>
    <row r="226" ht="15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90"/>
      <c r="X226" s="45"/>
      <c r="Y226" s="45"/>
      <c r="Z226" s="45"/>
      <c r="AA226" s="45"/>
      <c r="AB226" s="45"/>
      <c r="AC226" s="45"/>
      <c r="AD226" s="45"/>
    </row>
    <row r="227" ht="15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90"/>
      <c r="X227" s="45"/>
      <c r="Y227" s="45"/>
      <c r="Z227" s="45"/>
      <c r="AA227" s="45"/>
      <c r="AB227" s="45"/>
      <c r="AC227" s="45"/>
      <c r="AD227" s="45"/>
    </row>
    <row r="228" ht="15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90"/>
      <c r="X228" s="45"/>
      <c r="Y228" s="45"/>
      <c r="Z228" s="45"/>
      <c r="AA228" s="45"/>
      <c r="AB228" s="45"/>
      <c r="AC228" s="45"/>
      <c r="AD228" s="45"/>
    </row>
    <row r="229" ht="15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90"/>
      <c r="X229" s="45"/>
      <c r="Y229" s="45"/>
      <c r="Z229" s="45"/>
      <c r="AA229" s="45"/>
      <c r="AB229" s="45"/>
      <c r="AC229" s="45"/>
      <c r="AD229" s="45"/>
    </row>
    <row r="230" ht="15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90"/>
      <c r="X230" s="45"/>
      <c r="Y230" s="45"/>
      <c r="Z230" s="45"/>
      <c r="AA230" s="45"/>
      <c r="AB230" s="45"/>
      <c r="AC230" s="45"/>
      <c r="AD230" s="45"/>
    </row>
    <row r="231" ht="15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90"/>
      <c r="X231" s="45"/>
      <c r="Y231" s="45"/>
      <c r="Z231" s="45"/>
      <c r="AA231" s="45"/>
      <c r="AB231" s="45"/>
      <c r="AC231" s="45"/>
      <c r="AD231" s="45"/>
    </row>
    <row r="232" ht="15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90"/>
      <c r="X232" s="45"/>
      <c r="Y232" s="45"/>
      <c r="Z232" s="45"/>
      <c r="AA232" s="45"/>
      <c r="AB232" s="45"/>
      <c r="AC232" s="45"/>
      <c r="AD232" s="45"/>
    </row>
    <row r="233" ht="15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90"/>
      <c r="X233" s="45"/>
      <c r="Y233" s="45"/>
      <c r="Z233" s="45"/>
      <c r="AA233" s="45"/>
      <c r="AB233" s="45"/>
      <c r="AC233" s="45"/>
      <c r="AD233" s="45"/>
    </row>
    <row r="234" ht="15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90"/>
      <c r="X234" s="45"/>
      <c r="Y234" s="45"/>
      <c r="Z234" s="45"/>
      <c r="AA234" s="45"/>
      <c r="AB234" s="45"/>
      <c r="AC234" s="45"/>
      <c r="AD234" s="45"/>
    </row>
    <row r="235" ht="15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90"/>
      <c r="X235" s="45"/>
      <c r="Y235" s="45"/>
      <c r="Z235" s="45"/>
      <c r="AA235" s="45"/>
      <c r="AB235" s="45"/>
      <c r="AC235" s="45"/>
      <c r="AD235" s="45"/>
    </row>
    <row r="236" ht="15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90"/>
      <c r="X236" s="45"/>
      <c r="Y236" s="45"/>
      <c r="Z236" s="45"/>
      <c r="AA236" s="45"/>
      <c r="AB236" s="45"/>
      <c r="AC236" s="45"/>
      <c r="AD236" s="45"/>
    </row>
    <row r="237" ht="15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90"/>
      <c r="X237" s="45"/>
      <c r="Y237" s="45"/>
      <c r="Z237" s="45"/>
      <c r="AA237" s="45"/>
      <c r="AB237" s="45"/>
      <c r="AC237" s="45"/>
      <c r="AD237" s="45"/>
    </row>
    <row r="238" ht="15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90"/>
      <c r="X238" s="45"/>
      <c r="Y238" s="45"/>
      <c r="Z238" s="45"/>
      <c r="AA238" s="45"/>
      <c r="AB238" s="45"/>
      <c r="AC238" s="45"/>
      <c r="AD238" s="45"/>
    </row>
    <row r="239" ht="15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90"/>
      <c r="X239" s="45"/>
      <c r="Y239" s="45"/>
      <c r="Z239" s="45"/>
      <c r="AA239" s="45"/>
      <c r="AB239" s="45"/>
      <c r="AC239" s="45"/>
      <c r="AD239" s="45"/>
    </row>
    <row r="240" ht="15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90"/>
      <c r="X240" s="45"/>
      <c r="Y240" s="45"/>
      <c r="Z240" s="45"/>
      <c r="AA240" s="45"/>
      <c r="AB240" s="45"/>
      <c r="AC240" s="45"/>
      <c r="AD240" s="45"/>
    </row>
    <row r="241" ht="15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90"/>
      <c r="X241" s="45"/>
      <c r="Y241" s="45"/>
      <c r="Z241" s="45"/>
      <c r="AA241" s="45"/>
      <c r="AB241" s="45"/>
      <c r="AC241" s="45"/>
      <c r="AD241" s="45"/>
    </row>
    <row r="242" ht="15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90"/>
      <c r="X242" s="45"/>
      <c r="Y242" s="45"/>
      <c r="Z242" s="45"/>
      <c r="AA242" s="45"/>
      <c r="AB242" s="45"/>
      <c r="AC242" s="45"/>
      <c r="AD242" s="45"/>
    </row>
    <row r="243" ht="15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90"/>
      <c r="X243" s="45"/>
      <c r="Y243" s="45"/>
      <c r="Z243" s="45"/>
      <c r="AA243" s="45"/>
      <c r="AB243" s="45"/>
      <c r="AC243" s="45"/>
      <c r="AD243" s="45"/>
    </row>
    <row r="244" ht="15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90"/>
      <c r="X244" s="45"/>
      <c r="Y244" s="45"/>
      <c r="Z244" s="45"/>
      <c r="AA244" s="45"/>
      <c r="AB244" s="45"/>
      <c r="AC244" s="45"/>
      <c r="AD244" s="45"/>
    </row>
    <row r="245" ht="15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90"/>
      <c r="X245" s="45"/>
      <c r="Y245" s="45"/>
      <c r="Z245" s="45"/>
      <c r="AA245" s="45"/>
      <c r="AB245" s="45"/>
      <c r="AC245" s="45"/>
      <c r="AD245" s="45"/>
    </row>
    <row r="246" ht="15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90"/>
      <c r="X246" s="45"/>
      <c r="Y246" s="45"/>
      <c r="Z246" s="45"/>
      <c r="AA246" s="45"/>
      <c r="AB246" s="45"/>
      <c r="AC246" s="45"/>
      <c r="AD246" s="45"/>
    </row>
    <row r="247" ht="15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90"/>
      <c r="X247" s="45"/>
      <c r="Y247" s="45"/>
      <c r="Z247" s="45"/>
      <c r="AA247" s="45"/>
      <c r="AB247" s="45"/>
      <c r="AC247" s="45"/>
      <c r="AD247" s="45"/>
    </row>
    <row r="248" ht="15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90"/>
      <c r="X248" s="45"/>
      <c r="Y248" s="45"/>
      <c r="Z248" s="45"/>
      <c r="AA248" s="45"/>
      <c r="AB248" s="45"/>
      <c r="AC248" s="45"/>
      <c r="AD248" s="45"/>
    </row>
    <row r="249" ht="15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90"/>
      <c r="X249" s="45"/>
      <c r="Y249" s="45"/>
      <c r="Z249" s="45"/>
      <c r="AA249" s="45"/>
      <c r="AB249" s="45"/>
      <c r="AC249" s="45"/>
      <c r="AD249" s="45"/>
    </row>
    <row r="250" ht="15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90"/>
      <c r="X250" s="45"/>
      <c r="Y250" s="45"/>
      <c r="Z250" s="45"/>
      <c r="AA250" s="45"/>
      <c r="AB250" s="45"/>
      <c r="AC250" s="45"/>
      <c r="AD250" s="45"/>
    </row>
    <row r="251" ht="15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90"/>
      <c r="X251" s="45"/>
      <c r="Y251" s="45"/>
      <c r="Z251" s="45"/>
      <c r="AA251" s="45"/>
      <c r="AB251" s="45"/>
      <c r="AC251" s="45"/>
      <c r="AD251" s="45"/>
    </row>
    <row r="252" ht="15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90"/>
      <c r="X252" s="45"/>
      <c r="Y252" s="45"/>
      <c r="Z252" s="45"/>
      <c r="AA252" s="45"/>
      <c r="AB252" s="45"/>
      <c r="AC252" s="45"/>
      <c r="AD252" s="45"/>
    </row>
    <row r="253" ht="15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90"/>
      <c r="X253" s="45"/>
      <c r="Y253" s="45"/>
      <c r="Z253" s="45"/>
      <c r="AA253" s="45"/>
      <c r="AB253" s="45"/>
      <c r="AC253" s="45"/>
      <c r="AD253" s="45"/>
    </row>
    <row r="254" ht="15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90"/>
      <c r="X254" s="45"/>
      <c r="Y254" s="45"/>
      <c r="Z254" s="45"/>
      <c r="AA254" s="45"/>
      <c r="AB254" s="45"/>
      <c r="AC254" s="45"/>
      <c r="AD254" s="45"/>
    </row>
    <row r="255" ht="15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90"/>
      <c r="X255" s="45"/>
      <c r="Y255" s="45"/>
      <c r="Z255" s="45"/>
      <c r="AA255" s="45"/>
      <c r="AB255" s="45"/>
      <c r="AC255" s="45"/>
      <c r="AD255" s="45"/>
    </row>
    <row r="256" ht="15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90"/>
      <c r="X256" s="45"/>
      <c r="Y256" s="45"/>
      <c r="Z256" s="45"/>
      <c r="AA256" s="45"/>
      <c r="AB256" s="45"/>
      <c r="AC256" s="45"/>
      <c r="AD256" s="45"/>
    </row>
    <row r="257" ht="15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90"/>
      <c r="X257" s="45"/>
      <c r="Y257" s="45"/>
      <c r="Z257" s="45"/>
      <c r="AA257" s="45"/>
      <c r="AB257" s="45"/>
      <c r="AC257" s="45"/>
      <c r="AD257" s="45"/>
    </row>
    <row r="258" ht="15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90"/>
      <c r="X258" s="45"/>
      <c r="Y258" s="45"/>
      <c r="Z258" s="45"/>
      <c r="AA258" s="45"/>
      <c r="AB258" s="45"/>
      <c r="AC258" s="45"/>
      <c r="AD258" s="45"/>
    </row>
    <row r="259" ht="15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90"/>
      <c r="X259" s="45"/>
      <c r="Y259" s="45"/>
      <c r="Z259" s="45"/>
      <c r="AA259" s="45"/>
      <c r="AB259" s="45"/>
      <c r="AC259" s="45"/>
      <c r="AD259" s="45"/>
    </row>
    <row r="260" ht="15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90"/>
      <c r="X260" s="45"/>
      <c r="Y260" s="45"/>
      <c r="Z260" s="45"/>
      <c r="AA260" s="45"/>
      <c r="AB260" s="45"/>
      <c r="AC260" s="45"/>
      <c r="AD260" s="45"/>
    </row>
    <row r="261" ht="15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90"/>
      <c r="X261" s="45"/>
      <c r="Y261" s="45"/>
      <c r="Z261" s="45"/>
      <c r="AA261" s="45"/>
      <c r="AB261" s="45"/>
      <c r="AC261" s="45"/>
      <c r="AD261" s="45"/>
    </row>
    <row r="262" ht="15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90"/>
      <c r="X262" s="45"/>
      <c r="Y262" s="45"/>
      <c r="Z262" s="45"/>
      <c r="AA262" s="45"/>
      <c r="AB262" s="45"/>
      <c r="AC262" s="45"/>
      <c r="AD262" s="45"/>
    </row>
    <row r="263" ht="15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90"/>
      <c r="X263" s="45"/>
      <c r="Y263" s="45"/>
      <c r="Z263" s="45"/>
      <c r="AA263" s="45"/>
      <c r="AB263" s="45"/>
      <c r="AC263" s="45"/>
      <c r="AD263" s="45"/>
    </row>
    <row r="264" ht="15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90"/>
      <c r="X264" s="45"/>
      <c r="Y264" s="45"/>
      <c r="Z264" s="45"/>
      <c r="AA264" s="45"/>
      <c r="AB264" s="45"/>
      <c r="AC264" s="45"/>
      <c r="AD264" s="45"/>
    </row>
    <row r="265" ht="15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90"/>
      <c r="X265" s="45"/>
      <c r="Y265" s="45"/>
      <c r="Z265" s="45"/>
      <c r="AA265" s="45"/>
      <c r="AB265" s="45"/>
      <c r="AC265" s="45"/>
      <c r="AD265" s="45"/>
    </row>
    <row r="266" ht="15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90"/>
      <c r="X266" s="45"/>
      <c r="Y266" s="45"/>
      <c r="Z266" s="45"/>
      <c r="AA266" s="45"/>
      <c r="AB266" s="45"/>
      <c r="AC266" s="45"/>
      <c r="AD266" s="45"/>
    </row>
    <row r="267" ht="15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90"/>
      <c r="X267" s="45"/>
      <c r="Y267" s="45"/>
      <c r="Z267" s="45"/>
      <c r="AA267" s="45"/>
      <c r="AB267" s="45"/>
      <c r="AC267" s="45"/>
      <c r="AD267" s="45"/>
    </row>
    <row r="268" ht="15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90"/>
      <c r="X268" s="45"/>
      <c r="Y268" s="45"/>
      <c r="Z268" s="45"/>
      <c r="AA268" s="45"/>
      <c r="AB268" s="45"/>
      <c r="AC268" s="45"/>
      <c r="AD268" s="45"/>
    </row>
    <row r="269" ht="15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90"/>
      <c r="X269" s="45"/>
      <c r="Y269" s="45"/>
      <c r="Z269" s="45"/>
      <c r="AA269" s="45"/>
      <c r="AB269" s="45"/>
      <c r="AC269" s="45"/>
      <c r="AD269" s="45"/>
    </row>
    <row r="270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90"/>
      <c r="X270" s="45"/>
      <c r="Y270" s="45"/>
      <c r="Z270" s="45"/>
      <c r="AA270" s="45"/>
      <c r="AB270" s="45"/>
      <c r="AC270" s="45"/>
      <c r="AD270" s="45"/>
    </row>
    <row r="271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90"/>
      <c r="X271" s="45"/>
      <c r="Y271" s="45"/>
      <c r="Z271" s="45"/>
      <c r="AA271" s="45"/>
      <c r="AB271" s="45"/>
      <c r="AC271" s="45"/>
      <c r="AD271" s="45"/>
    </row>
    <row r="272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90"/>
      <c r="X272" s="45"/>
      <c r="Y272" s="45"/>
      <c r="Z272" s="45"/>
      <c r="AA272" s="45"/>
      <c r="AB272" s="45"/>
      <c r="AC272" s="45"/>
      <c r="AD272" s="45"/>
    </row>
    <row r="273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90"/>
      <c r="X273" s="45"/>
      <c r="Y273" s="45"/>
      <c r="Z273" s="45"/>
      <c r="AA273" s="45"/>
      <c r="AB273" s="45"/>
      <c r="AC273" s="45"/>
      <c r="AD273" s="45"/>
    </row>
    <row r="274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90"/>
      <c r="X274" s="45"/>
      <c r="Y274" s="45"/>
      <c r="Z274" s="45"/>
      <c r="AA274" s="45"/>
      <c r="AB274" s="45"/>
      <c r="AC274" s="45"/>
      <c r="AD274" s="45"/>
    </row>
    <row r="275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90"/>
      <c r="X275" s="45"/>
      <c r="Y275" s="45"/>
      <c r="Z275" s="45"/>
      <c r="AA275" s="45"/>
      <c r="AB275" s="45"/>
      <c r="AC275" s="45"/>
      <c r="AD275" s="45"/>
    </row>
    <row r="276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90"/>
      <c r="X276" s="45"/>
      <c r="Y276" s="45"/>
      <c r="Z276" s="45"/>
      <c r="AA276" s="45"/>
      <c r="AB276" s="45"/>
      <c r="AC276" s="45"/>
      <c r="AD276" s="45"/>
    </row>
    <row r="277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90"/>
      <c r="X277" s="45"/>
      <c r="Y277" s="45"/>
      <c r="Z277" s="45"/>
      <c r="AA277" s="45"/>
      <c r="AB277" s="45"/>
      <c r="AC277" s="45"/>
      <c r="AD277" s="45"/>
    </row>
    <row r="278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90"/>
      <c r="X278" s="45"/>
      <c r="Y278" s="45"/>
      <c r="Z278" s="45"/>
      <c r="AA278" s="45"/>
      <c r="AB278" s="45"/>
      <c r="AC278" s="45"/>
      <c r="AD278" s="45"/>
    </row>
    <row r="279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90"/>
      <c r="X279" s="45"/>
      <c r="Y279" s="45"/>
      <c r="Z279" s="45"/>
      <c r="AA279" s="45"/>
      <c r="AB279" s="45"/>
      <c r="AC279" s="45"/>
      <c r="AD279" s="45"/>
    </row>
    <row r="280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90"/>
      <c r="X280" s="45"/>
      <c r="Y280" s="45"/>
      <c r="Z280" s="45"/>
      <c r="AA280" s="45"/>
      <c r="AB280" s="45"/>
      <c r="AC280" s="45"/>
      <c r="AD280" s="45"/>
    </row>
    <row r="281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90"/>
      <c r="X281" s="45"/>
      <c r="Y281" s="45"/>
      <c r="Z281" s="45"/>
      <c r="AA281" s="45"/>
      <c r="AB281" s="45"/>
      <c r="AC281" s="45"/>
      <c r="AD281" s="45"/>
    </row>
    <row r="282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90"/>
      <c r="X282" s="45"/>
      <c r="Y282" s="45"/>
      <c r="Z282" s="45"/>
      <c r="AA282" s="45"/>
      <c r="AB282" s="45"/>
      <c r="AC282" s="45"/>
      <c r="AD282" s="45"/>
    </row>
    <row r="283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90"/>
      <c r="X283" s="45"/>
      <c r="Y283" s="45"/>
      <c r="Z283" s="45"/>
      <c r="AA283" s="45"/>
      <c r="AB283" s="45"/>
      <c r="AC283" s="45"/>
      <c r="AD283" s="45"/>
    </row>
    <row r="284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90"/>
      <c r="X284" s="45"/>
      <c r="Y284" s="45"/>
      <c r="Z284" s="45"/>
      <c r="AA284" s="45"/>
      <c r="AB284" s="45"/>
      <c r="AC284" s="45"/>
      <c r="AD284" s="45"/>
    </row>
    <row r="285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90"/>
      <c r="X285" s="45"/>
      <c r="Y285" s="45"/>
      <c r="Z285" s="45"/>
      <c r="AA285" s="45"/>
      <c r="AB285" s="45"/>
      <c r="AC285" s="45"/>
      <c r="AD285" s="45"/>
    </row>
    <row r="286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90"/>
      <c r="X286" s="45"/>
      <c r="Y286" s="45"/>
      <c r="Z286" s="45"/>
      <c r="AA286" s="45"/>
      <c r="AB286" s="45"/>
      <c r="AC286" s="45"/>
      <c r="AD286" s="45"/>
    </row>
    <row r="287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90"/>
      <c r="X287" s="45"/>
      <c r="Y287" s="45"/>
      <c r="Z287" s="45"/>
      <c r="AA287" s="45"/>
      <c r="AB287" s="45"/>
      <c r="AC287" s="45"/>
      <c r="AD287" s="45"/>
    </row>
    <row r="288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90"/>
      <c r="X288" s="45"/>
      <c r="Y288" s="45"/>
      <c r="Z288" s="45"/>
      <c r="AA288" s="45"/>
      <c r="AB288" s="45"/>
      <c r="AC288" s="45"/>
      <c r="AD288" s="45"/>
    </row>
    <row r="289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90"/>
      <c r="X289" s="45"/>
      <c r="Y289" s="45"/>
      <c r="Z289" s="45"/>
      <c r="AA289" s="45"/>
      <c r="AB289" s="45"/>
      <c r="AC289" s="45"/>
      <c r="AD289" s="45"/>
    </row>
    <row r="290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90"/>
      <c r="X290" s="45"/>
      <c r="Y290" s="45"/>
      <c r="Z290" s="45"/>
      <c r="AA290" s="45"/>
      <c r="AB290" s="45"/>
      <c r="AC290" s="45"/>
      <c r="AD290" s="45"/>
    </row>
    <row r="291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90"/>
      <c r="X291" s="45"/>
      <c r="Y291" s="45"/>
      <c r="Z291" s="45"/>
      <c r="AA291" s="45"/>
      <c r="AB291" s="45"/>
      <c r="AC291" s="45"/>
      <c r="AD291" s="45"/>
    </row>
    <row r="292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90"/>
      <c r="X292" s="45"/>
      <c r="Y292" s="45"/>
      <c r="Z292" s="45"/>
      <c r="AA292" s="45"/>
      <c r="AB292" s="45"/>
      <c r="AC292" s="45"/>
      <c r="AD292" s="45"/>
    </row>
    <row r="293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90"/>
      <c r="X293" s="45"/>
      <c r="Y293" s="45"/>
      <c r="Z293" s="45"/>
      <c r="AA293" s="45"/>
      <c r="AB293" s="45"/>
      <c r="AC293" s="45"/>
      <c r="AD293" s="45"/>
    </row>
    <row r="294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90"/>
      <c r="X294" s="45"/>
      <c r="Y294" s="45"/>
      <c r="Z294" s="45"/>
      <c r="AA294" s="45"/>
      <c r="AB294" s="45"/>
      <c r="AC294" s="45"/>
      <c r="AD294" s="45"/>
    </row>
    <row r="295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90"/>
      <c r="X295" s="45"/>
      <c r="Y295" s="45"/>
      <c r="Z295" s="45"/>
      <c r="AA295" s="45"/>
      <c r="AB295" s="45"/>
      <c r="AC295" s="45"/>
      <c r="AD295" s="45"/>
    </row>
    <row r="296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90"/>
      <c r="X296" s="45"/>
      <c r="Y296" s="45"/>
      <c r="Z296" s="45"/>
      <c r="AA296" s="45"/>
      <c r="AB296" s="45"/>
      <c r="AC296" s="45"/>
      <c r="AD296" s="45"/>
    </row>
    <row r="297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90"/>
      <c r="X297" s="45"/>
      <c r="Y297" s="45"/>
      <c r="Z297" s="45"/>
      <c r="AA297" s="45"/>
      <c r="AB297" s="45"/>
      <c r="AC297" s="45"/>
      <c r="AD297" s="45"/>
    </row>
    <row r="298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90"/>
      <c r="X298" s="45"/>
      <c r="Y298" s="45"/>
      <c r="Z298" s="45"/>
      <c r="AA298" s="45"/>
      <c r="AB298" s="45"/>
      <c r="AC298" s="45"/>
      <c r="AD298" s="45"/>
    </row>
    <row r="299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90"/>
      <c r="X299" s="45"/>
      <c r="Y299" s="45"/>
      <c r="Z299" s="45"/>
      <c r="AA299" s="45"/>
      <c r="AB299" s="45"/>
      <c r="AC299" s="45"/>
      <c r="AD299" s="45"/>
    </row>
    <row r="300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90"/>
      <c r="X300" s="45"/>
      <c r="Y300" s="45"/>
      <c r="Z300" s="45"/>
      <c r="AA300" s="45"/>
      <c r="AB300" s="45"/>
      <c r="AC300" s="45"/>
      <c r="AD300" s="45"/>
    </row>
    <row r="301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90"/>
      <c r="X301" s="45"/>
      <c r="Y301" s="45"/>
      <c r="Z301" s="45"/>
      <c r="AA301" s="45"/>
      <c r="AB301" s="45"/>
      <c r="AC301" s="45"/>
      <c r="AD301" s="45"/>
    </row>
    <row r="302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90"/>
      <c r="X302" s="45"/>
      <c r="Y302" s="45"/>
      <c r="Z302" s="45"/>
      <c r="AA302" s="45"/>
      <c r="AB302" s="45"/>
      <c r="AC302" s="45"/>
      <c r="AD302" s="45"/>
    </row>
    <row r="303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90"/>
      <c r="X303" s="45"/>
      <c r="Y303" s="45"/>
      <c r="Z303" s="45"/>
      <c r="AA303" s="45"/>
      <c r="AB303" s="45"/>
      <c r="AC303" s="45"/>
      <c r="AD303" s="45"/>
    </row>
    <row r="304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90"/>
      <c r="X304" s="45"/>
      <c r="Y304" s="45"/>
      <c r="Z304" s="45"/>
      <c r="AA304" s="45"/>
      <c r="AB304" s="45"/>
      <c r="AC304" s="45"/>
      <c r="AD304" s="45"/>
    </row>
    <row r="305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90"/>
      <c r="X305" s="45"/>
      <c r="Y305" s="45"/>
      <c r="Z305" s="45"/>
      <c r="AA305" s="45"/>
      <c r="AB305" s="45"/>
      <c r="AC305" s="45"/>
      <c r="AD305" s="45"/>
    </row>
    <row r="306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90"/>
      <c r="X306" s="45"/>
      <c r="Y306" s="45"/>
      <c r="Z306" s="45"/>
      <c r="AA306" s="45"/>
      <c r="AB306" s="45"/>
      <c r="AC306" s="45"/>
      <c r="AD306" s="45"/>
    </row>
    <row r="307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90"/>
      <c r="X307" s="45"/>
      <c r="Y307" s="45"/>
      <c r="Z307" s="45"/>
      <c r="AA307" s="45"/>
      <c r="AB307" s="45"/>
      <c r="AC307" s="45"/>
      <c r="AD307" s="45"/>
    </row>
    <row r="308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90"/>
      <c r="X308" s="45"/>
      <c r="Y308" s="45"/>
      <c r="Z308" s="45"/>
      <c r="AA308" s="45"/>
      <c r="AB308" s="45"/>
      <c r="AC308" s="45"/>
      <c r="AD308" s="45"/>
    </row>
    <row r="309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90"/>
      <c r="X309" s="45"/>
      <c r="Y309" s="45"/>
      <c r="Z309" s="45"/>
      <c r="AA309" s="45"/>
      <c r="AB309" s="45"/>
      <c r="AC309" s="45"/>
      <c r="AD309" s="45"/>
    </row>
    <row r="310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90"/>
      <c r="X310" s="45"/>
      <c r="Y310" s="45"/>
      <c r="Z310" s="45"/>
      <c r="AA310" s="45"/>
      <c r="AB310" s="45"/>
      <c r="AC310" s="45"/>
      <c r="AD310" s="45"/>
    </row>
    <row r="311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90"/>
      <c r="X311" s="45"/>
      <c r="Y311" s="45"/>
      <c r="Z311" s="45"/>
      <c r="AA311" s="45"/>
      <c r="AB311" s="45"/>
      <c r="AC311" s="45"/>
      <c r="AD311" s="45"/>
    </row>
    <row r="312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90"/>
      <c r="X312" s="45"/>
      <c r="Y312" s="45"/>
      <c r="Z312" s="45"/>
      <c r="AA312" s="45"/>
      <c r="AB312" s="45"/>
      <c r="AC312" s="45"/>
      <c r="AD312" s="45"/>
    </row>
    <row r="313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90"/>
      <c r="X313" s="45"/>
      <c r="Y313" s="45"/>
      <c r="Z313" s="45"/>
      <c r="AA313" s="45"/>
      <c r="AB313" s="45"/>
      <c r="AC313" s="45"/>
      <c r="AD313" s="45"/>
    </row>
    <row r="314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90"/>
      <c r="X314" s="45"/>
      <c r="Y314" s="45"/>
      <c r="Z314" s="45"/>
      <c r="AA314" s="45"/>
      <c r="AB314" s="45"/>
      <c r="AC314" s="45"/>
      <c r="AD314" s="45"/>
    </row>
    <row r="315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90"/>
      <c r="X315" s="45"/>
      <c r="Y315" s="45"/>
      <c r="Z315" s="45"/>
      <c r="AA315" s="45"/>
      <c r="AB315" s="45"/>
      <c r="AC315" s="45"/>
      <c r="AD315" s="45"/>
    </row>
    <row r="316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90"/>
      <c r="X316" s="45"/>
      <c r="Y316" s="45"/>
      <c r="Z316" s="45"/>
      <c r="AA316" s="45"/>
      <c r="AB316" s="45"/>
      <c r="AC316" s="45"/>
      <c r="AD316" s="45"/>
    </row>
    <row r="317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90"/>
      <c r="X317" s="45"/>
      <c r="Y317" s="45"/>
      <c r="Z317" s="45"/>
      <c r="AA317" s="45"/>
      <c r="AB317" s="45"/>
      <c r="AC317" s="45"/>
      <c r="AD317" s="45"/>
    </row>
    <row r="318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90"/>
      <c r="X318" s="45"/>
      <c r="Y318" s="45"/>
      <c r="Z318" s="45"/>
      <c r="AA318" s="45"/>
      <c r="AB318" s="45"/>
      <c r="AC318" s="45"/>
      <c r="AD318" s="45"/>
    </row>
    <row r="319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90"/>
      <c r="X319" s="45"/>
      <c r="Y319" s="45"/>
      <c r="Z319" s="45"/>
      <c r="AA319" s="45"/>
      <c r="AB319" s="45"/>
      <c r="AC319" s="45"/>
      <c r="AD319" s="45"/>
    </row>
    <row r="320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90"/>
      <c r="X320" s="45"/>
      <c r="Y320" s="45"/>
      <c r="Z320" s="45"/>
      <c r="AA320" s="45"/>
      <c r="AB320" s="45"/>
      <c r="AC320" s="45"/>
      <c r="AD320" s="45"/>
    </row>
    <row r="321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90"/>
      <c r="X321" s="45"/>
      <c r="Y321" s="45"/>
      <c r="Z321" s="45"/>
      <c r="AA321" s="45"/>
      <c r="AB321" s="45"/>
      <c r="AC321" s="45"/>
      <c r="AD321" s="45"/>
    </row>
    <row r="322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90"/>
      <c r="X322" s="45"/>
      <c r="Y322" s="45"/>
      <c r="Z322" s="45"/>
      <c r="AA322" s="45"/>
      <c r="AB322" s="45"/>
      <c r="AC322" s="45"/>
      <c r="AD322" s="45"/>
    </row>
    <row r="323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90"/>
      <c r="X323" s="45"/>
      <c r="Y323" s="45"/>
      <c r="Z323" s="45"/>
      <c r="AA323" s="45"/>
      <c r="AB323" s="45"/>
      <c r="AC323" s="45"/>
      <c r="AD323" s="45"/>
    </row>
    <row r="324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90"/>
      <c r="X324" s="45"/>
      <c r="Y324" s="45"/>
      <c r="Z324" s="45"/>
      <c r="AA324" s="45"/>
      <c r="AB324" s="45"/>
      <c r="AC324" s="45"/>
      <c r="AD324" s="45"/>
    </row>
    <row r="325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90"/>
      <c r="X325" s="45"/>
      <c r="Y325" s="45"/>
      <c r="Z325" s="45"/>
      <c r="AA325" s="45"/>
      <c r="AB325" s="45"/>
      <c r="AC325" s="45"/>
      <c r="AD325" s="45"/>
    </row>
    <row r="326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90"/>
      <c r="X326" s="45"/>
      <c r="Y326" s="45"/>
      <c r="Z326" s="45"/>
      <c r="AA326" s="45"/>
      <c r="AB326" s="45"/>
      <c r="AC326" s="45"/>
      <c r="AD326" s="45"/>
    </row>
    <row r="327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90"/>
      <c r="X327" s="45"/>
      <c r="Y327" s="45"/>
      <c r="Z327" s="45"/>
      <c r="AA327" s="45"/>
      <c r="AB327" s="45"/>
      <c r="AC327" s="45"/>
      <c r="AD327" s="45"/>
    </row>
    <row r="328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90"/>
      <c r="X328" s="45"/>
      <c r="Y328" s="45"/>
      <c r="Z328" s="45"/>
      <c r="AA328" s="45"/>
      <c r="AB328" s="45"/>
      <c r="AC328" s="45"/>
      <c r="AD328" s="45"/>
    </row>
    <row r="329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90"/>
      <c r="X329" s="45"/>
      <c r="Y329" s="45"/>
      <c r="Z329" s="45"/>
      <c r="AA329" s="45"/>
      <c r="AB329" s="45"/>
      <c r="AC329" s="45"/>
      <c r="AD329" s="45"/>
    </row>
    <row r="330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90"/>
      <c r="X330" s="45"/>
      <c r="Y330" s="45"/>
      <c r="Z330" s="45"/>
      <c r="AA330" s="45"/>
      <c r="AB330" s="45"/>
      <c r="AC330" s="45"/>
      <c r="AD330" s="45"/>
    </row>
    <row r="331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90"/>
      <c r="X331" s="45"/>
      <c r="Y331" s="45"/>
      <c r="Z331" s="45"/>
      <c r="AA331" s="45"/>
      <c r="AB331" s="45"/>
      <c r="AC331" s="45"/>
      <c r="AD331" s="45"/>
    </row>
    <row r="332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90"/>
      <c r="X332" s="45"/>
      <c r="Y332" s="45"/>
      <c r="Z332" s="45"/>
      <c r="AA332" s="45"/>
      <c r="AB332" s="45"/>
      <c r="AC332" s="45"/>
      <c r="AD332" s="45"/>
    </row>
    <row r="333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90"/>
      <c r="X333" s="45"/>
      <c r="Y333" s="45"/>
      <c r="Z333" s="45"/>
      <c r="AA333" s="45"/>
      <c r="AB333" s="45"/>
      <c r="AC333" s="45"/>
      <c r="AD333" s="45"/>
    </row>
    <row r="334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90"/>
      <c r="X334" s="45"/>
      <c r="Y334" s="45"/>
      <c r="Z334" s="45"/>
      <c r="AA334" s="45"/>
      <c r="AB334" s="45"/>
      <c r="AC334" s="45"/>
      <c r="AD334" s="45"/>
    </row>
    <row r="335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90"/>
      <c r="X335" s="45"/>
      <c r="Y335" s="45"/>
      <c r="Z335" s="45"/>
      <c r="AA335" s="45"/>
      <c r="AB335" s="45"/>
      <c r="AC335" s="45"/>
      <c r="AD335" s="45"/>
    </row>
    <row r="336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90"/>
      <c r="X336" s="45"/>
      <c r="Y336" s="45"/>
      <c r="Z336" s="45"/>
      <c r="AA336" s="45"/>
      <c r="AB336" s="45"/>
      <c r="AC336" s="45"/>
      <c r="AD336" s="45"/>
    </row>
    <row r="337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90"/>
      <c r="X337" s="45"/>
      <c r="Y337" s="45"/>
      <c r="Z337" s="45"/>
      <c r="AA337" s="45"/>
      <c r="AB337" s="45"/>
      <c r="AC337" s="45"/>
      <c r="AD337" s="45"/>
    </row>
    <row r="338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90"/>
      <c r="X338" s="45"/>
      <c r="Y338" s="45"/>
      <c r="Z338" s="45"/>
      <c r="AA338" s="45"/>
      <c r="AB338" s="45"/>
      <c r="AC338" s="45"/>
      <c r="AD338" s="45"/>
    </row>
    <row r="339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90"/>
      <c r="X339" s="45"/>
      <c r="Y339" s="45"/>
      <c r="Z339" s="45"/>
      <c r="AA339" s="45"/>
      <c r="AB339" s="45"/>
      <c r="AC339" s="45"/>
      <c r="AD339" s="45"/>
    </row>
    <row r="340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90"/>
      <c r="X340" s="45"/>
      <c r="Y340" s="45"/>
      <c r="Z340" s="45"/>
      <c r="AA340" s="45"/>
      <c r="AB340" s="45"/>
      <c r="AC340" s="45"/>
      <c r="AD340" s="45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90"/>
      <c r="X341" s="45"/>
      <c r="Y341" s="45"/>
      <c r="Z341" s="45"/>
      <c r="AA341" s="45"/>
      <c r="AB341" s="45"/>
      <c r="AC341" s="45"/>
      <c r="AD341" s="45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90"/>
      <c r="X342" s="45"/>
      <c r="Y342" s="45"/>
      <c r="Z342" s="45"/>
      <c r="AA342" s="45"/>
      <c r="AB342" s="45"/>
      <c r="AC342" s="45"/>
      <c r="AD342" s="45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90"/>
      <c r="X343" s="45"/>
      <c r="Y343" s="45"/>
      <c r="Z343" s="45"/>
      <c r="AA343" s="45"/>
      <c r="AB343" s="45"/>
      <c r="AC343" s="45"/>
      <c r="AD343" s="45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90"/>
      <c r="X344" s="45"/>
      <c r="Y344" s="45"/>
      <c r="Z344" s="45"/>
      <c r="AA344" s="45"/>
      <c r="AB344" s="45"/>
      <c r="AC344" s="45"/>
      <c r="AD344" s="45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90"/>
      <c r="X345" s="45"/>
      <c r="Y345" s="45"/>
      <c r="Z345" s="45"/>
      <c r="AA345" s="45"/>
      <c r="AB345" s="45"/>
      <c r="AC345" s="45"/>
      <c r="AD345" s="45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90"/>
      <c r="X346" s="45"/>
      <c r="Y346" s="45"/>
      <c r="Z346" s="45"/>
      <c r="AA346" s="45"/>
      <c r="AB346" s="45"/>
      <c r="AC346" s="45"/>
      <c r="AD346" s="45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90"/>
      <c r="X347" s="45"/>
      <c r="Y347" s="45"/>
      <c r="Z347" s="45"/>
      <c r="AA347" s="45"/>
      <c r="AB347" s="45"/>
      <c r="AC347" s="45"/>
      <c r="AD347" s="45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90"/>
      <c r="X348" s="45"/>
      <c r="Y348" s="45"/>
      <c r="Z348" s="45"/>
      <c r="AA348" s="45"/>
      <c r="AB348" s="45"/>
      <c r="AC348" s="45"/>
      <c r="AD348" s="45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90"/>
      <c r="X349" s="45"/>
      <c r="Y349" s="45"/>
      <c r="Z349" s="45"/>
      <c r="AA349" s="45"/>
      <c r="AB349" s="45"/>
      <c r="AC349" s="45"/>
      <c r="AD349" s="45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90"/>
      <c r="X350" s="45"/>
      <c r="Y350" s="45"/>
      <c r="Z350" s="45"/>
      <c r="AA350" s="45"/>
      <c r="AB350" s="45"/>
      <c r="AC350" s="45"/>
      <c r="AD350" s="45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90"/>
      <c r="X351" s="45"/>
      <c r="Y351" s="45"/>
      <c r="Z351" s="45"/>
      <c r="AA351" s="45"/>
      <c r="AB351" s="45"/>
      <c r="AC351" s="45"/>
      <c r="AD351" s="45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90"/>
      <c r="X352" s="45"/>
      <c r="Y352" s="45"/>
      <c r="Z352" s="45"/>
      <c r="AA352" s="45"/>
      <c r="AB352" s="45"/>
      <c r="AC352" s="45"/>
      <c r="AD352" s="45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90"/>
      <c r="X353" s="45"/>
      <c r="Y353" s="45"/>
      <c r="Z353" s="45"/>
      <c r="AA353" s="45"/>
      <c r="AB353" s="45"/>
      <c r="AC353" s="45"/>
      <c r="AD353" s="45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90"/>
      <c r="X354" s="45"/>
      <c r="Y354" s="45"/>
      <c r="Z354" s="45"/>
      <c r="AA354" s="45"/>
      <c r="AB354" s="45"/>
      <c r="AC354" s="45"/>
      <c r="AD354" s="45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90"/>
      <c r="X355" s="45"/>
      <c r="Y355" s="45"/>
      <c r="Z355" s="45"/>
      <c r="AA355" s="45"/>
      <c r="AB355" s="45"/>
      <c r="AC355" s="45"/>
      <c r="AD355" s="45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90"/>
      <c r="X356" s="45"/>
      <c r="Y356" s="45"/>
      <c r="Z356" s="45"/>
      <c r="AA356" s="45"/>
      <c r="AB356" s="45"/>
      <c r="AC356" s="45"/>
      <c r="AD356" s="45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90"/>
      <c r="X357" s="45"/>
      <c r="Y357" s="45"/>
      <c r="Z357" s="45"/>
      <c r="AA357" s="45"/>
      <c r="AB357" s="45"/>
      <c r="AC357" s="45"/>
      <c r="AD357" s="45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90"/>
      <c r="X358" s="45"/>
      <c r="Y358" s="45"/>
      <c r="Z358" s="45"/>
      <c r="AA358" s="45"/>
      <c r="AB358" s="45"/>
      <c r="AC358" s="45"/>
      <c r="AD358" s="45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90"/>
      <c r="X359" s="45"/>
      <c r="Y359" s="45"/>
      <c r="Z359" s="45"/>
      <c r="AA359" s="45"/>
      <c r="AB359" s="45"/>
      <c r="AC359" s="45"/>
      <c r="AD359" s="45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90"/>
      <c r="X360" s="45"/>
      <c r="Y360" s="45"/>
      <c r="Z360" s="45"/>
      <c r="AA360" s="45"/>
      <c r="AB360" s="45"/>
      <c r="AC360" s="45"/>
      <c r="AD360" s="45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90"/>
      <c r="X361" s="45"/>
      <c r="Y361" s="45"/>
      <c r="Z361" s="45"/>
      <c r="AA361" s="45"/>
      <c r="AB361" s="45"/>
      <c r="AC361" s="45"/>
      <c r="AD361" s="45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90"/>
      <c r="X362" s="45"/>
      <c r="Y362" s="45"/>
      <c r="Z362" s="45"/>
      <c r="AA362" s="45"/>
      <c r="AB362" s="45"/>
      <c r="AC362" s="45"/>
      <c r="AD362" s="45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90"/>
      <c r="X363" s="45"/>
      <c r="Y363" s="45"/>
      <c r="Z363" s="45"/>
      <c r="AA363" s="45"/>
      <c r="AB363" s="45"/>
      <c r="AC363" s="45"/>
      <c r="AD363" s="45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90"/>
      <c r="X364" s="45"/>
      <c r="Y364" s="45"/>
      <c r="Z364" s="45"/>
      <c r="AA364" s="45"/>
      <c r="AB364" s="45"/>
      <c r="AC364" s="45"/>
      <c r="AD364" s="45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90"/>
      <c r="X365" s="45"/>
      <c r="Y365" s="45"/>
      <c r="Z365" s="45"/>
      <c r="AA365" s="45"/>
      <c r="AB365" s="45"/>
      <c r="AC365" s="45"/>
      <c r="AD365" s="45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90"/>
      <c r="X366" s="45"/>
      <c r="Y366" s="45"/>
      <c r="Z366" s="45"/>
      <c r="AA366" s="45"/>
      <c r="AB366" s="45"/>
      <c r="AC366" s="45"/>
      <c r="AD366" s="45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90"/>
      <c r="X367" s="45"/>
      <c r="Y367" s="45"/>
      <c r="Z367" s="45"/>
      <c r="AA367" s="45"/>
      <c r="AB367" s="45"/>
      <c r="AC367" s="45"/>
      <c r="AD367" s="45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90"/>
      <c r="X368" s="45"/>
      <c r="Y368" s="45"/>
      <c r="Z368" s="45"/>
      <c r="AA368" s="45"/>
      <c r="AB368" s="45"/>
      <c r="AC368" s="45"/>
      <c r="AD368" s="45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90"/>
      <c r="X369" s="45"/>
      <c r="Y369" s="45"/>
      <c r="Z369" s="45"/>
      <c r="AA369" s="45"/>
      <c r="AB369" s="45"/>
      <c r="AC369" s="45"/>
      <c r="AD369" s="45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90"/>
      <c r="X370" s="45"/>
      <c r="Y370" s="45"/>
      <c r="Z370" s="45"/>
      <c r="AA370" s="45"/>
      <c r="AB370" s="45"/>
      <c r="AC370" s="45"/>
      <c r="AD370" s="45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90"/>
      <c r="X371" s="45"/>
      <c r="Y371" s="45"/>
      <c r="Z371" s="45"/>
      <c r="AA371" s="45"/>
      <c r="AB371" s="45"/>
      <c r="AC371" s="45"/>
      <c r="AD371" s="45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90"/>
      <c r="X372" s="45"/>
      <c r="Y372" s="45"/>
      <c r="Z372" s="45"/>
      <c r="AA372" s="45"/>
      <c r="AB372" s="45"/>
      <c r="AC372" s="45"/>
      <c r="AD372" s="45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90"/>
      <c r="X373" s="45"/>
      <c r="Y373" s="45"/>
      <c r="Z373" s="45"/>
      <c r="AA373" s="45"/>
      <c r="AB373" s="45"/>
      <c r="AC373" s="45"/>
      <c r="AD373" s="45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90"/>
      <c r="X374" s="45"/>
      <c r="Y374" s="45"/>
      <c r="Z374" s="45"/>
      <c r="AA374" s="45"/>
      <c r="AB374" s="45"/>
      <c r="AC374" s="45"/>
      <c r="AD374" s="45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90"/>
      <c r="X375" s="45"/>
      <c r="Y375" s="45"/>
      <c r="Z375" s="45"/>
      <c r="AA375" s="45"/>
      <c r="AB375" s="45"/>
      <c r="AC375" s="45"/>
      <c r="AD375" s="45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90"/>
      <c r="X376" s="45"/>
      <c r="Y376" s="45"/>
      <c r="Z376" s="45"/>
      <c r="AA376" s="45"/>
      <c r="AB376" s="45"/>
      <c r="AC376" s="45"/>
      <c r="AD376" s="45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90"/>
      <c r="X377" s="45"/>
      <c r="Y377" s="45"/>
      <c r="Z377" s="45"/>
      <c r="AA377" s="45"/>
      <c r="AB377" s="45"/>
      <c r="AC377" s="45"/>
      <c r="AD377" s="45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90"/>
      <c r="X378" s="45"/>
      <c r="Y378" s="45"/>
      <c r="Z378" s="45"/>
      <c r="AA378" s="45"/>
      <c r="AB378" s="45"/>
      <c r="AC378" s="45"/>
      <c r="AD378" s="45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90"/>
      <c r="X379" s="45"/>
      <c r="Y379" s="45"/>
      <c r="Z379" s="45"/>
      <c r="AA379" s="45"/>
      <c r="AB379" s="45"/>
      <c r="AC379" s="45"/>
      <c r="AD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90"/>
      <c r="X380" s="45"/>
      <c r="Y380" s="45"/>
      <c r="Z380" s="45"/>
      <c r="AA380" s="45"/>
      <c r="AB380" s="45"/>
      <c r="AC380" s="45"/>
      <c r="AD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90"/>
      <c r="X381" s="45"/>
      <c r="Y381" s="45"/>
      <c r="Z381" s="45"/>
      <c r="AA381" s="45"/>
      <c r="AB381" s="45"/>
      <c r="AC381" s="45"/>
      <c r="AD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90"/>
      <c r="X382" s="45"/>
      <c r="Y382" s="45"/>
      <c r="Z382" s="45"/>
      <c r="AA382" s="45"/>
      <c r="AB382" s="45"/>
      <c r="AC382" s="45"/>
      <c r="AD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90"/>
      <c r="X383" s="45"/>
      <c r="Y383" s="45"/>
      <c r="Z383" s="45"/>
      <c r="AA383" s="45"/>
      <c r="AB383" s="45"/>
      <c r="AC383" s="45"/>
      <c r="AD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90"/>
      <c r="X384" s="45"/>
      <c r="Y384" s="45"/>
      <c r="Z384" s="45"/>
      <c r="AA384" s="45"/>
      <c r="AB384" s="45"/>
      <c r="AC384" s="45"/>
      <c r="AD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90"/>
      <c r="X385" s="45"/>
      <c r="Y385" s="45"/>
      <c r="Z385" s="45"/>
      <c r="AA385" s="45"/>
      <c r="AB385" s="45"/>
      <c r="AC385" s="45"/>
      <c r="AD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90"/>
      <c r="X386" s="45"/>
      <c r="Y386" s="45"/>
      <c r="Z386" s="45"/>
      <c r="AA386" s="45"/>
      <c r="AB386" s="45"/>
      <c r="AC386" s="45"/>
      <c r="AD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90"/>
      <c r="X387" s="45"/>
      <c r="Y387" s="45"/>
      <c r="Z387" s="45"/>
      <c r="AA387" s="45"/>
      <c r="AB387" s="45"/>
      <c r="AC387" s="45"/>
      <c r="AD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90"/>
      <c r="X388" s="45"/>
      <c r="Y388" s="45"/>
      <c r="Z388" s="45"/>
      <c r="AA388" s="45"/>
      <c r="AB388" s="45"/>
      <c r="AC388" s="45"/>
      <c r="AD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90"/>
      <c r="X389" s="45"/>
      <c r="Y389" s="45"/>
      <c r="Z389" s="45"/>
      <c r="AA389" s="45"/>
      <c r="AB389" s="45"/>
      <c r="AC389" s="45"/>
      <c r="AD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90"/>
      <c r="X390" s="45"/>
      <c r="Y390" s="45"/>
      <c r="Z390" s="45"/>
      <c r="AA390" s="45"/>
      <c r="AB390" s="45"/>
      <c r="AC390" s="45"/>
      <c r="AD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90"/>
      <c r="X391" s="45"/>
      <c r="Y391" s="45"/>
      <c r="Z391" s="45"/>
      <c r="AA391" s="45"/>
      <c r="AB391" s="45"/>
      <c r="AC391" s="45"/>
      <c r="AD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90"/>
      <c r="X392" s="45"/>
      <c r="Y392" s="45"/>
      <c r="Z392" s="45"/>
      <c r="AA392" s="45"/>
      <c r="AB392" s="45"/>
      <c r="AC392" s="45"/>
      <c r="AD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90"/>
      <c r="X393" s="45"/>
      <c r="Y393" s="45"/>
      <c r="Z393" s="45"/>
      <c r="AA393" s="45"/>
      <c r="AB393" s="45"/>
      <c r="AC393" s="45"/>
      <c r="AD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90"/>
      <c r="X394" s="45"/>
      <c r="Y394" s="45"/>
      <c r="Z394" s="45"/>
      <c r="AA394" s="45"/>
      <c r="AB394" s="45"/>
      <c r="AC394" s="45"/>
      <c r="AD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90"/>
      <c r="X395" s="45"/>
      <c r="Y395" s="45"/>
      <c r="Z395" s="45"/>
      <c r="AA395" s="45"/>
      <c r="AB395" s="45"/>
      <c r="AC395" s="45"/>
      <c r="AD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90"/>
      <c r="X396" s="45"/>
      <c r="Y396" s="45"/>
      <c r="Z396" s="45"/>
      <c r="AA396" s="45"/>
      <c r="AB396" s="45"/>
      <c r="AC396" s="45"/>
      <c r="AD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90"/>
      <c r="X397" s="45"/>
      <c r="Y397" s="45"/>
      <c r="Z397" s="45"/>
      <c r="AA397" s="45"/>
      <c r="AB397" s="45"/>
      <c r="AC397" s="45"/>
      <c r="AD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90"/>
      <c r="X398" s="45"/>
      <c r="Y398" s="45"/>
      <c r="Z398" s="45"/>
      <c r="AA398" s="45"/>
      <c r="AB398" s="45"/>
      <c r="AC398" s="45"/>
      <c r="AD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90"/>
      <c r="X399" s="45"/>
      <c r="Y399" s="45"/>
      <c r="Z399" s="45"/>
      <c r="AA399" s="45"/>
      <c r="AB399" s="45"/>
      <c r="AC399" s="45"/>
      <c r="AD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90"/>
      <c r="X400" s="45"/>
      <c r="Y400" s="45"/>
      <c r="Z400" s="45"/>
      <c r="AA400" s="45"/>
      <c r="AB400" s="45"/>
      <c r="AC400" s="45"/>
      <c r="AD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90"/>
      <c r="X401" s="45"/>
      <c r="Y401" s="45"/>
      <c r="Z401" s="45"/>
      <c r="AA401" s="45"/>
      <c r="AB401" s="45"/>
      <c r="AC401" s="45"/>
      <c r="AD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90"/>
      <c r="X402" s="45"/>
      <c r="Y402" s="45"/>
      <c r="Z402" s="45"/>
      <c r="AA402" s="45"/>
      <c r="AB402" s="45"/>
      <c r="AC402" s="45"/>
      <c r="AD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90"/>
      <c r="X403" s="45"/>
      <c r="Y403" s="45"/>
      <c r="Z403" s="45"/>
      <c r="AA403" s="45"/>
      <c r="AB403" s="45"/>
      <c r="AC403" s="45"/>
      <c r="AD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90"/>
      <c r="X404" s="45"/>
      <c r="Y404" s="45"/>
      <c r="Z404" s="45"/>
      <c r="AA404" s="45"/>
      <c r="AB404" s="45"/>
      <c r="AC404" s="45"/>
      <c r="AD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90"/>
      <c r="X405" s="45"/>
      <c r="Y405" s="45"/>
      <c r="Z405" s="45"/>
      <c r="AA405" s="45"/>
      <c r="AB405" s="45"/>
      <c r="AC405" s="45"/>
      <c r="AD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90"/>
      <c r="X406" s="45"/>
      <c r="Y406" s="45"/>
      <c r="Z406" s="45"/>
      <c r="AA406" s="45"/>
      <c r="AB406" s="45"/>
      <c r="AC406" s="45"/>
      <c r="AD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90"/>
      <c r="X407" s="45"/>
      <c r="Y407" s="45"/>
      <c r="Z407" s="45"/>
      <c r="AA407" s="45"/>
      <c r="AB407" s="45"/>
      <c r="AC407" s="45"/>
      <c r="AD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90"/>
      <c r="X408" s="45"/>
      <c r="Y408" s="45"/>
      <c r="Z408" s="45"/>
      <c r="AA408" s="45"/>
      <c r="AB408" s="45"/>
      <c r="AC408" s="45"/>
      <c r="AD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90"/>
      <c r="X409" s="45"/>
      <c r="Y409" s="45"/>
      <c r="Z409" s="45"/>
      <c r="AA409" s="45"/>
      <c r="AB409" s="45"/>
      <c r="AC409" s="45"/>
      <c r="AD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90"/>
      <c r="X410" s="45"/>
      <c r="Y410" s="45"/>
      <c r="Z410" s="45"/>
      <c r="AA410" s="45"/>
      <c r="AB410" s="45"/>
      <c r="AC410" s="45"/>
      <c r="AD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90"/>
      <c r="X411" s="45"/>
      <c r="Y411" s="45"/>
      <c r="Z411" s="45"/>
      <c r="AA411" s="45"/>
      <c r="AB411" s="45"/>
      <c r="AC411" s="45"/>
      <c r="AD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90"/>
      <c r="X412" s="45"/>
      <c r="Y412" s="45"/>
      <c r="Z412" s="45"/>
      <c r="AA412" s="45"/>
      <c r="AB412" s="45"/>
      <c r="AC412" s="45"/>
      <c r="AD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90"/>
      <c r="X413" s="45"/>
      <c r="Y413" s="45"/>
      <c r="Z413" s="45"/>
      <c r="AA413" s="45"/>
      <c r="AB413" s="45"/>
      <c r="AC413" s="45"/>
      <c r="AD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90"/>
      <c r="X414" s="45"/>
      <c r="Y414" s="45"/>
      <c r="Z414" s="45"/>
      <c r="AA414" s="45"/>
      <c r="AB414" s="45"/>
      <c r="AC414" s="45"/>
      <c r="AD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90"/>
      <c r="X415" s="45"/>
      <c r="Y415" s="45"/>
      <c r="Z415" s="45"/>
      <c r="AA415" s="45"/>
      <c r="AB415" s="45"/>
      <c r="AC415" s="45"/>
      <c r="AD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90"/>
      <c r="X416" s="45"/>
      <c r="Y416" s="45"/>
      <c r="Z416" s="45"/>
      <c r="AA416" s="45"/>
      <c r="AB416" s="45"/>
      <c r="AC416" s="45"/>
      <c r="AD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90"/>
      <c r="X417" s="45"/>
      <c r="Y417" s="45"/>
      <c r="Z417" s="45"/>
      <c r="AA417" s="45"/>
      <c r="AB417" s="45"/>
      <c r="AC417" s="45"/>
      <c r="AD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90"/>
      <c r="X418" s="45"/>
      <c r="Y418" s="45"/>
      <c r="Z418" s="45"/>
      <c r="AA418" s="45"/>
      <c r="AB418" s="45"/>
      <c r="AC418" s="45"/>
      <c r="AD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90"/>
      <c r="X419" s="45"/>
      <c r="Y419" s="45"/>
      <c r="Z419" s="45"/>
      <c r="AA419" s="45"/>
      <c r="AB419" s="45"/>
      <c r="AC419" s="45"/>
      <c r="AD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90"/>
      <c r="X420" s="45"/>
      <c r="Y420" s="45"/>
      <c r="Z420" s="45"/>
      <c r="AA420" s="45"/>
      <c r="AB420" s="45"/>
      <c r="AC420" s="45"/>
      <c r="AD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90"/>
      <c r="X421" s="45"/>
      <c r="Y421" s="45"/>
      <c r="Z421" s="45"/>
      <c r="AA421" s="45"/>
      <c r="AB421" s="45"/>
      <c r="AC421" s="45"/>
      <c r="AD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90"/>
      <c r="X422" s="45"/>
      <c r="Y422" s="45"/>
      <c r="Z422" s="45"/>
      <c r="AA422" s="45"/>
      <c r="AB422" s="45"/>
      <c r="AC422" s="45"/>
      <c r="AD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90"/>
      <c r="X423" s="45"/>
      <c r="Y423" s="45"/>
      <c r="Z423" s="45"/>
      <c r="AA423" s="45"/>
      <c r="AB423" s="45"/>
      <c r="AC423" s="45"/>
      <c r="AD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90"/>
      <c r="X424" s="45"/>
      <c r="Y424" s="45"/>
      <c r="Z424" s="45"/>
      <c r="AA424" s="45"/>
      <c r="AB424" s="45"/>
      <c r="AC424" s="45"/>
      <c r="AD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90"/>
      <c r="X425" s="45"/>
      <c r="Y425" s="45"/>
      <c r="Z425" s="45"/>
      <c r="AA425" s="45"/>
      <c r="AB425" s="45"/>
      <c r="AC425" s="45"/>
      <c r="AD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90"/>
      <c r="X426" s="45"/>
      <c r="Y426" s="45"/>
      <c r="Z426" s="45"/>
      <c r="AA426" s="45"/>
      <c r="AB426" s="45"/>
      <c r="AC426" s="45"/>
      <c r="AD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90"/>
      <c r="X427" s="45"/>
      <c r="Y427" s="45"/>
      <c r="Z427" s="45"/>
      <c r="AA427" s="45"/>
      <c r="AB427" s="45"/>
      <c r="AC427" s="45"/>
      <c r="AD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90"/>
      <c r="X428" s="45"/>
      <c r="Y428" s="45"/>
      <c r="Z428" s="45"/>
      <c r="AA428" s="45"/>
      <c r="AB428" s="45"/>
      <c r="AC428" s="45"/>
      <c r="AD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90"/>
      <c r="X429" s="45"/>
      <c r="Y429" s="45"/>
      <c r="Z429" s="45"/>
      <c r="AA429" s="45"/>
      <c r="AB429" s="45"/>
      <c r="AC429" s="45"/>
      <c r="AD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90"/>
      <c r="X430" s="45"/>
      <c r="Y430" s="45"/>
      <c r="Z430" s="45"/>
      <c r="AA430" s="45"/>
      <c r="AB430" s="45"/>
      <c r="AC430" s="45"/>
      <c r="AD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90"/>
      <c r="X431" s="45"/>
      <c r="Y431" s="45"/>
      <c r="Z431" s="45"/>
      <c r="AA431" s="45"/>
      <c r="AB431" s="45"/>
      <c r="AC431" s="45"/>
      <c r="AD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90"/>
      <c r="X432" s="45"/>
      <c r="Y432" s="45"/>
      <c r="Z432" s="45"/>
      <c r="AA432" s="45"/>
      <c r="AB432" s="45"/>
      <c r="AC432" s="45"/>
      <c r="AD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90"/>
      <c r="X433" s="45"/>
      <c r="Y433" s="45"/>
      <c r="Z433" s="45"/>
      <c r="AA433" s="45"/>
      <c r="AB433" s="45"/>
      <c r="AC433" s="45"/>
      <c r="AD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90"/>
      <c r="X434" s="45"/>
      <c r="Y434" s="45"/>
      <c r="Z434" s="45"/>
      <c r="AA434" s="45"/>
      <c r="AB434" s="45"/>
      <c r="AC434" s="45"/>
      <c r="AD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90"/>
      <c r="X435" s="45"/>
      <c r="Y435" s="45"/>
      <c r="Z435" s="45"/>
      <c r="AA435" s="45"/>
      <c r="AB435" s="45"/>
      <c r="AC435" s="45"/>
      <c r="AD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90"/>
      <c r="X436" s="45"/>
      <c r="Y436" s="45"/>
      <c r="Z436" s="45"/>
      <c r="AA436" s="45"/>
      <c r="AB436" s="45"/>
      <c r="AC436" s="45"/>
      <c r="AD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90"/>
      <c r="X437" s="45"/>
      <c r="Y437" s="45"/>
      <c r="Z437" s="45"/>
      <c r="AA437" s="45"/>
      <c r="AB437" s="45"/>
      <c r="AC437" s="45"/>
      <c r="AD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90"/>
      <c r="X438" s="45"/>
      <c r="Y438" s="45"/>
      <c r="Z438" s="45"/>
      <c r="AA438" s="45"/>
      <c r="AB438" s="45"/>
      <c r="AC438" s="45"/>
      <c r="AD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90"/>
      <c r="X439" s="45"/>
      <c r="Y439" s="45"/>
      <c r="Z439" s="45"/>
      <c r="AA439" s="45"/>
      <c r="AB439" s="45"/>
      <c r="AC439" s="45"/>
      <c r="AD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90"/>
      <c r="X440" s="45"/>
      <c r="Y440" s="45"/>
      <c r="Z440" s="45"/>
      <c r="AA440" s="45"/>
      <c r="AB440" s="45"/>
      <c r="AC440" s="45"/>
      <c r="AD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90"/>
      <c r="X441" s="45"/>
      <c r="Y441" s="45"/>
      <c r="Z441" s="45"/>
      <c r="AA441" s="45"/>
      <c r="AB441" s="45"/>
      <c r="AC441" s="45"/>
      <c r="AD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90"/>
      <c r="X442" s="45"/>
      <c r="Y442" s="45"/>
      <c r="Z442" s="45"/>
      <c r="AA442" s="45"/>
      <c r="AB442" s="45"/>
      <c r="AC442" s="45"/>
      <c r="AD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90"/>
      <c r="X443" s="45"/>
      <c r="Y443" s="45"/>
      <c r="Z443" s="45"/>
      <c r="AA443" s="45"/>
      <c r="AB443" s="45"/>
      <c r="AC443" s="45"/>
      <c r="AD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90"/>
      <c r="X444" s="45"/>
      <c r="Y444" s="45"/>
      <c r="Z444" s="45"/>
      <c r="AA444" s="45"/>
      <c r="AB444" s="45"/>
      <c r="AC444" s="45"/>
      <c r="AD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90"/>
      <c r="X445" s="45"/>
      <c r="Y445" s="45"/>
      <c r="Z445" s="45"/>
      <c r="AA445" s="45"/>
      <c r="AB445" s="45"/>
      <c r="AC445" s="45"/>
      <c r="AD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90"/>
      <c r="X446" s="45"/>
      <c r="Y446" s="45"/>
      <c r="Z446" s="45"/>
      <c r="AA446" s="45"/>
      <c r="AB446" s="45"/>
      <c r="AC446" s="45"/>
      <c r="AD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90"/>
      <c r="X447" s="45"/>
      <c r="Y447" s="45"/>
      <c r="Z447" s="45"/>
      <c r="AA447" s="45"/>
      <c r="AB447" s="45"/>
      <c r="AC447" s="45"/>
      <c r="AD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90"/>
      <c r="X448" s="45"/>
      <c r="Y448" s="45"/>
      <c r="Z448" s="45"/>
      <c r="AA448" s="45"/>
      <c r="AB448" s="45"/>
      <c r="AC448" s="45"/>
      <c r="AD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90"/>
      <c r="X449" s="45"/>
      <c r="Y449" s="45"/>
      <c r="Z449" s="45"/>
      <c r="AA449" s="45"/>
      <c r="AB449" s="45"/>
      <c r="AC449" s="45"/>
      <c r="AD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90"/>
      <c r="X450" s="45"/>
      <c r="Y450" s="45"/>
      <c r="Z450" s="45"/>
      <c r="AA450" s="45"/>
      <c r="AB450" s="45"/>
      <c r="AC450" s="45"/>
      <c r="AD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90"/>
      <c r="X451" s="45"/>
      <c r="Y451" s="45"/>
      <c r="Z451" s="45"/>
      <c r="AA451" s="45"/>
      <c r="AB451" s="45"/>
      <c r="AC451" s="45"/>
      <c r="AD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90"/>
      <c r="X452" s="45"/>
      <c r="Y452" s="45"/>
      <c r="Z452" s="45"/>
      <c r="AA452" s="45"/>
      <c r="AB452" s="45"/>
      <c r="AC452" s="45"/>
      <c r="AD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90"/>
      <c r="X453" s="45"/>
      <c r="Y453" s="45"/>
      <c r="Z453" s="45"/>
      <c r="AA453" s="45"/>
      <c r="AB453" s="45"/>
      <c r="AC453" s="45"/>
      <c r="AD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90"/>
      <c r="X454" s="45"/>
      <c r="Y454" s="45"/>
      <c r="Z454" s="45"/>
      <c r="AA454" s="45"/>
      <c r="AB454" s="45"/>
      <c r="AC454" s="45"/>
      <c r="AD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90"/>
      <c r="X455" s="45"/>
      <c r="Y455" s="45"/>
      <c r="Z455" s="45"/>
      <c r="AA455" s="45"/>
      <c r="AB455" s="45"/>
      <c r="AC455" s="45"/>
      <c r="AD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90"/>
      <c r="X456" s="45"/>
      <c r="Y456" s="45"/>
      <c r="Z456" s="45"/>
      <c r="AA456" s="45"/>
      <c r="AB456" s="45"/>
      <c r="AC456" s="45"/>
      <c r="AD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90"/>
      <c r="X457" s="45"/>
      <c r="Y457" s="45"/>
      <c r="Z457" s="45"/>
      <c r="AA457" s="45"/>
      <c r="AB457" s="45"/>
      <c r="AC457" s="45"/>
      <c r="AD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90"/>
      <c r="X458" s="45"/>
      <c r="Y458" s="45"/>
      <c r="Z458" s="45"/>
      <c r="AA458" s="45"/>
      <c r="AB458" s="45"/>
      <c r="AC458" s="45"/>
      <c r="AD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90"/>
      <c r="X459" s="45"/>
      <c r="Y459" s="45"/>
      <c r="Z459" s="45"/>
      <c r="AA459" s="45"/>
      <c r="AB459" s="45"/>
      <c r="AC459" s="45"/>
      <c r="AD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90"/>
      <c r="X460" s="45"/>
      <c r="Y460" s="45"/>
      <c r="Z460" s="45"/>
      <c r="AA460" s="45"/>
      <c r="AB460" s="45"/>
      <c r="AC460" s="45"/>
      <c r="AD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90"/>
      <c r="X461" s="45"/>
      <c r="Y461" s="45"/>
      <c r="Z461" s="45"/>
      <c r="AA461" s="45"/>
      <c r="AB461" s="45"/>
      <c r="AC461" s="45"/>
      <c r="AD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90"/>
      <c r="X462" s="45"/>
      <c r="Y462" s="45"/>
      <c r="Z462" s="45"/>
      <c r="AA462" s="45"/>
      <c r="AB462" s="45"/>
      <c r="AC462" s="45"/>
      <c r="AD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90"/>
      <c r="X463" s="45"/>
      <c r="Y463" s="45"/>
      <c r="Z463" s="45"/>
      <c r="AA463" s="45"/>
      <c r="AB463" s="45"/>
      <c r="AC463" s="45"/>
      <c r="AD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90"/>
      <c r="X464" s="45"/>
      <c r="Y464" s="45"/>
      <c r="Z464" s="45"/>
      <c r="AA464" s="45"/>
      <c r="AB464" s="45"/>
      <c r="AC464" s="45"/>
      <c r="AD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90"/>
      <c r="X465" s="45"/>
      <c r="Y465" s="45"/>
      <c r="Z465" s="45"/>
      <c r="AA465" s="45"/>
      <c r="AB465" s="45"/>
      <c r="AC465" s="45"/>
      <c r="AD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90"/>
      <c r="X466" s="45"/>
      <c r="Y466" s="45"/>
      <c r="Z466" s="45"/>
      <c r="AA466" s="45"/>
      <c r="AB466" s="45"/>
      <c r="AC466" s="45"/>
      <c r="AD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90"/>
      <c r="X467" s="45"/>
      <c r="Y467" s="45"/>
      <c r="Z467" s="45"/>
      <c r="AA467" s="45"/>
      <c r="AB467" s="45"/>
      <c r="AC467" s="45"/>
      <c r="AD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90"/>
      <c r="X468" s="45"/>
      <c r="Y468" s="45"/>
      <c r="Z468" s="45"/>
      <c r="AA468" s="45"/>
      <c r="AB468" s="45"/>
      <c r="AC468" s="45"/>
      <c r="AD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90"/>
      <c r="X469" s="45"/>
      <c r="Y469" s="45"/>
      <c r="Z469" s="45"/>
      <c r="AA469" s="45"/>
      <c r="AB469" s="45"/>
      <c r="AC469" s="45"/>
      <c r="AD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90"/>
      <c r="X470" s="45"/>
      <c r="Y470" s="45"/>
      <c r="Z470" s="45"/>
      <c r="AA470" s="45"/>
      <c r="AB470" s="45"/>
      <c r="AC470" s="45"/>
      <c r="AD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90"/>
      <c r="X471" s="45"/>
      <c r="Y471" s="45"/>
      <c r="Z471" s="45"/>
      <c r="AA471" s="45"/>
      <c r="AB471" s="45"/>
      <c r="AC471" s="45"/>
      <c r="AD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90"/>
      <c r="X472" s="45"/>
      <c r="Y472" s="45"/>
      <c r="Z472" s="45"/>
      <c r="AA472" s="45"/>
      <c r="AB472" s="45"/>
      <c r="AC472" s="45"/>
      <c r="AD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90"/>
      <c r="X473" s="45"/>
      <c r="Y473" s="45"/>
      <c r="Z473" s="45"/>
      <c r="AA473" s="45"/>
      <c r="AB473" s="45"/>
      <c r="AC473" s="45"/>
      <c r="AD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90"/>
      <c r="X474" s="45"/>
      <c r="Y474" s="45"/>
      <c r="Z474" s="45"/>
      <c r="AA474" s="45"/>
      <c r="AB474" s="45"/>
      <c r="AC474" s="45"/>
      <c r="AD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90"/>
      <c r="X475" s="45"/>
      <c r="Y475" s="45"/>
      <c r="Z475" s="45"/>
      <c r="AA475" s="45"/>
      <c r="AB475" s="45"/>
      <c r="AC475" s="45"/>
      <c r="AD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90"/>
      <c r="X476" s="45"/>
      <c r="Y476" s="45"/>
      <c r="Z476" s="45"/>
      <c r="AA476" s="45"/>
      <c r="AB476" s="45"/>
      <c r="AC476" s="45"/>
      <c r="AD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90"/>
      <c r="X477" s="45"/>
      <c r="Y477" s="45"/>
      <c r="Z477" s="45"/>
      <c r="AA477" s="45"/>
      <c r="AB477" s="45"/>
      <c r="AC477" s="45"/>
      <c r="AD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90"/>
      <c r="X478" s="45"/>
      <c r="Y478" s="45"/>
      <c r="Z478" s="45"/>
      <c r="AA478" s="45"/>
      <c r="AB478" s="45"/>
      <c r="AC478" s="45"/>
      <c r="AD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90"/>
      <c r="X479" s="45"/>
      <c r="Y479" s="45"/>
      <c r="Z479" s="45"/>
      <c r="AA479" s="45"/>
      <c r="AB479" s="45"/>
      <c r="AC479" s="45"/>
      <c r="AD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90"/>
      <c r="X480" s="45"/>
      <c r="Y480" s="45"/>
      <c r="Z480" s="45"/>
      <c r="AA480" s="45"/>
      <c r="AB480" s="45"/>
      <c r="AC480" s="45"/>
      <c r="AD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90"/>
      <c r="X481" s="45"/>
      <c r="Y481" s="45"/>
      <c r="Z481" s="45"/>
      <c r="AA481" s="45"/>
      <c r="AB481" s="45"/>
      <c r="AC481" s="45"/>
      <c r="AD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90"/>
      <c r="X482" s="45"/>
      <c r="Y482" s="45"/>
      <c r="Z482" s="45"/>
      <c r="AA482" s="45"/>
      <c r="AB482" s="45"/>
      <c r="AC482" s="45"/>
      <c r="AD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90"/>
      <c r="X483" s="45"/>
      <c r="Y483" s="45"/>
      <c r="Z483" s="45"/>
      <c r="AA483" s="45"/>
      <c r="AB483" s="45"/>
      <c r="AC483" s="45"/>
      <c r="AD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90"/>
      <c r="X484" s="45"/>
      <c r="Y484" s="45"/>
      <c r="Z484" s="45"/>
      <c r="AA484" s="45"/>
      <c r="AB484" s="45"/>
      <c r="AC484" s="45"/>
      <c r="AD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90"/>
      <c r="X485" s="45"/>
      <c r="Y485" s="45"/>
      <c r="Z485" s="45"/>
      <c r="AA485" s="45"/>
      <c r="AB485" s="45"/>
      <c r="AC485" s="45"/>
      <c r="AD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90"/>
      <c r="X486" s="45"/>
      <c r="Y486" s="45"/>
      <c r="Z486" s="45"/>
      <c r="AA486" s="45"/>
      <c r="AB486" s="45"/>
      <c r="AC486" s="45"/>
      <c r="AD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90"/>
      <c r="X487" s="45"/>
      <c r="Y487" s="45"/>
      <c r="Z487" s="45"/>
      <c r="AA487" s="45"/>
      <c r="AB487" s="45"/>
      <c r="AC487" s="45"/>
      <c r="AD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90"/>
      <c r="X488" s="45"/>
      <c r="Y488" s="45"/>
      <c r="Z488" s="45"/>
      <c r="AA488" s="45"/>
      <c r="AB488" s="45"/>
      <c r="AC488" s="45"/>
      <c r="AD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90"/>
      <c r="X489" s="45"/>
      <c r="Y489" s="45"/>
      <c r="Z489" s="45"/>
      <c r="AA489" s="45"/>
      <c r="AB489" s="45"/>
      <c r="AC489" s="45"/>
      <c r="AD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90"/>
      <c r="X490" s="45"/>
      <c r="Y490" s="45"/>
      <c r="Z490" s="45"/>
      <c r="AA490" s="45"/>
      <c r="AB490" s="45"/>
      <c r="AC490" s="45"/>
      <c r="AD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90"/>
      <c r="X491" s="45"/>
      <c r="Y491" s="45"/>
      <c r="Z491" s="45"/>
      <c r="AA491" s="45"/>
      <c r="AB491" s="45"/>
      <c r="AC491" s="45"/>
      <c r="AD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90"/>
      <c r="X492" s="45"/>
      <c r="Y492" s="45"/>
      <c r="Z492" s="45"/>
      <c r="AA492" s="45"/>
      <c r="AB492" s="45"/>
      <c r="AC492" s="45"/>
      <c r="AD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90"/>
      <c r="X493" s="45"/>
      <c r="Y493" s="45"/>
      <c r="Z493" s="45"/>
      <c r="AA493" s="45"/>
      <c r="AB493" s="45"/>
      <c r="AC493" s="45"/>
      <c r="AD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90"/>
      <c r="X494" s="45"/>
      <c r="Y494" s="45"/>
      <c r="Z494" s="45"/>
      <c r="AA494" s="45"/>
      <c r="AB494" s="45"/>
      <c r="AC494" s="45"/>
      <c r="AD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90"/>
      <c r="X495" s="45"/>
      <c r="Y495" s="45"/>
      <c r="Z495" s="45"/>
      <c r="AA495" s="45"/>
      <c r="AB495" s="45"/>
      <c r="AC495" s="45"/>
      <c r="AD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90"/>
      <c r="X496" s="45"/>
      <c r="Y496" s="45"/>
      <c r="Z496" s="45"/>
      <c r="AA496" s="45"/>
      <c r="AB496" s="45"/>
      <c r="AC496" s="45"/>
      <c r="AD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90"/>
      <c r="X497" s="45"/>
      <c r="Y497" s="45"/>
      <c r="Z497" s="45"/>
      <c r="AA497" s="45"/>
      <c r="AB497" s="45"/>
      <c r="AC497" s="45"/>
      <c r="AD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90"/>
      <c r="X498" s="45"/>
      <c r="Y498" s="45"/>
      <c r="Z498" s="45"/>
      <c r="AA498" s="45"/>
      <c r="AB498" s="45"/>
      <c r="AC498" s="45"/>
      <c r="AD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90"/>
      <c r="X499" s="45"/>
      <c r="Y499" s="45"/>
      <c r="Z499" s="45"/>
      <c r="AA499" s="45"/>
      <c r="AB499" s="45"/>
      <c r="AC499" s="45"/>
      <c r="AD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90"/>
      <c r="X500" s="45"/>
      <c r="Y500" s="45"/>
      <c r="Z500" s="45"/>
      <c r="AA500" s="45"/>
      <c r="AB500" s="45"/>
      <c r="AC500" s="45"/>
      <c r="AD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90"/>
      <c r="X501" s="45"/>
      <c r="Y501" s="45"/>
      <c r="Z501" s="45"/>
      <c r="AA501" s="45"/>
      <c r="AB501" s="45"/>
      <c r="AC501" s="45"/>
      <c r="AD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90"/>
      <c r="X502" s="45"/>
      <c r="Y502" s="45"/>
      <c r="Z502" s="45"/>
      <c r="AA502" s="45"/>
      <c r="AB502" s="45"/>
      <c r="AC502" s="45"/>
      <c r="AD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90"/>
      <c r="X503" s="45"/>
      <c r="Y503" s="45"/>
      <c r="Z503" s="45"/>
      <c r="AA503" s="45"/>
      <c r="AB503" s="45"/>
      <c r="AC503" s="45"/>
      <c r="AD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90"/>
      <c r="X504" s="45"/>
      <c r="Y504" s="45"/>
      <c r="Z504" s="45"/>
      <c r="AA504" s="45"/>
      <c r="AB504" s="45"/>
      <c r="AC504" s="45"/>
      <c r="AD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90"/>
      <c r="X505" s="45"/>
      <c r="Y505" s="45"/>
      <c r="Z505" s="45"/>
      <c r="AA505" s="45"/>
      <c r="AB505" s="45"/>
      <c r="AC505" s="45"/>
      <c r="AD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90"/>
      <c r="X506" s="45"/>
      <c r="Y506" s="45"/>
      <c r="Z506" s="45"/>
      <c r="AA506" s="45"/>
      <c r="AB506" s="45"/>
      <c r="AC506" s="45"/>
      <c r="AD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90"/>
      <c r="X507" s="45"/>
      <c r="Y507" s="45"/>
      <c r="Z507" s="45"/>
      <c r="AA507" s="45"/>
      <c r="AB507" s="45"/>
      <c r="AC507" s="45"/>
      <c r="AD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90"/>
      <c r="X508" s="45"/>
      <c r="Y508" s="45"/>
      <c r="Z508" s="45"/>
      <c r="AA508" s="45"/>
      <c r="AB508" s="45"/>
      <c r="AC508" s="45"/>
      <c r="AD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90"/>
      <c r="X509" s="45"/>
      <c r="Y509" s="45"/>
      <c r="Z509" s="45"/>
      <c r="AA509" s="45"/>
      <c r="AB509" s="45"/>
      <c r="AC509" s="45"/>
      <c r="AD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90"/>
      <c r="X510" s="45"/>
      <c r="Y510" s="45"/>
      <c r="Z510" s="45"/>
      <c r="AA510" s="45"/>
      <c r="AB510" s="45"/>
      <c r="AC510" s="45"/>
      <c r="AD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90"/>
      <c r="X511" s="45"/>
      <c r="Y511" s="45"/>
      <c r="Z511" s="45"/>
      <c r="AA511" s="45"/>
      <c r="AB511" s="45"/>
      <c r="AC511" s="45"/>
      <c r="AD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90"/>
      <c r="X512" s="45"/>
      <c r="Y512" s="45"/>
      <c r="Z512" s="45"/>
      <c r="AA512" s="45"/>
      <c r="AB512" s="45"/>
      <c r="AC512" s="45"/>
      <c r="AD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90"/>
      <c r="X513" s="45"/>
      <c r="Y513" s="45"/>
      <c r="Z513" s="45"/>
      <c r="AA513" s="45"/>
      <c r="AB513" s="45"/>
      <c r="AC513" s="45"/>
      <c r="AD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90"/>
      <c r="X514" s="45"/>
      <c r="Y514" s="45"/>
      <c r="Z514" s="45"/>
      <c r="AA514" s="45"/>
      <c r="AB514" s="45"/>
      <c r="AC514" s="45"/>
      <c r="AD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90"/>
      <c r="X515" s="45"/>
      <c r="Y515" s="45"/>
      <c r="Z515" s="45"/>
      <c r="AA515" s="45"/>
      <c r="AB515" s="45"/>
      <c r="AC515" s="45"/>
      <c r="AD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90"/>
      <c r="X516" s="45"/>
      <c r="Y516" s="45"/>
      <c r="Z516" s="45"/>
      <c r="AA516" s="45"/>
      <c r="AB516" s="45"/>
      <c r="AC516" s="45"/>
      <c r="AD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90"/>
      <c r="X517" s="45"/>
      <c r="Y517" s="45"/>
      <c r="Z517" s="45"/>
      <c r="AA517" s="45"/>
      <c r="AB517" s="45"/>
      <c r="AC517" s="45"/>
      <c r="AD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90"/>
      <c r="X518" s="45"/>
      <c r="Y518" s="45"/>
      <c r="Z518" s="45"/>
      <c r="AA518" s="45"/>
      <c r="AB518" s="45"/>
      <c r="AC518" s="45"/>
      <c r="AD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90"/>
      <c r="X519" s="45"/>
      <c r="Y519" s="45"/>
      <c r="Z519" s="45"/>
      <c r="AA519" s="45"/>
      <c r="AB519" s="45"/>
      <c r="AC519" s="45"/>
      <c r="AD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90"/>
      <c r="X520" s="45"/>
      <c r="Y520" s="45"/>
      <c r="Z520" s="45"/>
      <c r="AA520" s="45"/>
      <c r="AB520" s="45"/>
      <c r="AC520" s="45"/>
      <c r="AD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90"/>
      <c r="X521" s="45"/>
      <c r="Y521" s="45"/>
      <c r="Z521" s="45"/>
      <c r="AA521" s="45"/>
      <c r="AB521" s="45"/>
      <c r="AC521" s="45"/>
      <c r="AD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90"/>
      <c r="X522" s="45"/>
      <c r="Y522" s="45"/>
      <c r="Z522" s="45"/>
      <c r="AA522" s="45"/>
      <c r="AB522" s="45"/>
      <c r="AC522" s="45"/>
      <c r="AD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90"/>
      <c r="X523" s="45"/>
      <c r="Y523" s="45"/>
      <c r="Z523" s="45"/>
      <c r="AA523" s="45"/>
      <c r="AB523" s="45"/>
      <c r="AC523" s="45"/>
      <c r="AD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90"/>
      <c r="X524" s="45"/>
      <c r="Y524" s="45"/>
      <c r="Z524" s="45"/>
      <c r="AA524" s="45"/>
      <c r="AB524" s="45"/>
      <c r="AC524" s="45"/>
      <c r="AD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90"/>
      <c r="X525" s="45"/>
      <c r="Y525" s="45"/>
      <c r="Z525" s="45"/>
      <c r="AA525" s="45"/>
      <c r="AB525" s="45"/>
      <c r="AC525" s="45"/>
      <c r="AD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90"/>
      <c r="X526" s="45"/>
      <c r="Y526" s="45"/>
      <c r="Z526" s="45"/>
      <c r="AA526" s="45"/>
      <c r="AB526" s="45"/>
      <c r="AC526" s="45"/>
      <c r="AD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90"/>
      <c r="X527" s="45"/>
      <c r="Y527" s="45"/>
      <c r="Z527" s="45"/>
      <c r="AA527" s="45"/>
      <c r="AB527" s="45"/>
      <c r="AC527" s="45"/>
      <c r="AD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90"/>
      <c r="X528" s="45"/>
      <c r="Y528" s="45"/>
      <c r="Z528" s="45"/>
      <c r="AA528" s="45"/>
      <c r="AB528" s="45"/>
      <c r="AC528" s="45"/>
      <c r="AD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90"/>
      <c r="X529" s="45"/>
      <c r="Y529" s="45"/>
      <c r="Z529" s="45"/>
      <c r="AA529" s="45"/>
      <c r="AB529" s="45"/>
      <c r="AC529" s="45"/>
      <c r="AD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90"/>
      <c r="X530" s="45"/>
      <c r="Y530" s="45"/>
      <c r="Z530" s="45"/>
      <c r="AA530" s="45"/>
      <c r="AB530" s="45"/>
      <c r="AC530" s="45"/>
      <c r="AD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90"/>
      <c r="X531" s="45"/>
      <c r="Y531" s="45"/>
      <c r="Z531" s="45"/>
      <c r="AA531" s="45"/>
      <c r="AB531" s="45"/>
      <c r="AC531" s="45"/>
      <c r="AD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90"/>
      <c r="X532" s="45"/>
      <c r="Y532" s="45"/>
      <c r="Z532" s="45"/>
      <c r="AA532" s="45"/>
      <c r="AB532" s="45"/>
      <c r="AC532" s="45"/>
      <c r="AD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90"/>
      <c r="X533" s="45"/>
      <c r="Y533" s="45"/>
      <c r="Z533" s="45"/>
      <c r="AA533" s="45"/>
      <c r="AB533" s="45"/>
      <c r="AC533" s="45"/>
      <c r="AD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90"/>
      <c r="X534" s="45"/>
      <c r="Y534" s="45"/>
      <c r="Z534" s="45"/>
      <c r="AA534" s="45"/>
      <c r="AB534" s="45"/>
      <c r="AC534" s="45"/>
      <c r="AD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90"/>
      <c r="X535" s="45"/>
      <c r="Y535" s="45"/>
      <c r="Z535" s="45"/>
      <c r="AA535" s="45"/>
      <c r="AB535" s="45"/>
      <c r="AC535" s="45"/>
      <c r="AD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90"/>
      <c r="X536" s="45"/>
      <c r="Y536" s="45"/>
      <c r="Z536" s="45"/>
      <c r="AA536" s="45"/>
      <c r="AB536" s="45"/>
      <c r="AC536" s="45"/>
      <c r="AD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90"/>
      <c r="X537" s="45"/>
      <c r="Y537" s="45"/>
      <c r="Z537" s="45"/>
      <c r="AA537" s="45"/>
      <c r="AB537" s="45"/>
      <c r="AC537" s="45"/>
      <c r="AD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90"/>
      <c r="X538" s="45"/>
      <c r="Y538" s="45"/>
      <c r="Z538" s="45"/>
      <c r="AA538" s="45"/>
      <c r="AB538" s="45"/>
      <c r="AC538" s="45"/>
      <c r="AD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90"/>
      <c r="X539" s="45"/>
      <c r="Y539" s="45"/>
      <c r="Z539" s="45"/>
      <c r="AA539" s="45"/>
      <c r="AB539" s="45"/>
      <c r="AC539" s="45"/>
      <c r="AD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90"/>
      <c r="X540" s="45"/>
      <c r="Y540" s="45"/>
      <c r="Z540" s="45"/>
      <c r="AA540" s="45"/>
      <c r="AB540" s="45"/>
      <c r="AC540" s="45"/>
      <c r="AD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90"/>
      <c r="X541" s="45"/>
      <c r="Y541" s="45"/>
      <c r="Z541" s="45"/>
      <c r="AA541" s="45"/>
      <c r="AB541" s="45"/>
      <c r="AC541" s="45"/>
      <c r="AD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90"/>
      <c r="X542" s="45"/>
      <c r="Y542" s="45"/>
      <c r="Z542" s="45"/>
      <c r="AA542" s="45"/>
      <c r="AB542" s="45"/>
      <c r="AC542" s="45"/>
      <c r="AD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90"/>
      <c r="X543" s="45"/>
      <c r="Y543" s="45"/>
      <c r="Z543" s="45"/>
      <c r="AA543" s="45"/>
      <c r="AB543" s="45"/>
      <c r="AC543" s="45"/>
      <c r="AD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90"/>
      <c r="X544" s="45"/>
      <c r="Y544" s="45"/>
      <c r="Z544" s="45"/>
      <c r="AA544" s="45"/>
      <c r="AB544" s="45"/>
      <c r="AC544" s="45"/>
      <c r="AD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90"/>
      <c r="X545" s="45"/>
      <c r="Y545" s="45"/>
      <c r="Z545" s="45"/>
      <c r="AA545" s="45"/>
      <c r="AB545" s="45"/>
      <c r="AC545" s="45"/>
      <c r="AD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90"/>
      <c r="X546" s="45"/>
      <c r="Y546" s="45"/>
      <c r="Z546" s="45"/>
      <c r="AA546" s="45"/>
      <c r="AB546" s="45"/>
      <c r="AC546" s="45"/>
      <c r="AD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90"/>
      <c r="X547" s="45"/>
      <c r="Y547" s="45"/>
      <c r="Z547" s="45"/>
      <c r="AA547" s="45"/>
      <c r="AB547" s="45"/>
      <c r="AC547" s="45"/>
      <c r="AD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90"/>
      <c r="X548" s="45"/>
      <c r="Y548" s="45"/>
      <c r="Z548" s="45"/>
      <c r="AA548" s="45"/>
      <c r="AB548" s="45"/>
      <c r="AC548" s="45"/>
      <c r="AD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90"/>
      <c r="X549" s="45"/>
      <c r="Y549" s="45"/>
      <c r="Z549" s="45"/>
      <c r="AA549" s="45"/>
      <c r="AB549" s="45"/>
      <c r="AC549" s="45"/>
      <c r="AD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90"/>
      <c r="X550" s="45"/>
      <c r="Y550" s="45"/>
      <c r="Z550" s="45"/>
      <c r="AA550" s="45"/>
      <c r="AB550" s="45"/>
      <c r="AC550" s="45"/>
      <c r="AD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90"/>
      <c r="X551" s="45"/>
      <c r="Y551" s="45"/>
      <c r="Z551" s="45"/>
      <c r="AA551" s="45"/>
      <c r="AB551" s="45"/>
      <c r="AC551" s="45"/>
      <c r="AD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90"/>
      <c r="X552" s="45"/>
      <c r="Y552" s="45"/>
      <c r="Z552" s="45"/>
      <c r="AA552" s="45"/>
      <c r="AB552" s="45"/>
      <c r="AC552" s="45"/>
      <c r="AD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90"/>
      <c r="X553" s="45"/>
      <c r="Y553" s="45"/>
      <c r="Z553" s="45"/>
      <c r="AA553" s="45"/>
      <c r="AB553" s="45"/>
      <c r="AC553" s="45"/>
      <c r="AD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90"/>
      <c r="X554" s="45"/>
      <c r="Y554" s="45"/>
      <c r="Z554" s="45"/>
      <c r="AA554" s="45"/>
      <c r="AB554" s="45"/>
      <c r="AC554" s="45"/>
      <c r="AD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90"/>
      <c r="X555" s="45"/>
      <c r="Y555" s="45"/>
      <c r="Z555" s="45"/>
      <c r="AA555" s="45"/>
      <c r="AB555" s="45"/>
      <c r="AC555" s="45"/>
      <c r="AD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90"/>
      <c r="X556" s="45"/>
      <c r="Y556" s="45"/>
      <c r="Z556" s="45"/>
      <c r="AA556" s="45"/>
      <c r="AB556" s="45"/>
      <c r="AC556" s="45"/>
      <c r="AD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90"/>
      <c r="X557" s="45"/>
      <c r="Y557" s="45"/>
      <c r="Z557" s="45"/>
      <c r="AA557" s="45"/>
      <c r="AB557" s="45"/>
      <c r="AC557" s="45"/>
      <c r="AD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90"/>
      <c r="X558" s="45"/>
      <c r="Y558" s="45"/>
      <c r="Z558" s="45"/>
      <c r="AA558" s="45"/>
      <c r="AB558" s="45"/>
      <c r="AC558" s="45"/>
      <c r="AD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90"/>
      <c r="X559" s="45"/>
      <c r="Y559" s="45"/>
      <c r="Z559" s="45"/>
      <c r="AA559" s="45"/>
      <c r="AB559" s="45"/>
      <c r="AC559" s="45"/>
      <c r="AD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90"/>
      <c r="X560" s="45"/>
      <c r="Y560" s="45"/>
      <c r="Z560" s="45"/>
      <c r="AA560" s="45"/>
      <c r="AB560" s="45"/>
      <c r="AC560" s="45"/>
      <c r="AD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90"/>
      <c r="X561" s="45"/>
      <c r="Y561" s="45"/>
      <c r="Z561" s="45"/>
      <c r="AA561" s="45"/>
      <c r="AB561" s="45"/>
      <c r="AC561" s="45"/>
      <c r="AD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90"/>
      <c r="X562" s="45"/>
      <c r="Y562" s="45"/>
      <c r="Z562" s="45"/>
      <c r="AA562" s="45"/>
      <c r="AB562" s="45"/>
      <c r="AC562" s="45"/>
      <c r="AD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90"/>
      <c r="X563" s="45"/>
      <c r="Y563" s="45"/>
      <c r="Z563" s="45"/>
      <c r="AA563" s="45"/>
      <c r="AB563" s="45"/>
      <c r="AC563" s="45"/>
      <c r="AD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90"/>
      <c r="X564" s="45"/>
      <c r="Y564" s="45"/>
      <c r="Z564" s="45"/>
      <c r="AA564" s="45"/>
      <c r="AB564" s="45"/>
      <c r="AC564" s="45"/>
      <c r="AD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90"/>
      <c r="X565" s="45"/>
      <c r="Y565" s="45"/>
      <c r="Z565" s="45"/>
      <c r="AA565" s="45"/>
      <c r="AB565" s="45"/>
      <c r="AC565" s="45"/>
      <c r="AD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90"/>
      <c r="X566" s="45"/>
      <c r="Y566" s="45"/>
      <c r="Z566" s="45"/>
      <c r="AA566" s="45"/>
      <c r="AB566" s="45"/>
      <c r="AC566" s="45"/>
      <c r="AD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90"/>
      <c r="X567" s="45"/>
      <c r="Y567" s="45"/>
      <c r="Z567" s="45"/>
      <c r="AA567" s="45"/>
      <c r="AB567" s="45"/>
      <c r="AC567" s="45"/>
      <c r="AD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90"/>
      <c r="X568" s="45"/>
      <c r="Y568" s="45"/>
      <c r="Z568" s="45"/>
      <c r="AA568" s="45"/>
      <c r="AB568" s="45"/>
      <c r="AC568" s="45"/>
      <c r="AD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90"/>
      <c r="X569" s="45"/>
      <c r="Y569" s="45"/>
      <c r="Z569" s="45"/>
      <c r="AA569" s="45"/>
      <c r="AB569" s="45"/>
      <c r="AC569" s="45"/>
      <c r="AD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90"/>
      <c r="X570" s="45"/>
      <c r="Y570" s="45"/>
      <c r="Z570" s="45"/>
      <c r="AA570" s="45"/>
      <c r="AB570" s="45"/>
      <c r="AC570" s="45"/>
      <c r="AD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90"/>
      <c r="X571" s="45"/>
      <c r="Y571" s="45"/>
      <c r="Z571" s="45"/>
      <c r="AA571" s="45"/>
      <c r="AB571" s="45"/>
      <c r="AC571" s="45"/>
      <c r="AD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90"/>
      <c r="X572" s="45"/>
      <c r="Y572" s="45"/>
      <c r="Z572" s="45"/>
      <c r="AA572" s="45"/>
      <c r="AB572" s="45"/>
      <c r="AC572" s="45"/>
      <c r="AD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90"/>
      <c r="X573" s="45"/>
      <c r="Y573" s="45"/>
      <c r="Z573" s="45"/>
      <c r="AA573" s="45"/>
      <c r="AB573" s="45"/>
      <c r="AC573" s="45"/>
      <c r="AD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90"/>
      <c r="X574" s="45"/>
      <c r="Y574" s="45"/>
      <c r="Z574" s="45"/>
      <c r="AA574" s="45"/>
      <c r="AB574" s="45"/>
      <c r="AC574" s="45"/>
      <c r="AD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90"/>
      <c r="X575" s="45"/>
      <c r="Y575" s="45"/>
      <c r="Z575" s="45"/>
      <c r="AA575" s="45"/>
      <c r="AB575" s="45"/>
      <c r="AC575" s="45"/>
      <c r="AD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90"/>
      <c r="X576" s="45"/>
      <c r="Y576" s="45"/>
      <c r="Z576" s="45"/>
      <c r="AA576" s="45"/>
      <c r="AB576" s="45"/>
      <c r="AC576" s="45"/>
      <c r="AD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90"/>
      <c r="X577" s="45"/>
      <c r="Y577" s="45"/>
      <c r="Z577" s="45"/>
      <c r="AA577" s="45"/>
      <c r="AB577" s="45"/>
      <c r="AC577" s="45"/>
      <c r="AD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90"/>
      <c r="X578" s="45"/>
      <c r="Y578" s="45"/>
      <c r="Z578" s="45"/>
      <c r="AA578" s="45"/>
      <c r="AB578" s="45"/>
      <c r="AC578" s="45"/>
      <c r="AD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90"/>
      <c r="X579" s="45"/>
      <c r="Y579" s="45"/>
      <c r="Z579" s="45"/>
      <c r="AA579" s="45"/>
      <c r="AB579" s="45"/>
      <c r="AC579" s="45"/>
      <c r="AD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90"/>
      <c r="X580" s="45"/>
      <c r="Y580" s="45"/>
      <c r="Z580" s="45"/>
      <c r="AA580" s="45"/>
      <c r="AB580" s="45"/>
      <c r="AC580" s="45"/>
      <c r="AD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90"/>
      <c r="X581" s="45"/>
      <c r="Y581" s="45"/>
      <c r="Z581" s="45"/>
      <c r="AA581" s="45"/>
      <c r="AB581" s="45"/>
      <c r="AC581" s="45"/>
      <c r="AD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90"/>
      <c r="X582" s="45"/>
      <c r="Y582" s="45"/>
      <c r="Z582" s="45"/>
      <c r="AA582" s="45"/>
      <c r="AB582" s="45"/>
      <c r="AC582" s="45"/>
      <c r="AD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90"/>
      <c r="X583" s="45"/>
      <c r="Y583" s="45"/>
      <c r="Z583" s="45"/>
      <c r="AA583" s="45"/>
      <c r="AB583" s="45"/>
      <c r="AC583" s="45"/>
      <c r="AD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90"/>
      <c r="X584" s="45"/>
      <c r="Y584" s="45"/>
      <c r="Z584" s="45"/>
      <c r="AA584" s="45"/>
      <c r="AB584" s="45"/>
      <c r="AC584" s="45"/>
      <c r="AD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90"/>
      <c r="X585" s="45"/>
      <c r="Y585" s="45"/>
      <c r="Z585" s="45"/>
      <c r="AA585" s="45"/>
      <c r="AB585" s="45"/>
      <c r="AC585" s="45"/>
      <c r="AD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90"/>
      <c r="X586" s="45"/>
      <c r="Y586" s="45"/>
      <c r="Z586" s="45"/>
      <c r="AA586" s="45"/>
      <c r="AB586" s="45"/>
      <c r="AC586" s="45"/>
      <c r="AD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90"/>
      <c r="X587" s="45"/>
      <c r="Y587" s="45"/>
      <c r="Z587" s="45"/>
      <c r="AA587" s="45"/>
      <c r="AB587" s="45"/>
      <c r="AC587" s="45"/>
      <c r="AD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90"/>
      <c r="X588" s="45"/>
      <c r="Y588" s="45"/>
      <c r="Z588" s="45"/>
      <c r="AA588" s="45"/>
      <c r="AB588" s="45"/>
      <c r="AC588" s="45"/>
      <c r="AD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90"/>
      <c r="X589" s="45"/>
      <c r="Y589" s="45"/>
      <c r="Z589" s="45"/>
      <c r="AA589" s="45"/>
      <c r="AB589" s="45"/>
      <c r="AC589" s="45"/>
      <c r="AD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90"/>
      <c r="X590" s="45"/>
      <c r="Y590" s="45"/>
      <c r="Z590" s="45"/>
      <c r="AA590" s="45"/>
      <c r="AB590" s="45"/>
      <c r="AC590" s="45"/>
      <c r="AD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90"/>
      <c r="X591" s="45"/>
      <c r="Y591" s="45"/>
      <c r="Z591" s="45"/>
      <c r="AA591" s="45"/>
      <c r="AB591" s="45"/>
      <c r="AC591" s="45"/>
      <c r="AD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90"/>
      <c r="X592" s="45"/>
      <c r="Y592" s="45"/>
      <c r="Z592" s="45"/>
      <c r="AA592" s="45"/>
      <c r="AB592" s="45"/>
      <c r="AC592" s="45"/>
      <c r="AD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90"/>
      <c r="X593" s="45"/>
      <c r="Y593" s="45"/>
      <c r="Z593" s="45"/>
      <c r="AA593" s="45"/>
      <c r="AB593" s="45"/>
      <c r="AC593" s="45"/>
      <c r="AD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90"/>
      <c r="X594" s="45"/>
      <c r="Y594" s="45"/>
      <c r="Z594" s="45"/>
      <c r="AA594" s="45"/>
      <c r="AB594" s="45"/>
      <c r="AC594" s="45"/>
      <c r="AD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90"/>
      <c r="X595" s="45"/>
      <c r="Y595" s="45"/>
      <c r="Z595" s="45"/>
      <c r="AA595" s="45"/>
      <c r="AB595" s="45"/>
      <c r="AC595" s="45"/>
      <c r="AD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90"/>
      <c r="X596" s="45"/>
      <c r="Y596" s="45"/>
      <c r="Z596" s="45"/>
      <c r="AA596" s="45"/>
      <c r="AB596" s="45"/>
      <c r="AC596" s="45"/>
      <c r="AD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90"/>
      <c r="X597" s="45"/>
      <c r="Y597" s="45"/>
      <c r="Z597" s="45"/>
      <c r="AA597" s="45"/>
      <c r="AB597" s="45"/>
      <c r="AC597" s="45"/>
      <c r="AD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90"/>
      <c r="X598" s="45"/>
      <c r="Y598" s="45"/>
      <c r="Z598" s="45"/>
      <c r="AA598" s="45"/>
      <c r="AB598" s="45"/>
      <c r="AC598" s="45"/>
      <c r="AD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90"/>
      <c r="X599" s="45"/>
      <c r="Y599" s="45"/>
      <c r="Z599" s="45"/>
      <c r="AA599" s="45"/>
      <c r="AB599" s="45"/>
      <c r="AC599" s="45"/>
      <c r="AD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90"/>
      <c r="X600" s="45"/>
      <c r="Y600" s="45"/>
      <c r="Z600" s="45"/>
      <c r="AA600" s="45"/>
      <c r="AB600" s="45"/>
      <c r="AC600" s="45"/>
      <c r="AD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90"/>
      <c r="X601" s="45"/>
      <c r="Y601" s="45"/>
      <c r="Z601" s="45"/>
      <c r="AA601" s="45"/>
      <c r="AB601" s="45"/>
      <c r="AC601" s="45"/>
      <c r="AD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90"/>
      <c r="X602" s="45"/>
      <c r="Y602" s="45"/>
      <c r="Z602" s="45"/>
      <c r="AA602" s="45"/>
      <c r="AB602" s="45"/>
      <c r="AC602" s="45"/>
      <c r="AD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90"/>
      <c r="X603" s="45"/>
      <c r="Y603" s="45"/>
      <c r="Z603" s="45"/>
      <c r="AA603" s="45"/>
      <c r="AB603" s="45"/>
      <c r="AC603" s="45"/>
      <c r="AD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90"/>
      <c r="X604" s="45"/>
      <c r="Y604" s="45"/>
      <c r="Z604" s="45"/>
      <c r="AA604" s="45"/>
      <c r="AB604" s="45"/>
      <c r="AC604" s="45"/>
      <c r="AD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90"/>
      <c r="X605" s="45"/>
      <c r="Y605" s="45"/>
      <c r="Z605" s="45"/>
      <c r="AA605" s="45"/>
      <c r="AB605" s="45"/>
      <c r="AC605" s="45"/>
      <c r="AD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90"/>
      <c r="X606" s="45"/>
      <c r="Y606" s="45"/>
      <c r="Z606" s="45"/>
      <c r="AA606" s="45"/>
      <c r="AB606" s="45"/>
      <c r="AC606" s="45"/>
      <c r="AD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90"/>
      <c r="X607" s="45"/>
      <c r="Y607" s="45"/>
      <c r="Z607" s="45"/>
      <c r="AA607" s="45"/>
      <c r="AB607" s="45"/>
      <c r="AC607" s="45"/>
      <c r="AD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90"/>
      <c r="X608" s="45"/>
      <c r="Y608" s="45"/>
      <c r="Z608" s="45"/>
      <c r="AA608" s="45"/>
      <c r="AB608" s="45"/>
      <c r="AC608" s="45"/>
      <c r="AD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90"/>
      <c r="X609" s="45"/>
      <c r="Y609" s="45"/>
      <c r="Z609" s="45"/>
      <c r="AA609" s="45"/>
      <c r="AB609" s="45"/>
      <c r="AC609" s="45"/>
      <c r="AD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90"/>
      <c r="X610" s="45"/>
      <c r="Y610" s="45"/>
      <c r="Z610" s="45"/>
      <c r="AA610" s="45"/>
      <c r="AB610" s="45"/>
      <c r="AC610" s="45"/>
      <c r="AD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90"/>
      <c r="X611" s="45"/>
      <c r="Y611" s="45"/>
      <c r="Z611" s="45"/>
      <c r="AA611" s="45"/>
      <c r="AB611" s="45"/>
      <c r="AC611" s="45"/>
      <c r="AD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90"/>
      <c r="X612" s="45"/>
      <c r="Y612" s="45"/>
      <c r="Z612" s="45"/>
      <c r="AA612" s="45"/>
      <c r="AB612" s="45"/>
      <c r="AC612" s="45"/>
      <c r="AD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90"/>
      <c r="X613" s="45"/>
      <c r="Y613" s="45"/>
      <c r="Z613" s="45"/>
      <c r="AA613" s="45"/>
      <c r="AB613" s="45"/>
      <c r="AC613" s="45"/>
      <c r="AD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90"/>
      <c r="X614" s="45"/>
      <c r="Y614" s="45"/>
      <c r="Z614" s="45"/>
      <c r="AA614" s="45"/>
      <c r="AB614" s="45"/>
      <c r="AC614" s="45"/>
      <c r="AD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90"/>
      <c r="X615" s="45"/>
      <c r="Y615" s="45"/>
      <c r="Z615" s="45"/>
      <c r="AA615" s="45"/>
      <c r="AB615" s="45"/>
      <c r="AC615" s="45"/>
      <c r="AD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90"/>
      <c r="X616" s="45"/>
      <c r="Y616" s="45"/>
      <c r="Z616" s="45"/>
      <c r="AA616" s="45"/>
      <c r="AB616" s="45"/>
      <c r="AC616" s="45"/>
      <c r="AD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90"/>
      <c r="X617" s="45"/>
      <c r="Y617" s="45"/>
      <c r="Z617" s="45"/>
      <c r="AA617" s="45"/>
      <c r="AB617" s="45"/>
      <c r="AC617" s="45"/>
      <c r="AD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90"/>
      <c r="X618" s="45"/>
      <c r="Y618" s="45"/>
      <c r="Z618" s="45"/>
      <c r="AA618" s="45"/>
      <c r="AB618" s="45"/>
      <c r="AC618" s="45"/>
      <c r="AD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90"/>
      <c r="X619" s="45"/>
      <c r="Y619" s="45"/>
      <c r="Z619" s="45"/>
      <c r="AA619" s="45"/>
      <c r="AB619" s="45"/>
      <c r="AC619" s="45"/>
      <c r="AD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90"/>
      <c r="X620" s="45"/>
      <c r="Y620" s="45"/>
      <c r="Z620" s="45"/>
      <c r="AA620" s="45"/>
      <c r="AB620" s="45"/>
      <c r="AC620" s="45"/>
      <c r="AD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90"/>
      <c r="X621" s="45"/>
      <c r="Y621" s="45"/>
      <c r="Z621" s="45"/>
      <c r="AA621" s="45"/>
      <c r="AB621" s="45"/>
      <c r="AC621" s="45"/>
      <c r="AD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90"/>
      <c r="X622" s="45"/>
      <c r="Y622" s="45"/>
      <c r="Z622" s="45"/>
      <c r="AA622" s="45"/>
      <c r="AB622" s="45"/>
      <c r="AC622" s="45"/>
      <c r="AD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90"/>
      <c r="X623" s="45"/>
      <c r="Y623" s="45"/>
      <c r="Z623" s="45"/>
      <c r="AA623" s="45"/>
      <c r="AB623" s="45"/>
      <c r="AC623" s="45"/>
      <c r="AD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90"/>
      <c r="X624" s="45"/>
      <c r="Y624" s="45"/>
      <c r="Z624" s="45"/>
      <c r="AA624" s="45"/>
      <c r="AB624" s="45"/>
      <c r="AC624" s="45"/>
      <c r="AD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90"/>
      <c r="X625" s="45"/>
      <c r="Y625" s="45"/>
      <c r="Z625" s="45"/>
      <c r="AA625" s="45"/>
      <c r="AB625" s="45"/>
      <c r="AC625" s="45"/>
      <c r="AD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90"/>
      <c r="X626" s="45"/>
      <c r="Y626" s="45"/>
      <c r="Z626" s="45"/>
      <c r="AA626" s="45"/>
      <c r="AB626" s="45"/>
      <c r="AC626" s="45"/>
      <c r="AD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90"/>
      <c r="X627" s="45"/>
      <c r="Y627" s="45"/>
      <c r="Z627" s="45"/>
      <c r="AA627" s="45"/>
      <c r="AB627" s="45"/>
      <c r="AC627" s="45"/>
      <c r="AD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90"/>
      <c r="X628" s="45"/>
      <c r="Y628" s="45"/>
      <c r="Z628" s="45"/>
      <c r="AA628" s="45"/>
      <c r="AB628" s="45"/>
      <c r="AC628" s="45"/>
      <c r="AD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90"/>
      <c r="X629" s="45"/>
      <c r="Y629" s="45"/>
      <c r="Z629" s="45"/>
      <c r="AA629" s="45"/>
      <c r="AB629" s="45"/>
      <c r="AC629" s="45"/>
      <c r="AD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90"/>
      <c r="X630" s="45"/>
      <c r="Y630" s="45"/>
      <c r="Z630" s="45"/>
      <c r="AA630" s="45"/>
      <c r="AB630" s="45"/>
      <c r="AC630" s="45"/>
      <c r="AD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90"/>
      <c r="X631" s="45"/>
      <c r="Y631" s="45"/>
      <c r="Z631" s="45"/>
      <c r="AA631" s="45"/>
      <c r="AB631" s="45"/>
      <c r="AC631" s="45"/>
      <c r="AD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90"/>
      <c r="X632" s="45"/>
      <c r="Y632" s="45"/>
      <c r="Z632" s="45"/>
      <c r="AA632" s="45"/>
      <c r="AB632" s="45"/>
      <c r="AC632" s="45"/>
      <c r="AD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90"/>
      <c r="X633" s="45"/>
      <c r="Y633" s="45"/>
      <c r="Z633" s="45"/>
      <c r="AA633" s="45"/>
      <c r="AB633" s="45"/>
      <c r="AC633" s="45"/>
      <c r="AD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90"/>
      <c r="X634" s="45"/>
      <c r="Y634" s="45"/>
      <c r="Z634" s="45"/>
      <c r="AA634" s="45"/>
      <c r="AB634" s="45"/>
      <c r="AC634" s="45"/>
      <c r="AD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90"/>
      <c r="X635" s="45"/>
      <c r="Y635" s="45"/>
      <c r="Z635" s="45"/>
      <c r="AA635" s="45"/>
      <c r="AB635" s="45"/>
      <c r="AC635" s="45"/>
      <c r="AD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90"/>
      <c r="X636" s="45"/>
      <c r="Y636" s="45"/>
      <c r="Z636" s="45"/>
      <c r="AA636" s="45"/>
      <c r="AB636" s="45"/>
      <c r="AC636" s="45"/>
      <c r="AD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90"/>
      <c r="X637" s="45"/>
      <c r="Y637" s="45"/>
      <c r="Z637" s="45"/>
      <c r="AA637" s="45"/>
      <c r="AB637" s="45"/>
      <c r="AC637" s="45"/>
      <c r="AD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90"/>
      <c r="X638" s="45"/>
      <c r="Y638" s="45"/>
      <c r="Z638" s="45"/>
      <c r="AA638" s="45"/>
      <c r="AB638" s="45"/>
      <c r="AC638" s="45"/>
      <c r="AD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90"/>
      <c r="X639" s="45"/>
      <c r="Y639" s="45"/>
      <c r="Z639" s="45"/>
      <c r="AA639" s="45"/>
      <c r="AB639" s="45"/>
      <c r="AC639" s="45"/>
      <c r="AD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90"/>
      <c r="X640" s="45"/>
      <c r="Y640" s="45"/>
      <c r="Z640" s="45"/>
      <c r="AA640" s="45"/>
      <c r="AB640" s="45"/>
      <c r="AC640" s="45"/>
      <c r="AD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90"/>
      <c r="X641" s="45"/>
      <c r="Y641" s="45"/>
      <c r="Z641" s="45"/>
      <c r="AA641" s="45"/>
      <c r="AB641" s="45"/>
      <c r="AC641" s="45"/>
      <c r="AD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90"/>
      <c r="X642" s="45"/>
      <c r="Y642" s="45"/>
      <c r="Z642" s="45"/>
      <c r="AA642" s="45"/>
      <c r="AB642" s="45"/>
      <c r="AC642" s="45"/>
      <c r="AD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90"/>
      <c r="X643" s="45"/>
      <c r="Y643" s="45"/>
      <c r="Z643" s="45"/>
      <c r="AA643" s="45"/>
      <c r="AB643" s="45"/>
      <c r="AC643" s="45"/>
      <c r="AD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90"/>
      <c r="X644" s="45"/>
      <c r="Y644" s="45"/>
      <c r="Z644" s="45"/>
      <c r="AA644" s="45"/>
      <c r="AB644" s="45"/>
      <c r="AC644" s="45"/>
      <c r="AD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90"/>
      <c r="X645" s="45"/>
      <c r="Y645" s="45"/>
      <c r="Z645" s="45"/>
      <c r="AA645" s="45"/>
      <c r="AB645" s="45"/>
      <c r="AC645" s="45"/>
      <c r="AD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90"/>
      <c r="X646" s="45"/>
      <c r="Y646" s="45"/>
      <c r="Z646" s="45"/>
      <c r="AA646" s="45"/>
      <c r="AB646" s="45"/>
      <c r="AC646" s="45"/>
      <c r="AD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90"/>
      <c r="X647" s="45"/>
      <c r="Y647" s="45"/>
      <c r="Z647" s="45"/>
      <c r="AA647" s="45"/>
      <c r="AB647" s="45"/>
      <c r="AC647" s="45"/>
      <c r="AD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90"/>
      <c r="X648" s="45"/>
      <c r="Y648" s="45"/>
      <c r="Z648" s="45"/>
      <c r="AA648" s="45"/>
      <c r="AB648" s="45"/>
      <c r="AC648" s="45"/>
      <c r="AD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90"/>
      <c r="X649" s="45"/>
      <c r="Y649" s="45"/>
      <c r="Z649" s="45"/>
      <c r="AA649" s="45"/>
      <c r="AB649" s="45"/>
      <c r="AC649" s="45"/>
      <c r="AD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90"/>
      <c r="X650" s="45"/>
      <c r="Y650" s="45"/>
      <c r="Z650" s="45"/>
      <c r="AA650" s="45"/>
      <c r="AB650" s="45"/>
      <c r="AC650" s="45"/>
      <c r="AD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90"/>
      <c r="X651" s="45"/>
      <c r="Y651" s="45"/>
      <c r="Z651" s="45"/>
      <c r="AA651" s="45"/>
      <c r="AB651" s="45"/>
      <c r="AC651" s="45"/>
      <c r="AD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90"/>
      <c r="X652" s="45"/>
      <c r="Y652" s="45"/>
      <c r="Z652" s="45"/>
      <c r="AA652" s="45"/>
      <c r="AB652" s="45"/>
      <c r="AC652" s="45"/>
      <c r="AD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90"/>
      <c r="X653" s="45"/>
      <c r="Y653" s="45"/>
      <c r="Z653" s="45"/>
      <c r="AA653" s="45"/>
      <c r="AB653" s="45"/>
      <c r="AC653" s="45"/>
      <c r="AD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90"/>
      <c r="X654" s="45"/>
      <c r="Y654" s="45"/>
      <c r="Z654" s="45"/>
      <c r="AA654" s="45"/>
      <c r="AB654" s="45"/>
      <c r="AC654" s="45"/>
      <c r="AD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90"/>
      <c r="X655" s="45"/>
      <c r="Y655" s="45"/>
      <c r="Z655" s="45"/>
      <c r="AA655" s="45"/>
      <c r="AB655" s="45"/>
      <c r="AC655" s="45"/>
      <c r="AD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90"/>
      <c r="X656" s="45"/>
      <c r="Y656" s="45"/>
      <c r="Z656" s="45"/>
      <c r="AA656" s="45"/>
      <c r="AB656" s="45"/>
      <c r="AC656" s="45"/>
      <c r="AD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90"/>
      <c r="X657" s="45"/>
      <c r="Y657" s="45"/>
      <c r="Z657" s="45"/>
      <c r="AA657" s="45"/>
      <c r="AB657" s="45"/>
      <c r="AC657" s="45"/>
      <c r="AD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90"/>
      <c r="X658" s="45"/>
      <c r="Y658" s="45"/>
      <c r="Z658" s="45"/>
      <c r="AA658" s="45"/>
      <c r="AB658" s="45"/>
      <c r="AC658" s="45"/>
      <c r="AD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90"/>
      <c r="X659" s="45"/>
      <c r="Y659" s="45"/>
      <c r="Z659" s="45"/>
      <c r="AA659" s="45"/>
      <c r="AB659" s="45"/>
      <c r="AC659" s="45"/>
      <c r="AD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90"/>
      <c r="X660" s="45"/>
      <c r="Y660" s="45"/>
      <c r="Z660" s="45"/>
      <c r="AA660" s="45"/>
      <c r="AB660" s="45"/>
      <c r="AC660" s="45"/>
      <c r="AD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90"/>
      <c r="X661" s="45"/>
      <c r="Y661" s="45"/>
      <c r="Z661" s="45"/>
      <c r="AA661" s="45"/>
      <c r="AB661" s="45"/>
      <c r="AC661" s="45"/>
      <c r="AD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90"/>
      <c r="X662" s="45"/>
      <c r="Y662" s="45"/>
      <c r="Z662" s="45"/>
      <c r="AA662" s="45"/>
      <c r="AB662" s="45"/>
      <c r="AC662" s="45"/>
      <c r="AD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90"/>
      <c r="X663" s="45"/>
      <c r="Y663" s="45"/>
      <c r="Z663" s="45"/>
      <c r="AA663" s="45"/>
      <c r="AB663" s="45"/>
      <c r="AC663" s="45"/>
      <c r="AD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90"/>
      <c r="X664" s="45"/>
      <c r="Y664" s="45"/>
      <c r="Z664" s="45"/>
      <c r="AA664" s="45"/>
      <c r="AB664" s="45"/>
      <c r="AC664" s="45"/>
      <c r="AD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90"/>
      <c r="X665" s="45"/>
      <c r="Y665" s="45"/>
      <c r="Z665" s="45"/>
      <c r="AA665" s="45"/>
      <c r="AB665" s="45"/>
      <c r="AC665" s="45"/>
      <c r="AD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90"/>
      <c r="X666" s="45"/>
      <c r="Y666" s="45"/>
      <c r="Z666" s="45"/>
      <c r="AA666" s="45"/>
      <c r="AB666" s="45"/>
      <c r="AC666" s="45"/>
      <c r="AD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90"/>
      <c r="X667" s="45"/>
      <c r="Y667" s="45"/>
      <c r="Z667" s="45"/>
      <c r="AA667" s="45"/>
      <c r="AB667" s="45"/>
      <c r="AC667" s="45"/>
      <c r="AD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90"/>
      <c r="X668" s="45"/>
      <c r="Y668" s="45"/>
      <c r="Z668" s="45"/>
      <c r="AA668" s="45"/>
      <c r="AB668" s="45"/>
      <c r="AC668" s="45"/>
      <c r="AD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90"/>
      <c r="X669" s="45"/>
      <c r="Y669" s="45"/>
      <c r="Z669" s="45"/>
      <c r="AA669" s="45"/>
      <c r="AB669" s="45"/>
      <c r="AC669" s="45"/>
      <c r="AD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90"/>
      <c r="X670" s="45"/>
      <c r="Y670" s="45"/>
      <c r="Z670" s="45"/>
      <c r="AA670" s="45"/>
      <c r="AB670" s="45"/>
      <c r="AC670" s="45"/>
      <c r="AD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90"/>
      <c r="X671" s="45"/>
      <c r="Y671" s="45"/>
      <c r="Z671" s="45"/>
      <c r="AA671" s="45"/>
      <c r="AB671" s="45"/>
      <c r="AC671" s="45"/>
      <c r="AD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90"/>
      <c r="X672" s="45"/>
      <c r="Y672" s="45"/>
      <c r="Z672" s="45"/>
      <c r="AA672" s="45"/>
      <c r="AB672" s="45"/>
      <c r="AC672" s="45"/>
      <c r="AD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90"/>
      <c r="X673" s="45"/>
      <c r="Y673" s="45"/>
      <c r="Z673" s="45"/>
      <c r="AA673" s="45"/>
      <c r="AB673" s="45"/>
      <c r="AC673" s="45"/>
      <c r="AD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90"/>
      <c r="X674" s="45"/>
      <c r="Y674" s="45"/>
      <c r="Z674" s="45"/>
      <c r="AA674" s="45"/>
      <c r="AB674" s="45"/>
      <c r="AC674" s="45"/>
      <c r="AD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90"/>
      <c r="X675" s="45"/>
      <c r="Y675" s="45"/>
      <c r="Z675" s="45"/>
      <c r="AA675" s="45"/>
      <c r="AB675" s="45"/>
      <c r="AC675" s="45"/>
      <c r="AD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90"/>
      <c r="X676" s="45"/>
      <c r="Y676" s="45"/>
      <c r="Z676" s="45"/>
      <c r="AA676" s="45"/>
      <c r="AB676" s="45"/>
      <c r="AC676" s="45"/>
      <c r="AD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90"/>
      <c r="X677" s="45"/>
      <c r="Y677" s="45"/>
      <c r="Z677" s="45"/>
      <c r="AA677" s="45"/>
      <c r="AB677" s="45"/>
      <c r="AC677" s="45"/>
      <c r="AD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90"/>
      <c r="X678" s="45"/>
      <c r="Y678" s="45"/>
      <c r="Z678" s="45"/>
      <c r="AA678" s="45"/>
      <c r="AB678" s="45"/>
      <c r="AC678" s="45"/>
      <c r="AD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90"/>
      <c r="X679" s="45"/>
      <c r="Y679" s="45"/>
      <c r="Z679" s="45"/>
      <c r="AA679" s="45"/>
      <c r="AB679" s="45"/>
      <c r="AC679" s="45"/>
      <c r="AD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90"/>
      <c r="X680" s="45"/>
      <c r="Y680" s="45"/>
      <c r="Z680" s="45"/>
      <c r="AA680" s="45"/>
      <c r="AB680" s="45"/>
      <c r="AC680" s="45"/>
      <c r="AD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90"/>
      <c r="X681" s="45"/>
      <c r="Y681" s="45"/>
      <c r="Z681" s="45"/>
      <c r="AA681" s="45"/>
      <c r="AB681" s="45"/>
      <c r="AC681" s="45"/>
      <c r="AD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90"/>
      <c r="X682" s="45"/>
      <c r="Y682" s="45"/>
      <c r="Z682" s="45"/>
      <c r="AA682" s="45"/>
      <c r="AB682" s="45"/>
      <c r="AC682" s="45"/>
      <c r="AD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90"/>
      <c r="X683" s="45"/>
      <c r="Y683" s="45"/>
      <c r="Z683" s="45"/>
      <c r="AA683" s="45"/>
      <c r="AB683" s="45"/>
      <c r="AC683" s="45"/>
      <c r="AD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90"/>
      <c r="X684" s="45"/>
      <c r="Y684" s="45"/>
      <c r="Z684" s="45"/>
      <c r="AA684" s="45"/>
      <c r="AB684" s="45"/>
      <c r="AC684" s="45"/>
      <c r="AD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90"/>
      <c r="X685" s="45"/>
      <c r="Y685" s="45"/>
      <c r="Z685" s="45"/>
      <c r="AA685" s="45"/>
      <c r="AB685" s="45"/>
      <c r="AC685" s="45"/>
      <c r="AD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90"/>
      <c r="X686" s="45"/>
      <c r="Y686" s="45"/>
      <c r="Z686" s="45"/>
      <c r="AA686" s="45"/>
      <c r="AB686" s="45"/>
      <c r="AC686" s="45"/>
      <c r="AD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90"/>
      <c r="X687" s="45"/>
      <c r="Y687" s="45"/>
      <c r="Z687" s="45"/>
      <c r="AA687" s="45"/>
      <c r="AB687" s="45"/>
      <c r="AC687" s="45"/>
      <c r="AD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90"/>
      <c r="X688" s="45"/>
      <c r="Y688" s="45"/>
      <c r="Z688" s="45"/>
      <c r="AA688" s="45"/>
      <c r="AB688" s="45"/>
      <c r="AC688" s="45"/>
      <c r="AD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90"/>
      <c r="X689" s="45"/>
      <c r="Y689" s="45"/>
      <c r="Z689" s="45"/>
      <c r="AA689" s="45"/>
      <c r="AB689" s="45"/>
      <c r="AC689" s="45"/>
      <c r="AD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90"/>
      <c r="X690" s="45"/>
      <c r="Y690" s="45"/>
      <c r="Z690" s="45"/>
      <c r="AA690" s="45"/>
      <c r="AB690" s="45"/>
      <c r="AC690" s="45"/>
      <c r="AD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90"/>
      <c r="X691" s="45"/>
      <c r="Y691" s="45"/>
      <c r="Z691" s="45"/>
      <c r="AA691" s="45"/>
      <c r="AB691" s="45"/>
      <c r="AC691" s="45"/>
      <c r="AD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90"/>
      <c r="X692" s="45"/>
      <c r="Y692" s="45"/>
      <c r="Z692" s="45"/>
      <c r="AA692" s="45"/>
      <c r="AB692" s="45"/>
      <c r="AC692" s="45"/>
      <c r="AD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90"/>
      <c r="X693" s="45"/>
      <c r="Y693" s="45"/>
      <c r="Z693" s="45"/>
      <c r="AA693" s="45"/>
      <c r="AB693" s="45"/>
      <c r="AC693" s="45"/>
      <c r="AD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90"/>
      <c r="X694" s="45"/>
      <c r="Y694" s="45"/>
      <c r="Z694" s="45"/>
      <c r="AA694" s="45"/>
      <c r="AB694" s="45"/>
      <c r="AC694" s="45"/>
      <c r="AD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90"/>
      <c r="X695" s="45"/>
      <c r="Y695" s="45"/>
      <c r="Z695" s="45"/>
      <c r="AA695" s="45"/>
      <c r="AB695" s="45"/>
      <c r="AC695" s="45"/>
      <c r="AD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90"/>
      <c r="X696" s="45"/>
      <c r="Y696" s="45"/>
      <c r="Z696" s="45"/>
      <c r="AA696" s="45"/>
      <c r="AB696" s="45"/>
      <c r="AC696" s="45"/>
      <c r="AD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90"/>
      <c r="X697" s="45"/>
      <c r="Y697" s="45"/>
      <c r="Z697" s="45"/>
      <c r="AA697" s="45"/>
      <c r="AB697" s="45"/>
      <c r="AC697" s="45"/>
      <c r="AD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90"/>
      <c r="X698" s="45"/>
      <c r="Y698" s="45"/>
      <c r="Z698" s="45"/>
      <c r="AA698" s="45"/>
      <c r="AB698" s="45"/>
      <c r="AC698" s="45"/>
      <c r="AD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90"/>
      <c r="X699" s="45"/>
      <c r="Y699" s="45"/>
      <c r="Z699" s="45"/>
      <c r="AA699" s="45"/>
      <c r="AB699" s="45"/>
      <c r="AC699" s="45"/>
      <c r="AD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90"/>
      <c r="X700" s="45"/>
      <c r="Y700" s="45"/>
      <c r="Z700" s="45"/>
      <c r="AA700" s="45"/>
      <c r="AB700" s="45"/>
      <c r="AC700" s="45"/>
      <c r="AD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90"/>
      <c r="X701" s="45"/>
      <c r="Y701" s="45"/>
      <c r="Z701" s="45"/>
      <c r="AA701" s="45"/>
      <c r="AB701" s="45"/>
      <c r="AC701" s="45"/>
      <c r="AD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90"/>
      <c r="X702" s="45"/>
      <c r="Y702" s="45"/>
      <c r="Z702" s="45"/>
      <c r="AA702" s="45"/>
      <c r="AB702" s="45"/>
      <c r="AC702" s="45"/>
      <c r="AD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90"/>
      <c r="X703" s="45"/>
      <c r="Y703" s="45"/>
      <c r="Z703" s="45"/>
      <c r="AA703" s="45"/>
      <c r="AB703" s="45"/>
      <c r="AC703" s="45"/>
      <c r="AD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90"/>
      <c r="X704" s="45"/>
      <c r="Y704" s="45"/>
      <c r="Z704" s="45"/>
      <c r="AA704" s="45"/>
      <c r="AB704" s="45"/>
      <c r="AC704" s="45"/>
      <c r="AD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90"/>
      <c r="X705" s="45"/>
      <c r="Y705" s="45"/>
      <c r="Z705" s="45"/>
      <c r="AA705" s="45"/>
      <c r="AB705" s="45"/>
      <c r="AC705" s="45"/>
      <c r="AD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90"/>
      <c r="X706" s="45"/>
      <c r="Y706" s="45"/>
      <c r="Z706" s="45"/>
      <c r="AA706" s="45"/>
      <c r="AB706" s="45"/>
      <c r="AC706" s="45"/>
      <c r="AD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90"/>
      <c r="X707" s="45"/>
      <c r="Y707" s="45"/>
      <c r="Z707" s="45"/>
      <c r="AA707" s="45"/>
      <c r="AB707" s="45"/>
      <c r="AC707" s="45"/>
      <c r="AD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90"/>
      <c r="X708" s="45"/>
      <c r="Y708" s="45"/>
      <c r="Z708" s="45"/>
      <c r="AA708" s="45"/>
      <c r="AB708" s="45"/>
      <c r="AC708" s="45"/>
      <c r="AD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90"/>
      <c r="X709" s="45"/>
      <c r="Y709" s="45"/>
      <c r="Z709" s="45"/>
      <c r="AA709" s="45"/>
      <c r="AB709" s="45"/>
      <c r="AC709" s="45"/>
      <c r="AD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90"/>
      <c r="X710" s="45"/>
      <c r="Y710" s="45"/>
      <c r="Z710" s="45"/>
      <c r="AA710" s="45"/>
      <c r="AB710" s="45"/>
      <c r="AC710" s="45"/>
      <c r="AD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90"/>
      <c r="X711" s="45"/>
      <c r="Y711" s="45"/>
      <c r="Z711" s="45"/>
      <c r="AA711" s="45"/>
      <c r="AB711" s="45"/>
      <c r="AC711" s="45"/>
      <c r="AD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90"/>
      <c r="X712" s="45"/>
      <c r="Y712" s="45"/>
      <c r="Z712" s="45"/>
      <c r="AA712" s="45"/>
      <c r="AB712" s="45"/>
      <c r="AC712" s="45"/>
      <c r="AD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90"/>
      <c r="X713" s="45"/>
      <c r="Y713" s="45"/>
      <c r="Z713" s="45"/>
      <c r="AA713" s="45"/>
      <c r="AB713" s="45"/>
      <c r="AC713" s="45"/>
      <c r="AD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90"/>
      <c r="X714" s="45"/>
      <c r="Y714" s="45"/>
      <c r="Z714" s="45"/>
      <c r="AA714" s="45"/>
      <c r="AB714" s="45"/>
      <c r="AC714" s="45"/>
      <c r="AD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90"/>
      <c r="X715" s="45"/>
      <c r="Y715" s="45"/>
      <c r="Z715" s="45"/>
      <c r="AA715" s="45"/>
      <c r="AB715" s="45"/>
      <c r="AC715" s="45"/>
      <c r="AD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90"/>
      <c r="X716" s="45"/>
      <c r="Y716" s="45"/>
      <c r="Z716" s="45"/>
      <c r="AA716" s="45"/>
      <c r="AB716" s="45"/>
      <c r="AC716" s="45"/>
      <c r="AD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90"/>
      <c r="X717" s="45"/>
      <c r="Y717" s="45"/>
      <c r="Z717" s="45"/>
      <c r="AA717" s="45"/>
      <c r="AB717" s="45"/>
      <c r="AC717" s="45"/>
      <c r="AD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90"/>
      <c r="X718" s="45"/>
      <c r="Y718" s="45"/>
      <c r="Z718" s="45"/>
      <c r="AA718" s="45"/>
      <c r="AB718" s="45"/>
      <c r="AC718" s="45"/>
      <c r="AD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90"/>
      <c r="X719" s="45"/>
      <c r="Y719" s="45"/>
      <c r="Z719" s="45"/>
      <c r="AA719" s="45"/>
      <c r="AB719" s="45"/>
      <c r="AC719" s="45"/>
      <c r="AD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90"/>
      <c r="X720" s="45"/>
      <c r="Y720" s="45"/>
      <c r="Z720" s="45"/>
      <c r="AA720" s="45"/>
      <c r="AB720" s="45"/>
      <c r="AC720" s="45"/>
      <c r="AD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90"/>
      <c r="X721" s="45"/>
      <c r="Y721" s="45"/>
      <c r="Z721" s="45"/>
      <c r="AA721" s="45"/>
      <c r="AB721" s="45"/>
      <c r="AC721" s="45"/>
      <c r="AD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90"/>
      <c r="X722" s="45"/>
      <c r="Y722" s="45"/>
      <c r="Z722" s="45"/>
      <c r="AA722" s="45"/>
      <c r="AB722" s="45"/>
      <c r="AC722" s="45"/>
      <c r="AD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90"/>
      <c r="X723" s="45"/>
      <c r="Y723" s="45"/>
      <c r="Z723" s="45"/>
      <c r="AA723" s="45"/>
      <c r="AB723" s="45"/>
      <c r="AC723" s="45"/>
      <c r="AD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90"/>
      <c r="X724" s="45"/>
      <c r="Y724" s="45"/>
      <c r="Z724" s="45"/>
      <c r="AA724" s="45"/>
      <c r="AB724" s="45"/>
      <c r="AC724" s="45"/>
      <c r="AD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90"/>
      <c r="X725" s="45"/>
      <c r="Y725" s="45"/>
      <c r="Z725" s="45"/>
      <c r="AA725" s="45"/>
      <c r="AB725" s="45"/>
      <c r="AC725" s="45"/>
      <c r="AD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90"/>
      <c r="X726" s="45"/>
      <c r="Y726" s="45"/>
      <c r="Z726" s="45"/>
      <c r="AA726" s="45"/>
      <c r="AB726" s="45"/>
      <c r="AC726" s="45"/>
      <c r="AD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90"/>
      <c r="X727" s="45"/>
      <c r="Y727" s="45"/>
      <c r="Z727" s="45"/>
      <c r="AA727" s="45"/>
      <c r="AB727" s="45"/>
      <c r="AC727" s="45"/>
      <c r="AD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90"/>
      <c r="X728" s="45"/>
      <c r="Y728" s="45"/>
      <c r="Z728" s="45"/>
      <c r="AA728" s="45"/>
      <c r="AB728" s="45"/>
      <c r="AC728" s="45"/>
      <c r="AD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90"/>
      <c r="X729" s="45"/>
      <c r="Y729" s="45"/>
      <c r="Z729" s="45"/>
      <c r="AA729" s="45"/>
      <c r="AB729" s="45"/>
      <c r="AC729" s="45"/>
      <c r="AD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90"/>
      <c r="X730" s="45"/>
      <c r="Y730" s="45"/>
      <c r="Z730" s="45"/>
      <c r="AA730" s="45"/>
      <c r="AB730" s="45"/>
      <c r="AC730" s="45"/>
      <c r="AD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90"/>
      <c r="X731" s="45"/>
      <c r="Y731" s="45"/>
      <c r="Z731" s="45"/>
      <c r="AA731" s="45"/>
      <c r="AB731" s="45"/>
      <c r="AC731" s="45"/>
      <c r="AD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90"/>
      <c r="X732" s="45"/>
      <c r="Y732" s="45"/>
      <c r="Z732" s="45"/>
      <c r="AA732" s="45"/>
      <c r="AB732" s="45"/>
      <c r="AC732" s="45"/>
      <c r="AD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90"/>
      <c r="X733" s="45"/>
      <c r="Y733" s="45"/>
      <c r="Z733" s="45"/>
      <c r="AA733" s="45"/>
      <c r="AB733" s="45"/>
      <c r="AC733" s="45"/>
      <c r="AD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90"/>
      <c r="X734" s="45"/>
      <c r="Y734" s="45"/>
      <c r="Z734" s="45"/>
      <c r="AA734" s="45"/>
      <c r="AB734" s="45"/>
      <c r="AC734" s="45"/>
      <c r="AD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90"/>
      <c r="X735" s="45"/>
      <c r="Y735" s="45"/>
      <c r="Z735" s="45"/>
      <c r="AA735" s="45"/>
      <c r="AB735" s="45"/>
      <c r="AC735" s="45"/>
      <c r="AD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90"/>
      <c r="X736" s="45"/>
      <c r="Y736" s="45"/>
      <c r="Z736" s="45"/>
      <c r="AA736" s="45"/>
      <c r="AB736" s="45"/>
      <c r="AC736" s="45"/>
      <c r="AD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90"/>
      <c r="X737" s="45"/>
      <c r="Y737" s="45"/>
      <c r="Z737" s="45"/>
      <c r="AA737" s="45"/>
      <c r="AB737" s="45"/>
      <c r="AC737" s="45"/>
      <c r="AD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90"/>
      <c r="X738" s="45"/>
      <c r="Y738" s="45"/>
      <c r="Z738" s="45"/>
      <c r="AA738" s="45"/>
      <c r="AB738" s="45"/>
      <c r="AC738" s="45"/>
      <c r="AD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90"/>
      <c r="X739" s="45"/>
      <c r="Y739" s="45"/>
      <c r="Z739" s="45"/>
      <c r="AA739" s="45"/>
      <c r="AB739" s="45"/>
      <c r="AC739" s="45"/>
      <c r="AD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90"/>
      <c r="X740" s="45"/>
      <c r="Y740" s="45"/>
      <c r="Z740" s="45"/>
      <c r="AA740" s="45"/>
      <c r="AB740" s="45"/>
      <c r="AC740" s="45"/>
      <c r="AD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90"/>
      <c r="X741" s="45"/>
      <c r="Y741" s="45"/>
      <c r="Z741" s="45"/>
      <c r="AA741" s="45"/>
      <c r="AB741" s="45"/>
      <c r="AC741" s="45"/>
      <c r="AD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90"/>
      <c r="X742" s="45"/>
      <c r="Y742" s="45"/>
      <c r="Z742" s="45"/>
      <c r="AA742" s="45"/>
      <c r="AB742" s="45"/>
      <c r="AC742" s="45"/>
      <c r="AD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90"/>
      <c r="X743" s="45"/>
      <c r="Y743" s="45"/>
      <c r="Z743" s="45"/>
      <c r="AA743" s="45"/>
      <c r="AB743" s="45"/>
      <c r="AC743" s="45"/>
      <c r="AD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90"/>
      <c r="X744" s="45"/>
      <c r="Y744" s="45"/>
      <c r="Z744" s="45"/>
      <c r="AA744" s="45"/>
      <c r="AB744" s="45"/>
      <c r="AC744" s="45"/>
      <c r="AD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90"/>
      <c r="X745" s="45"/>
      <c r="Y745" s="45"/>
      <c r="Z745" s="45"/>
      <c r="AA745" s="45"/>
      <c r="AB745" s="45"/>
      <c r="AC745" s="45"/>
      <c r="AD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90"/>
      <c r="X746" s="45"/>
      <c r="Y746" s="45"/>
      <c r="Z746" s="45"/>
      <c r="AA746" s="45"/>
      <c r="AB746" s="45"/>
      <c r="AC746" s="45"/>
      <c r="AD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90"/>
      <c r="X747" s="45"/>
      <c r="Y747" s="45"/>
      <c r="Z747" s="45"/>
      <c r="AA747" s="45"/>
      <c r="AB747" s="45"/>
      <c r="AC747" s="45"/>
      <c r="AD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90"/>
      <c r="X748" s="45"/>
      <c r="Y748" s="45"/>
      <c r="Z748" s="45"/>
      <c r="AA748" s="45"/>
      <c r="AB748" s="45"/>
      <c r="AC748" s="45"/>
      <c r="AD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90"/>
      <c r="X749" s="45"/>
      <c r="Y749" s="45"/>
      <c r="Z749" s="45"/>
      <c r="AA749" s="45"/>
      <c r="AB749" s="45"/>
      <c r="AC749" s="45"/>
      <c r="AD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90"/>
      <c r="X750" s="45"/>
      <c r="Y750" s="45"/>
      <c r="Z750" s="45"/>
      <c r="AA750" s="45"/>
      <c r="AB750" s="45"/>
      <c r="AC750" s="45"/>
      <c r="AD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90"/>
      <c r="X751" s="45"/>
      <c r="Y751" s="45"/>
      <c r="Z751" s="45"/>
      <c r="AA751" s="45"/>
      <c r="AB751" s="45"/>
      <c r="AC751" s="45"/>
      <c r="AD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90"/>
      <c r="X752" s="45"/>
      <c r="Y752" s="45"/>
      <c r="Z752" s="45"/>
      <c r="AA752" s="45"/>
      <c r="AB752" s="45"/>
      <c r="AC752" s="45"/>
      <c r="AD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90"/>
      <c r="X753" s="45"/>
      <c r="Y753" s="45"/>
      <c r="Z753" s="45"/>
      <c r="AA753" s="45"/>
      <c r="AB753" s="45"/>
      <c r="AC753" s="45"/>
      <c r="AD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90"/>
      <c r="X754" s="45"/>
      <c r="Y754" s="45"/>
      <c r="Z754" s="45"/>
      <c r="AA754" s="45"/>
      <c r="AB754" s="45"/>
      <c r="AC754" s="45"/>
      <c r="AD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90"/>
      <c r="X755" s="45"/>
      <c r="Y755" s="45"/>
      <c r="Z755" s="45"/>
      <c r="AA755" s="45"/>
      <c r="AB755" s="45"/>
      <c r="AC755" s="45"/>
      <c r="AD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90"/>
      <c r="X756" s="45"/>
      <c r="Y756" s="45"/>
      <c r="Z756" s="45"/>
      <c r="AA756" s="45"/>
      <c r="AB756" s="45"/>
      <c r="AC756" s="45"/>
      <c r="AD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90"/>
      <c r="X757" s="45"/>
      <c r="Y757" s="45"/>
      <c r="Z757" s="45"/>
      <c r="AA757" s="45"/>
      <c r="AB757" s="45"/>
      <c r="AC757" s="45"/>
      <c r="AD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90"/>
      <c r="X758" s="45"/>
      <c r="Y758" s="45"/>
      <c r="Z758" s="45"/>
      <c r="AA758" s="45"/>
      <c r="AB758" s="45"/>
      <c r="AC758" s="45"/>
      <c r="AD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90"/>
      <c r="X759" s="45"/>
      <c r="Y759" s="45"/>
      <c r="Z759" s="45"/>
      <c r="AA759" s="45"/>
      <c r="AB759" s="45"/>
      <c r="AC759" s="45"/>
      <c r="AD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90"/>
      <c r="X760" s="45"/>
      <c r="Y760" s="45"/>
      <c r="Z760" s="45"/>
      <c r="AA760" s="45"/>
      <c r="AB760" s="45"/>
      <c r="AC760" s="45"/>
      <c r="AD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90"/>
      <c r="X761" s="45"/>
      <c r="Y761" s="45"/>
      <c r="Z761" s="45"/>
      <c r="AA761" s="45"/>
      <c r="AB761" s="45"/>
      <c r="AC761" s="45"/>
      <c r="AD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90"/>
      <c r="X762" s="45"/>
      <c r="Y762" s="45"/>
      <c r="Z762" s="45"/>
      <c r="AA762" s="45"/>
      <c r="AB762" s="45"/>
      <c r="AC762" s="45"/>
      <c r="AD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90"/>
      <c r="X763" s="45"/>
      <c r="Y763" s="45"/>
      <c r="Z763" s="45"/>
      <c r="AA763" s="45"/>
      <c r="AB763" s="45"/>
      <c r="AC763" s="45"/>
      <c r="AD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90"/>
      <c r="X764" s="45"/>
      <c r="Y764" s="45"/>
      <c r="Z764" s="45"/>
      <c r="AA764" s="45"/>
      <c r="AB764" s="45"/>
      <c r="AC764" s="45"/>
      <c r="AD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90"/>
      <c r="X765" s="45"/>
      <c r="Y765" s="45"/>
      <c r="Z765" s="45"/>
      <c r="AA765" s="45"/>
      <c r="AB765" s="45"/>
      <c r="AC765" s="45"/>
      <c r="AD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90"/>
      <c r="X766" s="45"/>
      <c r="Y766" s="45"/>
      <c r="Z766" s="45"/>
      <c r="AA766" s="45"/>
      <c r="AB766" s="45"/>
      <c r="AC766" s="45"/>
      <c r="AD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90"/>
      <c r="X767" s="45"/>
      <c r="Y767" s="45"/>
      <c r="Z767" s="45"/>
      <c r="AA767" s="45"/>
      <c r="AB767" s="45"/>
      <c r="AC767" s="45"/>
      <c r="AD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90"/>
      <c r="X768" s="45"/>
      <c r="Y768" s="45"/>
      <c r="Z768" s="45"/>
      <c r="AA768" s="45"/>
      <c r="AB768" s="45"/>
      <c r="AC768" s="45"/>
      <c r="AD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90"/>
      <c r="X769" s="45"/>
      <c r="Y769" s="45"/>
      <c r="Z769" s="45"/>
      <c r="AA769" s="45"/>
      <c r="AB769" s="45"/>
      <c r="AC769" s="45"/>
      <c r="AD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90"/>
      <c r="X770" s="45"/>
      <c r="Y770" s="45"/>
      <c r="Z770" s="45"/>
      <c r="AA770" s="45"/>
      <c r="AB770" s="45"/>
      <c r="AC770" s="45"/>
      <c r="AD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90"/>
      <c r="X771" s="45"/>
      <c r="Y771" s="45"/>
      <c r="Z771" s="45"/>
      <c r="AA771" s="45"/>
      <c r="AB771" s="45"/>
      <c r="AC771" s="45"/>
      <c r="AD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90"/>
      <c r="X772" s="45"/>
      <c r="Y772" s="45"/>
      <c r="Z772" s="45"/>
      <c r="AA772" s="45"/>
      <c r="AB772" s="45"/>
      <c r="AC772" s="45"/>
      <c r="AD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90"/>
      <c r="X773" s="45"/>
      <c r="Y773" s="45"/>
      <c r="Z773" s="45"/>
      <c r="AA773" s="45"/>
      <c r="AB773" s="45"/>
      <c r="AC773" s="45"/>
      <c r="AD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90"/>
      <c r="X774" s="45"/>
      <c r="Y774" s="45"/>
      <c r="Z774" s="45"/>
      <c r="AA774" s="45"/>
      <c r="AB774" s="45"/>
      <c r="AC774" s="45"/>
      <c r="AD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90"/>
      <c r="X775" s="45"/>
      <c r="Y775" s="45"/>
      <c r="Z775" s="45"/>
      <c r="AA775" s="45"/>
      <c r="AB775" s="45"/>
      <c r="AC775" s="45"/>
      <c r="AD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90"/>
      <c r="X776" s="45"/>
      <c r="Y776" s="45"/>
      <c r="Z776" s="45"/>
      <c r="AA776" s="45"/>
      <c r="AB776" s="45"/>
      <c r="AC776" s="45"/>
      <c r="AD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90"/>
      <c r="X777" s="45"/>
      <c r="Y777" s="45"/>
      <c r="Z777" s="45"/>
      <c r="AA777" s="45"/>
      <c r="AB777" s="45"/>
      <c r="AC777" s="45"/>
      <c r="AD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90"/>
      <c r="X778" s="45"/>
      <c r="Y778" s="45"/>
      <c r="Z778" s="45"/>
      <c r="AA778" s="45"/>
      <c r="AB778" s="45"/>
      <c r="AC778" s="45"/>
      <c r="AD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90"/>
      <c r="X779" s="45"/>
      <c r="Y779" s="45"/>
      <c r="Z779" s="45"/>
      <c r="AA779" s="45"/>
      <c r="AB779" s="45"/>
      <c r="AC779" s="45"/>
      <c r="AD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90"/>
      <c r="X780" s="45"/>
      <c r="Y780" s="45"/>
      <c r="Z780" s="45"/>
      <c r="AA780" s="45"/>
      <c r="AB780" s="45"/>
      <c r="AC780" s="45"/>
      <c r="AD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90"/>
      <c r="X781" s="45"/>
      <c r="Y781" s="45"/>
      <c r="Z781" s="45"/>
      <c r="AA781" s="45"/>
      <c r="AB781" s="45"/>
      <c r="AC781" s="45"/>
      <c r="AD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90"/>
      <c r="X782" s="45"/>
      <c r="Y782" s="45"/>
      <c r="Z782" s="45"/>
      <c r="AA782" s="45"/>
      <c r="AB782" s="45"/>
      <c r="AC782" s="45"/>
      <c r="AD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90"/>
      <c r="X783" s="45"/>
      <c r="Y783" s="45"/>
      <c r="Z783" s="45"/>
      <c r="AA783" s="45"/>
      <c r="AB783" s="45"/>
      <c r="AC783" s="45"/>
      <c r="AD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90"/>
      <c r="X784" s="45"/>
      <c r="Y784" s="45"/>
      <c r="Z784" s="45"/>
      <c r="AA784" s="45"/>
      <c r="AB784" s="45"/>
      <c r="AC784" s="45"/>
      <c r="AD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90"/>
      <c r="X785" s="45"/>
      <c r="Y785" s="45"/>
      <c r="Z785" s="45"/>
      <c r="AA785" s="45"/>
      <c r="AB785" s="45"/>
      <c r="AC785" s="45"/>
      <c r="AD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90"/>
      <c r="X786" s="45"/>
      <c r="Y786" s="45"/>
      <c r="Z786" s="45"/>
      <c r="AA786" s="45"/>
      <c r="AB786" s="45"/>
      <c r="AC786" s="45"/>
      <c r="AD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90"/>
      <c r="X787" s="45"/>
      <c r="Y787" s="45"/>
      <c r="Z787" s="45"/>
      <c r="AA787" s="45"/>
      <c r="AB787" s="45"/>
      <c r="AC787" s="45"/>
      <c r="AD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90"/>
      <c r="X788" s="45"/>
      <c r="Y788" s="45"/>
      <c r="Z788" s="45"/>
      <c r="AA788" s="45"/>
      <c r="AB788" s="45"/>
      <c r="AC788" s="45"/>
      <c r="AD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90"/>
      <c r="X789" s="45"/>
      <c r="Y789" s="45"/>
      <c r="Z789" s="45"/>
      <c r="AA789" s="45"/>
      <c r="AB789" s="45"/>
      <c r="AC789" s="45"/>
      <c r="AD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90"/>
      <c r="X790" s="45"/>
      <c r="Y790" s="45"/>
      <c r="Z790" s="45"/>
      <c r="AA790" s="45"/>
      <c r="AB790" s="45"/>
      <c r="AC790" s="45"/>
      <c r="AD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90"/>
      <c r="X791" s="45"/>
      <c r="Y791" s="45"/>
      <c r="Z791" s="45"/>
      <c r="AA791" s="45"/>
      <c r="AB791" s="45"/>
      <c r="AC791" s="45"/>
      <c r="AD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90"/>
      <c r="X792" s="45"/>
      <c r="Y792" s="45"/>
      <c r="Z792" s="45"/>
      <c r="AA792" s="45"/>
      <c r="AB792" s="45"/>
      <c r="AC792" s="45"/>
      <c r="AD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90"/>
      <c r="X793" s="45"/>
      <c r="Y793" s="45"/>
      <c r="Z793" s="45"/>
      <c r="AA793" s="45"/>
      <c r="AB793" s="45"/>
      <c r="AC793" s="45"/>
      <c r="AD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90"/>
      <c r="X794" s="45"/>
      <c r="Y794" s="45"/>
      <c r="Z794" s="45"/>
      <c r="AA794" s="45"/>
      <c r="AB794" s="45"/>
      <c r="AC794" s="45"/>
      <c r="AD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90"/>
      <c r="X795" s="45"/>
      <c r="Y795" s="45"/>
      <c r="Z795" s="45"/>
      <c r="AA795" s="45"/>
      <c r="AB795" s="45"/>
      <c r="AC795" s="45"/>
      <c r="AD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90"/>
      <c r="X796" s="45"/>
      <c r="Y796" s="45"/>
      <c r="Z796" s="45"/>
      <c r="AA796" s="45"/>
      <c r="AB796" s="45"/>
      <c r="AC796" s="45"/>
      <c r="AD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90"/>
      <c r="X797" s="45"/>
      <c r="Y797" s="45"/>
      <c r="Z797" s="45"/>
      <c r="AA797" s="45"/>
      <c r="AB797" s="45"/>
      <c r="AC797" s="45"/>
      <c r="AD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90"/>
      <c r="X798" s="45"/>
      <c r="Y798" s="45"/>
      <c r="Z798" s="45"/>
      <c r="AA798" s="45"/>
      <c r="AB798" s="45"/>
      <c r="AC798" s="45"/>
      <c r="AD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90"/>
      <c r="X799" s="45"/>
      <c r="Y799" s="45"/>
      <c r="Z799" s="45"/>
      <c r="AA799" s="45"/>
      <c r="AB799" s="45"/>
      <c r="AC799" s="45"/>
      <c r="AD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90"/>
      <c r="X800" s="45"/>
      <c r="Y800" s="45"/>
      <c r="Z800" s="45"/>
      <c r="AA800" s="45"/>
      <c r="AB800" s="45"/>
      <c r="AC800" s="45"/>
      <c r="AD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90"/>
      <c r="X801" s="45"/>
      <c r="Y801" s="45"/>
      <c r="Z801" s="45"/>
      <c r="AA801" s="45"/>
      <c r="AB801" s="45"/>
      <c r="AC801" s="45"/>
      <c r="AD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90"/>
      <c r="X802" s="45"/>
      <c r="Y802" s="45"/>
      <c r="Z802" s="45"/>
      <c r="AA802" s="45"/>
      <c r="AB802" s="45"/>
      <c r="AC802" s="45"/>
      <c r="AD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90"/>
      <c r="X803" s="45"/>
      <c r="Y803" s="45"/>
      <c r="Z803" s="45"/>
      <c r="AA803" s="45"/>
      <c r="AB803" s="45"/>
      <c r="AC803" s="45"/>
      <c r="AD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90"/>
      <c r="X804" s="45"/>
      <c r="Y804" s="45"/>
      <c r="Z804" s="45"/>
      <c r="AA804" s="45"/>
      <c r="AB804" s="45"/>
      <c r="AC804" s="45"/>
      <c r="AD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90"/>
      <c r="X805" s="45"/>
      <c r="Y805" s="45"/>
      <c r="Z805" s="45"/>
      <c r="AA805" s="45"/>
      <c r="AB805" s="45"/>
      <c r="AC805" s="45"/>
      <c r="AD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90"/>
      <c r="X806" s="45"/>
      <c r="Y806" s="45"/>
      <c r="Z806" s="45"/>
      <c r="AA806" s="45"/>
      <c r="AB806" s="45"/>
      <c r="AC806" s="45"/>
      <c r="AD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90"/>
      <c r="X807" s="45"/>
      <c r="Y807" s="45"/>
      <c r="Z807" s="45"/>
      <c r="AA807" s="45"/>
      <c r="AB807" s="45"/>
      <c r="AC807" s="45"/>
      <c r="AD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90"/>
      <c r="X808" s="45"/>
      <c r="Y808" s="45"/>
      <c r="Z808" s="45"/>
      <c r="AA808" s="45"/>
      <c r="AB808" s="45"/>
      <c r="AC808" s="45"/>
      <c r="AD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90"/>
      <c r="X809" s="45"/>
      <c r="Y809" s="45"/>
      <c r="Z809" s="45"/>
      <c r="AA809" s="45"/>
      <c r="AB809" s="45"/>
      <c r="AC809" s="45"/>
      <c r="AD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90"/>
      <c r="X810" s="45"/>
      <c r="Y810" s="45"/>
      <c r="Z810" s="45"/>
      <c r="AA810" s="45"/>
      <c r="AB810" s="45"/>
      <c r="AC810" s="45"/>
      <c r="AD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90"/>
      <c r="X811" s="45"/>
      <c r="Y811" s="45"/>
      <c r="Z811" s="45"/>
      <c r="AA811" s="45"/>
      <c r="AB811" s="45"/>
      <c r="AC811" s="45"/>
      <c r="AD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90"/>
      <c r="X812" s="45"/>
      <c r="Y812" s="45"/>
      <c r="Z812" s="45"/>
      <c r="AA812" s="45"/>
      <c r="AB812" s="45"/>
      <c r="AC812" s="45"/>
      <c r="AD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90"/>
      <c r="X813" s="45"/>
      <c r="Y813" s="45"/>
      <c r="Z813" s="45"/>
      <c r="AA813" s="45"/>
      <c r="AB813" s="45"/>
      <c r="AC813" s="45"/>
      <c r="AD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90"/>
      <c r="X814" s="45"/>
      <c r="Y814" s="45"/>
      <c r="Z814" s="45"/>
      <c r="AA814" s="45"/>
      <c r="AB814" s="45"/>
      <c r="AC814" s="45"/>
      <c r="AD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90"/>
      <c r="X815" s="45"/>
      <c r="Y815" s="45"/>
      <c r="Z815" s="45"/>
      <c r="AA815" s="45"/>
      <c r="AB815" s="45"/>
      <c r="AC815" s="45"/>
      <c r="AD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90"/>
      <c r="X816" s="45"/>
      <c r="Y816" s="45"/>
      <c r="Z816" s="45"/>
      <c r="AA816" s="45"/>
      <c r="AB816" s="45"/>
      <c r="AC816" s="45"/>
      <c r="AD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90"/>
      <c r="X817" s="45"/>
      <c r="Y817" s="45"/>
      <c r="Z817" s="45"/>
      <c r="AA817" s="45"/>
      <c r="AB817" s="45"/>
      <c r="AC817" s="45"/>
      <c r="AD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90"/>
      <c r="X818" s="45"/>
      <c r="Y818" s="45"/>
      <c r="Z818" s="45"/>
      <c r="AA818" s="45"/>
      <c r="AB818" s="45"/>
      <c r="AC818" s="45"/>
      <c r="AD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90"/>
      <c r="X819" s="45"/>
      <c r="Y819" s="45"/>
      <c r="Z819" s="45"/>
      <c r="AA819" s="45"/>
      <c r="AB819" s="45"/>
      <c r="AC819" s="45"/>
      <c r="AD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90"/>
      <c r="X820" s="45"/>
      <c r="Y820" s="45"/>
      <c r="Z820" s="45"/>
      <c r="AA820" s="45"/>
      <c r="AB820" s="45"/>
      <c r="AC820" s="45"/>
      <c r="AD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90"/>
      <c r="X821" s="45"/>
      <c r="Y821" s="45"/>
      <c r="Z821" s="45"/>
      <c r="AA821" s="45"/>
      <c r="AB821" s="45"/>
      <c r="AC821" s="45"/>
      <c r="AD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90"/>
      <c r="X822" s="45"/>
      <c r="Y822" s="45"/>
      <c r="Z822" s="45"/>
      <c r="AA822" s="45"/>
      <c r="AB822" s="45"/>
      <c r="AC822" s="45"/>
      <c r="AD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90"/>
      <c r="X823" s="45"/>
      <c r="Y823" s="45"/>
      <c r="Z823" s="45"/>
      <c r="AA823" s="45"/>
      <c r="AB823" s="45"/>
      <c r="AC823" s="45"/>
      <c r="AD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90"/>
      <c r="X824" s="45"/>
      <c r="Y824" s="45"/>
      <c r="Z824" s="45"/>
      <c r="AA824" s="45"/>
      <c r="AB824" s="45"/>
      <c r="AC824" s="45"/>
      <c r="AD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90"/>
      <c r="X825" s="45"/>
      <c r="Y825" s="45"/>
      <c r="Z825" s="45"/>
      <c r="AA825" s="45"/>
      <c r="AB825" s="45"/>
      <c r="AC825" s="45"/>
      <c r="AD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90"/>
      <c r="X826" s="45"/>
      <c r="Y826" s="45"/>
      <c r="Z826" s="45"/>
      <c r="AA826" s="45"/>
      <c r="AB826" s="45"/>
      <c r="AC826" s="45"/>
      <c r="AD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90"/>
      <c r="X827" s="45"/>
      <c r="Y827" s="45"/>
      <c r="Z827" s="45"/>
      <c r="AA827" s="45"/>
      <c r="AB827" s="45"/>
      <c r="AC827" s="45"/>
      <c r="AD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90"/>
      <c r="X828" s="45"/>
      <c r="Y828" s="45"/>
      <c r="Z828" s="45"/>
      <c r="AA828" s="45"/>
      <c r="AB828" s="45"/>
      <c r="AC828" s="45"/>
      <c r="AD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90"/>
      <c r="X829" s="45"/>
      <c r="Y829" s="45"/>
      <c r="Z829" s="45"/>
      <c r="AA829" s="45"/>
      <c r="AB829" s="45"/>
      <c r="AC829" s="45"/>
      <c r="AD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90"/>
      <c r="X830" s="45"/>
      <c r="Y830" s="45"/>
      <c r="Z830" s="45"/>
      <c r="AA830" s="45"/>
      <c r="AB830" s="45"/>
      <c r="AC830" s="45"/>
      <c r="AD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90"/>
      <c r="X831" s="45"/>
      <c r="Y831" s="45"/>
      <c r="Z831" s="45"/>
      <c r="AA831" s="45"/>
      <c r="AB831" s="45"/>
      <c r="AC831" s="45"/>
      <c r="AD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90"/>
      <c r="X832" s="45"/>
      <c r="Y832" s="45"/>
      <c r="Z832" s="45"/>
      <c r="AA832" s="45"/>
      <c r="AB832" s="45"/>
      <c r="AC832" s="45"/>
      <c r="AD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90"/>
      <c r="X833" s="45"/>
      <c r="Y833" s="45"/>
      <c r="Z833" s="45"/>
      <c r="AA833" s="45"/>
      <c r="AB833" s="45"/>
      <c r="AC833" s="45"/>
      <c r="AD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90"/>
      <c r="X834" s="45"/>
      <c r="Y834" s="45"/>
      <c r="Z834" s="45"/>
      <c r="AA834" s="45"/>
      <c r="AB834" s="45"/>
      <c r="AC834" s="45"/>
      <c r="AD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90"/>
      <c r="X835" s="45"/>
      <c r="Y835" s="45"/>
      <c r="Z835" s="45"/>
      <c r="AA835" s="45"/>
      <c r="AB835" s="45"/>
      <c r="AC835" s="45"/>
      <c r="AD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90"/>
      <c r="X836" s="45"/>
      <c r="Y836" s="45"/>
      <c r="Z836" s="45"/>
      <c r="AA836" s="45"/>
      <c r="AB836" s="45"/>
      <c r="AC836" s="45"/>
      <c r="AD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90"/>
      <c r="X837" s="45"/>
      <c r="Y837" s="45"/>
      <c r="Z837" s="45"/>
      <c r="AA837" s="45"/>
      <c r="AB837" s="45"/>
      <c r="AC837" s="45"/>
      <c r="AD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90"/>
      <c r="X838" s="45"/>
      <c r="Y838" s="45"/>
      <c r="Z838" s="45"/>
      <c r="AA838" s="45"/>
      <c r="AB838" s="45"/>
      <c r="AC838" s="45"/>
      <c r="AD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90"/>
      <c r="X839" s="45"/>
      <c r="Y839" s="45"/>
      <c r="Z839" s="45"/>
      <c r="AA839" s="45"/>
      <c r="AB839" s="45"/>
      <c r="AC839" s="45"/>
      <c r="AD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90"/>
      <c r="X840" s="45"/>
      <c r="Y840" s="45"/>
      <c r="Z840" s="45"/>
      <c r="AA840" s="45"/>
      <c r="AB840" s="45"/>
      <c r="AC840" s="45"/>
      <c r="AD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90"/>
      <c r="X841" s="45"/>
      <c r="Y841" s="45"/>
      <c r="Z841" s="45"/>
      <c r="AA841" s="45"/>
      <c r="AB841" s="45"/>
      <c r="AC841" s="45"/>
      <c r="AD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90"/>
      <c r="X842" s="45"/>
      <c r="Y842" s="45"/>
      <c r="Z842" s="45"/>
      <c r="AA842" s="45"/>
      <c r="AB842" s="45"/>
      <c r="AC842" s="45"/>
      <c r="AD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90"/>
      <c r="X843" s="45"/>
      <c r="Y843" s="45"/>
      <c r="Z843" s="45"/>
      <c r="AA843" s="45"/>
      <c r="AB843" s="45"/>
      <c r="AC843" s="45"/>
      <c r="AD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90"/>
      <c r="X844" s="45"/>
      <c r="Y844" s="45"/>
      <c r="Z844" s="45"/>
      <c r="AA844" s="45"/>
      <c r="AB844" s="45"/>
      <c r="AC844" s="45"/>
      <c r="AD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90"/>
      <c r="X845" s="45"/>
      <c r="Y845" s="45"/>
      <c r="Z845" s="45"/>
      <c r="AA845" s="45"/>
      <c r="AB845" s="45"/>
      <c r="AC845" s="45"/>
      <c r="AD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90"/>
      <c r="X846" s="45"/>
      <c r="Y846" s="45"/>
      <c r="Z846" s="45"/>
      <c r="AA846" s="45"/>
      <c r="AB846" s="45"/>
      <c r="AC846" s="45"/>
      <c r="AD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90"/>
      <c r="X847" s="45"/>
      <c r="Y847" s="45"/>
      <c r="Z847" s="45"/>
      <c r="AA847" s="45"/>
      <c r="AB847" s="45"/>
      <c r="AC847" s="45"/>
      <c r="AD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90"/>
      <c r="X848" s="45"/>
      <c r="Y848" s="45"/>
      <c r="Z848" s="45"/>
      <c r="AA848" s="45"/>
      <c r="AB848" s="45"/>
      <c r="AC848" s="45"/>
      <c r="AD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90"/>
      <c r="X849" s="45"/>
      <c r="Y849" s="45"/>
      <c r="Z849" s="45"/>
      <c r="AA849" s="45"/>
      <c r="AB849" s="45"/>
      <c r="AC849" s="45"/>
      <c r="AD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90"/>
      <c r="X850" s="45"/>
      <c r="Y850" s="45"/>
      <c r="Z850" s="45"/>
      <c r="AA850" s="45"/>
      <c r="AB850" s="45"/>
      <c r="AC850" s="45"/>
      <c r="AD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90"/>
      <c r="X851" s="45"/>
      <c r="Y851" s="45"/>
      <c r="Z851" s="45"/>
      <c r="AA851" s="45"/>
      <c r="AB851" s="45"/>
      <c r="AC851" s="45"/>
      <c r="AD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90"/>
      <c r="X852" s="45"/>
      <c r="Y852" s="45"/>
      <c r="Z852" s="45"/>
      <c r="AA852" s="45"/>
      <c r="AB852" s="45"/>
      <c r="AC852" s="45"/>
      <c r="AD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90"/>
      <c r="X853" s="45"/>
      <c r="Y853" s="45"/>
      <c r="Z853" s="45"/>
      <c r="AA853" s="45"/>
      <c r="AB853" s="45"/>
      <c r="AC853" s="45"/>
      <c r="AD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90"/>
      <c r="X854" s="45"/>
      <c r="Y854" s="45"/>
      <c r="Z854" s="45"/>
      <c r="AA854" s="45"/>
      <c r="AB854" s="45"/>
      <c r="AC854" s="45"/>
      <c r="AD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90"/>
      <c r="X855" s="45"/>
      <c r="Y855" s="45"/>
      <c r="Z855" s="45"/>
      <c r="AA855" s="45"/>
      <c r="AB855" s="45"/>
      <c r="AC855" s="45"/>
      <c r="AD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90"/>
      <c r="X856" s="45"/>
      <c r="Y856" s="45"/>
      <c r="Z856" s="45"/>
      <c r="AA856" s="45"/>
      <c r="AB856" s="45"/>
      <c r="AC856" s="45"/>
      <c r="AD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90"/>
      <c r="X857" s="45"/>
      <c r="Y857" s="45"/>
      <c r="Z857" s="45"/>
      <c r="AA857" s="45"/>
      <c r="AB857" s="45"/>
      <c r="AC857" s="45"/>
      <c r="AD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90"/>
      <c r="X858" s="45"/>
      <c r="Y858" s="45"/>
      <c r="Z858" s="45"/>
      <c r="AA858" s="45"/>
      <c r="AB858" s="45"/>
      <c r="AC858" s="45"/>
      <c r="AD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90"/>
      <c r="X859" s="45"/>
      <c r="Y859" s="45"/>
      <c r="Z859" s="45"/>
      <c r="AA859" s="45"/>
      <c r="AB859" s="45"/>
      <c r="AC859" s="45"/>
      <c r="AD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90"/>
      <c r="X860" s="45"/>
      <c r="Y860" s="45"/>
      <c r="Z860" s="45"/>
      <c r="AA860" s="45"/>
      <c r="AB860" s="45"/>
      <c r="AC860" s="45"/>
      <c r="AD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90"/>
      <c r="X861" s="45"/>
      <c r="Y861" s="45"/>
      <c r="Z861" s="45"/>
      <c r="AA861" s="45"/>
      <c r="AB861" s="45"/>
      <c r="AC861" s="45"/>
      <c r="AD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90"/>
      <c r="X862" s="45"/>
      <c r="Y862" s="45"/>
      <c r="Z862" s="45"/>
      <c r="AA862" s="45"/>
      <c r="AB862" s="45"/>
      <c r="AC862" s="45"/>
      <c r="AD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90"/>
      <c r="X863" s="45"/>
      <c r="Y863" s="45"/>
      <c r="Z863" s="45"/>
      <c r="AA863" s="45"/>
      <c r="AB863" s="45"/>
      <c r="AC863" s="45"/>
      <c r="AD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90"/>
      <c r="X864" s="45"/>
      <c r="Y864" s="45"/>
      <c r="Z864" s="45"/>
      <c r="AA864" s="45"/>
      <c r="AB864" s="45"/>
      <c r="AC864" s="45"/>
      <c r="AD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90"/>
      <c r="X865" s="45"/>
      <c r="Y865" s="45"/>
      <c r="Z865" s="45"/>
      <c r="AA865" s="45"/>
      <c r="AB865" s="45"/>
      <c r="AC865" s="45"/>
      <c r="AD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90"/>
      <c r="X866" s="45"/>
      <c r="Y866" s="45"/>
      <c r="Z866" s="45"/>
      <c r="AA866" s="45"/>
      <c r="AB866" s="45"/>
      <c r="AC866" s="45"/>
      <c r="AD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90"/>
      <c r="X867" s="45"/>
      <c r="Y867" s="45"/>
      <c r="Z867" s="45"/>
      <c r="AA867" s="45"/>
      <c r="AB867" s="45"/>
      <c r="AC867" s="45"/>
      <c r="AD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90"/>
      <c r="X868" s="45"/>
      <c r="Y868" s="45"/>
      <c r="Z868" s="45"/>
      <c r="AA868" s="45"/>
      <c r="AB868" s="45"/>
      <c r="AC868" s="45"/>
      <c r="AD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90"/>
      <c r="X869" s="45"/>
      <c r="Y869" s="45"/>
      <c r="Z869" s="45"/>
      <c r="AA869" s="45"/>
      <c r="AB869" s="45"/>
      <c r="AC869" s="45"/>
      <c r="AD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90"/>
      <c r="X870" s="45"/>
      <c r="Y870" s="45"/>
      <c r="Z870" s="45"/>
      <c r="AA870" s="45"/>
      <c r="AB870" s="45"/>
      <c r="AC870" s="45"/>
      <c r="AD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90"/>
      <c r="X871" s="45"/>
      <c r="Y871" s="45"/>
      <c r="Z871" s="45"/>
      <c r="AA871" s="45"/>
      <c r="AB871" s="45"/>
      <c r="AC871" s="45"/>
      <c r="AD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90"/>
      <c r="X872" s="45"/>
      <c r="Y872" s="45"/>
      <c r="Z872" s="45"/>
      <c r="AA872" s="45"/>
      <c r="AB872" s="45"/>
      <c r="AC872" s="45"/>
      <c r="AD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90"/>
      <c r="X873" s="45"/>
      <c r="Y873" s="45"/>
      <c r="Z873" s="45"/>
      <c r="AA873" s="45"/>
      <c r="AB873" s="45"/>
      <c r="AC873" s="45"/>
      <c r="AD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90"/>
      <c r="X874" s="45"/>
      <c r="Y874" s="45"/>
      <c r="Z874" s="45"/>
      <c r="AA874" s="45"/>
      <c r="AB874" s="45"/>
      <c r="AC874" s="45"/>
      <c r="AD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90"/>
      <c r="X875" s="45"/>
      <c r="Y875" s="45"/>
      <c r="Z875" s="45"/>
      <c r="AA875" s="45"/>
      <c r="AB875" s="45"/>
      <c r="AC875" s="45"/>
      <c r="AD875" s="45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90"/>
      <c r="X876" s="45"/>
      <c r="Y876" s="45"/>
      <c r="Z876" s="45"/>
      <c r="AA876" s="45"/>
      <c r="AB876" s="45"/>
      <c r="AC876" s="45"/>
      <c r="AD876" s="45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90"/>
      <c r="X877" s="45"/>
      <c r="Y877" s="45"/>
      <c r="Z877" s="45"/>
      <c r="AA877" s="45"/>
      <c r="AB877" s="45"/>
      <c r="AC877" s="45"/>
      <c r="AD877" s="45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90"/>
      <c r="X878" s="45"/>
      <c r="Y878" s="45"/>
      <c r="Z878" s="45"/>
      <c r="AA878" s="45"/>
      <c r="AB878" s="45"/>
      <c r="AC878" s="45"/>
      <c r="AD878" s="45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90"/>
      <c r="X879" s="45"/>
      <c r="Y879" s="45"/>
      <c r="Z879" s="45"/>
      <c r="AA879" s="45"/>
      <c r="AB879" s="45"/>
      <c r="AC879" s="45"/>
      <c r="AD879" s="45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90"/>
      <c r="X880" s="45"/>
      <c r="Y880" s="45"/>
      <c r="Z880" s="45"/>
      <c r="AA880" s="45"/>
      <c r="AB880" s="45"/>
      <c r="AC880" s="45"/>
      <c r="AD880" s="45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90"/>
      <c r="X881" s="45"/>
      <c r="Y881" s="45"/>
      <c r="Z881" s="45"/>
      <c r="AA881" s="45"/>
      <c r="AB881" s="45"/>
      <c r="AC881" s="45"/>
      <c r="AD881" s="45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90"/>
      <c r="X882" s="45"/>
      <c r="Y882" s="45"/>
      <c r="Z882" s="45"/>
      <c r="AA882" s="45"/>
      <c r="AB882" s="45"/>
      <c r="AC882" s="45"/>
      <c r="AD882" s="45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90"/>
      <c r="X883" s="45"/>
      <c r="Y883" s="45"/>
      <c r="Z883" s="45"/>
      <c r="AA883" s="45"/>
      <c r="AB883" s="45"/>
      <c r="AC883" s="45"/>
      <c r="AD883" s="45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90"/>
      <c r="X884" s="45"/>
      <c r="Y884" s="45"/>
      <c r="Z884" s="45"/>
      <c r="AA884" s="45"/>
      <c r="AB884" s="45"/>
      <c r="AC884" s="45"/>
      <c r="AD884" s="45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90"/>
      <c r="X885" s="45"/>
      <c r="Y885" s="45"/>
      <c r="Z885" s="45"/>
      <c r="AA885" s="45"/>
      <c r="AB885" s="45"/>
      <c r="AC885" s="45"/>
      <c r="AD885" s="45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90"/>
      <c r="X886" s="45"/>
      <c r="Y886" s="45"/>
      <c r="Z886" s="45"/>
      <c r="AA886" s="45"/>
      <c r="AB886" s="45"/>
      <c r="AC886" s="45"/>
      <c r="AD886" s="45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90"/>
      <c r="X887" s="45"/>
      <c r="Y887" s="45"/>
      <c r="Z887" s="45"/>
      <c r="AA887" s="45"/>
      <c r="AB887" s="45"/>
      <c r="AC887" s="45"/>
      <c r="AD887" s="45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90"/>
      <c r="X888" s="45"/>
      <c r="Y888" s="45"/>
      <c r="Z888" s="45"/>
      <c r="AA888" s="45"/>
      <c r="AB888" s="45"/>
      <c r="AC888" s="45"/>
      <c r="AD888" s="45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90"/>
      <c r="X889" s="45"/>
      <c r="Y889" s="45"/>
      <c r="Z889" s="45"/>
      <c r="AA889" s="45"/>
      <c r="AB889" s="45"/>
      <c r="AC889" s="45"/>
      <c r="AD889" s="45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90"/>
      <c r="X890" s="45"/>
      <c r="Y890" s="45"/>
      <c r="Z890" s="45"/>
      <c r="AA890" s="45"/>
      <c r="AB890" s="45"/>
      <c r="AC890" s="45"/>
      <c r="AD890" s="45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90"/>
      <c r="X891" s="45"/>
      <c r="Y891" s="45"/>
      <c r="Z891" s="45"/>
      <c r="AA891" s="45"/>
      <c r="AB891" s="45"/>
      <c r="AC891" s="45"/>
      <c r="AD891" s="45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90"/>
      <c r="X892" s="45"/>
      <c r="Y892" s="45"/>
      <c r="Z892" s="45"/>
      <c r="AA892" s="45"/>
      <c r="AB892" s="45"/>
      <c r="AC892" s="45"/>
      <c r="AD892" s="45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90"/>
      <c r="X893" s="45"/>
      <c r="Y893" s="45"/>
      <c r="Z893" s="45"/>
      <c r="AA893" s="45"/>
      <c r="AB893" s="45"/>
      <c r="AC893" s="45"/>
      <c r="AD893" s="45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90"/>
      <c r="X894" s="45"/>
      <c r="Y894" s="45"/>
      <c r="Z894" s="45"/>
      <c r="AA894" s="45"/>
      <c r="AB894" s="45"/>
      <c r="AC894" s="45"/>
      <c r="AD894" s="45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90"/>
      <c r="X895" s="45"/>
      <c r="Y895" s="45"/>
      <c r="Z895" s="45"/>
      <c r="AA895" s="45"/>
      <c r="AB895" s="45"/>
      <c r="AC895" s="45"/>
      <c r="AD895" s="45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90"/>
      <c r="X896" s="45"/>
      <c r="Y896" s="45"/>
      <c r="Z896" s="45"/>
      <c r="AA896" s="45"/>
      <c r="AB896" s="45"/>
      <c r="AC896" s="45"/>
      <c r="AD896" s="45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90"/>
      <c r="X897" s="45"/>
      <c r="Y897" s="45"/>
      <c r="Z897" s="45"/>
      <c r="AA897" s="45"/>
      <c r="AB897" s="45"/>
      <c r="AC897" s="45"/>
      <c r="AD897" s="45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90"/>
      <c r="X898" s="45"/>
      <c r="Y898" s="45"/>
      <c r="Z898" s="45"/>
      <c r="AA898" s="45"/>
      <c r="AB898" s="45"/>
      <c r="AC898" s="45"/>
      <c r="AD898" s="45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90"/>
      <c r="X899" s="45"/>
      <c r="Y899" s="45"/>
      <c r="Z899" s="45"/>
      <c r="AA899" s="45"/>
      <c r="AB899" s="45"/>
      <c r="AC899" s="45"/>
      <c r="AD899" s="45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90"/>
      <c r="X900" s="45"/>
      <c r="Y900" s="45"/>
      <c r="Z900" s="45"/>
      <c r="AA900" s="45"/>
      <c r="AB900" s="45"/>
      <c r="AC900" s="45"/>
      <c r="AD900" s="45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90"/>
      <c r="X901" s="45"/>
      <c r="Y901" s="45"/>
      <c r="Z901" s="45"/>
      <c r="AA901" s="45"/>
      <c r="AB901" s="45"/>
      <c r="AC901" s="45"/>
      <c r="AD901" s="45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90"/>
      <c r="X902" s="45"/>
      <c r="Y902" s="45"/>
      <c r="Z902" s="45"/>
      <c r="AA902" s="45"/>
      <c r="AB902" s="45"/>
      <c r="AC902" s="45"/>
      <c r="AD902" s="45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90"/>
      <c r="X903" s="45"/>
      <c r="Y903" s="45"/>
      <c r="Z903" s="45"/>
      <c r="AA903" s="45"/>
      <c r="AB903" s="45"/>
      <c r="AC903" s="45"/>
      <c r="AD903" s="45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90"/>
      <c r="X904" s="45"/>
      <c r="Y904" s="45"/>
      <c r="Z904" s="45"/>
      <c r="AA904" s="45"/>
      <c r="AB904" s="45"/>
      <c r="AC904" s="45"/>
      <c r="AD904" s="45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90"/>
      <c r="X905" s="45"/>
      <c r="Y905" s="45"/>
      <c r="Z905" s="45"/>
      <c r="AA905" s="45"/>
      <c r="AB905" s="45"/>
      <c r="AC905" s="45"/>
      <c r="AD905" s="45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90"/>
      <c r="X906" s="45"/>
      <c r="Y906" s="45"/>
      <c r="Z906" s="45"/>
      <c r="AA906" s="45"/>
      <c r="AB906" s="45"/>
      <c r="AC906" s="45"/>
      <c r="AD906" s="45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90"/>
      <c r="X907" s="45"/>
      <c r="Y907" s="45"/>
      <c r="Z907" s="45"/>
      <c r="AA907" s="45"/>
      <c r="AB907" s="45"/>
      <c r="AC907" s="45"/>
      <c r="AD907" s="45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90"/>
      <c r="X908" s="45"/>
      <c r="Y908" s="45"/>
      <c r="Z908" s="45"/>
      <c r="AA908" s="45"/>
      <c r="AB908" s="45"/>
      <c r="AC908" s="45"/>
      <c r="AD908" s="45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90"/>
      <c r="X909" s="45"/>
      <c r="Y909" s="45"/>
      <c r="Z909" s="45"/>
      <c r="AA909" s="45"/>
      <c r="AB909" s="45"/>
      <c r="AC909" s="45"/>
      <c r="AD909" s="45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90"/>
      <c r="X910" s="45"/>
      <c r="Y910" s="45"/>
      <c r="Z910" s="45"/>
      <c r="AA910" s="45"/>
      <c r="AB910" s="45"/>
      <c r="AC910" s="45"/>
      <c r="AD910" s="45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90"/>
      <c r="X911" s="45"/>
      <c r="Y911" s="45"/>
      <c r="Z911" s="45"/>
      <c r="AA911" s="45"/>
      <c r="AB911" s="45"/>
      <c r="AC911" s="45"/>
      <c r="AD911" s="45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90"/>
      <c r="X912" s="45"/>
      <c r="Y912" s="45"/>
      <c r="Z912" s="45"/>
      <c r="AA912" s="45"/>
      <c r="AB912" s="45"/>
      <c r="AC912" s="45"/>
      <c r="AD912" s="45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90"/>
      <c r="X913" s="45"/>
      <c r="Y913" s="45"/>
      <c r="Z913" s="45"/>
      <c r="AA913" s="45"/>
      <c r="AB913" s="45"/>
      <c r="AC913" s="45"/>
      <c r="AD913" s="45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90"/>
      <c r="X914" s="45"/>
      <c r="Y914" s="45"/>
      <c r="Z914" s="45"/>
      <c r="AA914" s="45"/>
      <c r="AB914" s="45"/>
      <c r="AC914" s="45"/>
      <c r="AD914" s="45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90"/>
      <c r="X915" s="45"/>
      <c r="Y915" s="45"/>
      <c r="Z915" s="45"/>
      <c r="AA915" s="45"/>
      <c r="AB915" s="45"/>
      <c r="AC915" s="45"/>
      <c r="AD915" s="45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90"/>
      <c r="X916" s="45"/>
      <c r="Y916" s="45"/>
      <c r="Z916" s="45"/>
      <c r="AA916" s="45"/>
      <c r="AB916" s="45"/>
      <c r="AC916" s="45"/>
      <c r="AD916" s="45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90"/>
      <c r="X917" s="45"/>
      <c r="Y917" s="45"/>
      <c r="Z917" s="45"/>
      <c r="AA917" s="45"/>
      <c r="AB917" s="45"/>
      <c r="AC917" s="45"/>
      <c r="AD917" s="45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90"/>
      <c r="X918" s="45"/>
      <c r="Y918" s="45"/>
      <c r="Z918" s="45"/>
      <c r="AA918" s="45"/>
      <c r="AB918" s="45"/>
      <c r="AC918" s="45"/>
      <c r="AD918" s="45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90"/>
      <c r="X919" s="45"/>
      <c r="Y919" s="45"/>
      <c r="Z919" s="45"/>
      <c r="AA919" s="45"/>
      <c r="AB919" s="45"/>
      <c r="AC919" s="45"/>
      <c r="AD919" s="45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90"/>
      <c r="X920" s="45"/>
      <c r="Y920" s="45"/>
      <c r="Z920" s="45"/>
      <c r="AA920" s="45"/>
      <c r="AB920" s="45"/>
      <c r="AC920" s="45"/>
      <c r="AD920" s="45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90"/>
      <c r="X921" s="45"/>
      <c r="Y921" s="45"/>
      <c r="Z921" s="45"/>
      <c r="AA921" s="45"/>
      <c r="AB921" s="45"/>
      <c r="AC921" s="45"/>
      <c r="AD921" s="45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90"/>
      <c r="X922" s="45"/>
      <c r="Y922" s="45"/>
      <c r="Z922" s="45"/>
      <c r="AA922" s="45"/>
      <c r="AB922" s="45"/>
      <c r="AC922" s="45"/>
      <c r="AD922" s="45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90"/>
      <c r="X923" s="45"/>
      <c r="Y923" s="45"/>
      <c r="Z923" s="45"/>
      <c r="AA923" s="45"/>
      <c r="AB923" s="45"/>
      <c r="AC923" s="45"/>
      <c r="AD923" s="45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90"/>
      <c r="X924" s="45"/>
      <c r="Y924" s="45"/>
      <c r="Z924" s="45"/>
      <c r="AA924" s="45"/>
      <c r="AB924" s="45"/>
      <c r="AC924" s="45"/>
      <c r="AD924" s="45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90"/>
      <c r="X925" s="45"/>
      <c r="Y925" s="45"/>
      <c r="Z925" s="45"/>
      <c r="AA925" s="45"/>
      <c r="AB925" s="45"/>
      <c r="AC925" s="45"/>
      <c r="AD925" s="45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90"/>
      <c r="X926" s="45"/>
      <c r="Y926" s="45"/>
      <c r="Z926" s="45"/>
      <c r="AA926" s="45"/>
      <c r="AB926" s="45"/>
      <c r="AC926" s="45"/>
      <c r="AD926" s="45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90"/>
      <c r="X927" s="45"/>
      <c r="Y927" s="45"/>
      <c r="Z927" s="45"/>
      <c r="AA927" s="45"/>
      <c r="AB927" s="45"/>
      <c r="AC927" s="45"/>
      <c r="AD927" s="45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90"/>
      <c r="X928" s="45"/>
      <c r="Y928" s="45"/>
      <c r="Z928" s="45"/>
      <c r="AA928" s="45"/>
      <c r="AB928" s="45"/>
      <c r="AC928" s="45"/>
      <c r="AD928" s="45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90"/>
      <c r="X929" s="45"/>
      <c r="Y929" s="45"/>
      <c r="Z929" s="45"/>
      <c r="AA929" s="45"/>
      <c r="AB929" s="45"/>
      <c r="AC929" s="45"/>
      <c r="AD929" s="45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90"/>
      <c r="X930" s="45"/>
      <c r="Y930" s="45"/>
      <c r="Z930" s="45"/>
      <c r="AA930" s="45"/>
      <c r="AB930" s="45"/>
      <c r="AC930" s="45"/>
      <c r="AD930" s="45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90"/>
      <c r="X931" s="45"/>
      <c r="Y931" s="45"/>
      <c r="Z931" s="45"/>
      <c r="AA931" s="45"/>
      <c r="AB931" s="45"/>
      <c r="AC931" s="45"/>
      <c r="AD931" s="45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90"/>
      <c r="X932" s="45"/>
      <c r="Y932" s="45"/>
      <c r="Z932" s="45"/>
      <c r="AA932" s="45"/>
      <c r="AB932" s="45"/>
      <c r="AC932" s="45"/>
      <c r="AD932" s="45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90"/>
      <c r="X933" s="45"/>
      <c r="Y933" s="45"/>
      <c r="Z933" s="45"/>
      <c r="AA933" s="45"/>
      <c r="AB933" s="45"/>
      <c r="AC933" s="45"/>
      <c r="AD933" s="45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90"/>
      <c r="X934" s="45"/>
      <c r="Y934" s="45"/>
      <c r="Z934" s="45"/>
      <c r="AA934" s="45"/>
      <c r="AB934" s="45"/>
      <c r="AC934" s="45"/>
      <c r="AD934" s="45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90"/>
      <c r="X935" s="45"/>
      <c r="Y935" s="45"/>
      <c r="Z935" s="45"/>
      <c r="AA935" s="45"/>
      <c r="AB935" s="45"/>
      <c r="AC935" s="45"/>
      <c r="AD935" s="45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90"/>
      <c r="X936" s="45"/>
      <c r="Y936" s="45"/>
      <c r="Z936" s="45"/>
      <c r="AA936" s="45"/>
      <c r="AB936" s="45"/>
      <c r="AC936" s="45"/>
      <c r="AD936" s="45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90"/>
      <c r="X937" s="45"/>
      <c r="Y937" s="45"/>
      <c r="Z937" s="45"/>
      <c r="AA937" s="45"/>
      <c r="AB937" s="45"/>
      <c r="AC937" s="45"/>
      <c r="AD937" s="45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90"/>
      <c r="X938" s="45"/>
      <c r="Y938" s="45"/>
      <c r="Z938" s="45"/>
      <c r="AA938" s="45"/>
      <c r="AB938" s="45"/>
      <c r="AC938" s="45"/>
      <c r="AD938" s="45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90"/>
      <c r="X939" s="45"/>
      <c r="Y939" s="45"/>
      <c r="Z939" s="45"/>
      <c r="AA939" s="45"/>
      <c r="AB939" s="45"/>
      <c r="AC939" s="45"/>
      <c r="AD939" s="45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90"/>
      <c r="X940" s="45"/>
      <c r="Y940" s="45"/>
      <c r="Z940" s="45"/>
      <c r="AA940" s="45"/>
      <c r="AB940" s="45"/>
      <c r="AC940" s="45"/>
      <c r="AD940" s="45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90"/>
      <c r="X941" s="45"/>
      <c r="Y941" s="45"/>
      <c r="Z941" s="45"/>
      <c r="AA941" s="45"/>
      <c r="AB941" s="45"/>
      <c r="AC941" s="45"/>
      <c r="AD941" s="45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90"/>
      <c r="X942" s="45"/>
      <c r="Y942" s="45"/>
      <c r="Z942" s="45"/>
      <c r="AA942" s="45"/>
      <c r="AB942" s="45"/>
      <c r="AC942" s="45"/>
      <c r="AD942" s="45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90"/>
      <c r="X943" s="45"/>
      <c r="Y943" s="45"/>
      <c r="Z943" s="45"/>
      <c r="AA943" s="45"/>
      <c r="AB943" s="45"/>
      <c r="AC943" s="45"/>
      <c r="AD943" s="45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90"/>
      <c r="X944" s="45"/>
      <c r="Y944" s="45"/>
      <c r="Z944" s="45"/>
      <c r="AA944" s="45"/>
      <c r="AB944" s="45"/>
      <c r="AC944" s="45"/>
      <c r="AD944" s="45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90"/>
      <c r="X945" s="45"/>
      <c r="Y945" s="45"/>
      <c r="Z945" s="45"/>
      <c r="AA945" s="45"/>
      <c r="AB945" s="45"/>
      <c r="AC945" s="45"/>
      <c r="AD945" s="45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90"/>
      <c r="X946" s="45"/>
      <c r="Y946" s="45"/>
      <c r="Z946" s="45"/>
      <c r="AA946" s="45"/>
      <c r="AB946" s="45"/>
      <c r="AC946" s="45"/>
      <c r="AD946" s="45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90"/>
      <c r="X947" s="45"/>
      <c r="Y947" s="45"/>
      <c r="Z947" s="45"/>
      <c r="AA947" s="45"/>
      <c r="AB947" s="45"/>
      <c r="AC947" s="45"/>
      <c r="AD947" s="45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90"/>
      <c r="X948" s="45"/>
      <c r="Y948" s="45"/>
      <c r="Z948" s="45"/>
      <c r="AA948" s="45"/>
      <c r="AB948" s="45"/>
      <c r="AC948" s="45"/>
      <c r="AD948" s="45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90"/>
      <c r="X949" s="45"/>
      <c r="Y949" s="45"/>
      <c r="Z949" s="45"/>
      <c r="AA949" s="45"/>
      <c r="AB949" s="45"/>
      <c r="AC949" s="45"/>
      <c r="AD949" s="45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90"/>
      <c r="X950" s="45"/>
      <c r="Y950" s="45"/>
      <c r="Z950" s="45"/>
      <c r="AA950" s="45"/>
      <c r="AB950" s="45"/>
      <c r="AC950" s="45"/>
      <c r="AD950" s="45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90"/>
      <c r="X951" s="45"/>
      <c r="Y951" s="45"/>
      <c r="Z951" s="45"/>
      <c r="AA951" s="45"/>
      <c r="AB951" s="45"/>
      <c r="AC951" s="45"/>
      <c r="AD951" s="45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90"/>
      <c r="X952" s="45"/>
      <c r="Y952" s="45"/>
      <c r="Z952" s="45"/>
      <c r="AA952" s="45"/>
      <c r="AB952" s="45"/>
      <c r="AC952" s="45"/>
      <c r="AD952" s="45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90"/>
      <c r="X953" s="45"/>
      <c r="Y953" s="45"/>
      <c r="Z953" s="45"/>
      <c r="AA953" s="45"/>
      <c r="AB953" s="45"/>
      <c r="AC953" s="45"/>
      <c r="AD953" s="45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90"/>
      <c r="X954" s="45"/>
      <c r="Y954" s="45"/>
      <c r="Z954" s="45"/>
      <c r="AA954" s="45"/>
      <c r="AB954" s="45"/>
      <c r="AC954" s="45"/>
      <c r="AD954" s="45"/>
    </row>
    <row r="955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90"/>
      <c r="X955" s="45"/>
      <c r="Y955" s="45"/>
      <c r="Z955" s="45"/>
      <c r="AA955" s="45"/>
      <c r="AB955" s="45"/>
      <c r="AC955" s="45"/>
      <c r="AD955" s="45"/>
    </row>
    <row r="956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90"/>
      <c r="X956" s="45"/>
      <c r="Y956" s="45"/>
      <c r="Z956" s="45"/>
      <c r="AA956" s="45"/>
      <c r="AB956" s="45"/>
      <c r="AC956" s="45"/>
      <c r="AD956" s="45"/>
    </row>
    <row r="957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90"/>
      <c r="X957" s="45"/>
      <c r="Y957" s="45"/>
      <c r="Z957" s="45"/>
      <c r="AA957" s="45"/>
      <c r="AB957" s="45"/>
      <c r="AC957" s="45"/>
      <c r="AD957" s="45"/>
    </row>
    <row r="958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90"/>
      <c r="X958" s="45"/>
      <c r="Y958" s="45"/>
      <c r="Z958" s="45"/>
      <c r="AA958" s="45"/>
      <c r="AB958" s="45"/>
      <c r="AC958" s="45"/>
      <c r="AD958" s="45"/>
    </row>
    <row r="959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90"/>
      <c r="X959" s="45"/>
      <c r="Y959" s="45"/>
      <c r="Z959" s="45"/>
      <c r="AA959" s="45"/>
      <c r="AB959" s="45"/>
      <c r="AC959" s="45"/>
      <c r="AD959" s="45"/>
    </row>
    <row r="960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90"/>
      <c r="X960" s="45"/>
      <c r="Y960" s="45"/>
      <c r="Z960" s="45"/>
      <c r="AA960" s="45"/>
      <c r="AB960" s="45"/>
      <c r="AC960" s="45"/>
      <c r="AD960" s="45"/>
    </row>
    <row r="961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90"/>
      <c r="X961" s="45"/>
      <c r="Y961" s="45"/>
      <c r="Z961" s="45"/>
      <c r="AA961" s="45"/>
      <c r="AB961" s="45"/>
      <c r="AC961" s="45"/>
      <c r="AD961" s="45"/>
    </row>
    <row r="962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90"/>
      <c r="X962" s="45"/>
      <c r="Y962" s="45"/>
      <c r="Z962" s="45"/>
      <c r="AA962" s="45"/>
      <c r="AB962" s="45"/>
      <c r="AC962" s="45"/>
      <c r="AD962" s="45"/>
    </row>
    <row r="963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90"/>
      <c r="X963" s="45"/>
      <c r="Y963" s="45"/>
      <c r="Z963" s="45"/>
      <c r="AA963" s="45"/>
      <c r="AB963" s="45"/>
      <c r="AC963" s="45"/>
      <c r="AD963" s="45"/>
    </row>
    <row r="964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90"/>
      <c r="X964" s="45"/>
      <c r="Y964" s="45"/>
      <c r="Z964" s="45"/>
      <c r="AA964" s="45"/>
      <c r="AB964" s="45"/>
      <c r="AC964" s="45"/>
      <c r="AD964" s="45"/>
    </row>
    <row r="965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90"/>
      <c r="X965" s="45"/>
      <c r="Y965" s="45"/>
      <c r="Z965" s="45"/>
      <c r="AA965" s="45"/>
      <c r="AB965" s="45"/>
      <c r="AC965" s="45"/>
      <c r="AD965" s="45"/>
    </row>
    <row r="966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90"/>
      <c r="X966" s="45"/>
      <c r="Y966" s="45"/>
      <c r="Z966" s="45"/>
      <c r="AA966" s="45"/>
      <c r="AB966" s="45"/>
      <c r="AC966" s="45"/>
      <c r="AD966" s="45"/>
    </row>
    <row r="967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90"/>
      <c r="X967" s="45"/>
      <c r="Y967" s="45"/>
      <c r="Z967" s="45"/>
      <c r="AA967" s="45"/>
      <c r="AB967" s="45"/>
      <c r="AC967" s="45"/>
      <c r="AD967" s="45"/>
    </row>
    <row r="968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90"/>
      <c r="X968" s="45"/>
      <c r="Y968" s="45"/>
      <c r="Z968" s="45"/>
      <c r="AA968" s="45"/>
      <c r="AB968" s="45"/>
      <c r="AC968" s="45"/>
      <c r="AD968" s="45"/>
    </row>
    <row r="969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90"/>
      <c r="X969" s="45"/>
      <c r="Y969" s="45"/>
      <c r="Z969" s="45"/>
      <c r="AA969" s="45"/>
      <c r="AB969" s="45"/>
      <c r="AC969" s="45"/>
      <c r="AD969" s="45"/>
    </row>
    <row r="970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90"/>
      <c r="X970" s="45"/>
      <c r="Y970" s="45"/>
      <c r="Z970" s="45"/>
      <c r="AA970" s="45"/>
      <c r="AB970" s="45"/>
      <c r="AC970" s="45"/>
      <c r="AD970" s="45"/>
    </row>
    <row r="971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90"/>
      <c r="X971" s="45"/>
      <c r="Y971" s="45"/>
      <c r="Z971" s="45"/>
      <c r="AA971" s="45"/>
      <c r="AB971" s="45"/>
      <c r="AC971" s="45"/>
      <c r="AD971" s="45"/>
    </row>
    <row r="972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90"/>
      <c r="X972" s="45"/>
      <c r="Y972" s="45"/>
      <c r="Z972" s="45"/>
      <c r="AA972" s="45"/>
      <c r="AB972" s="45"/>
      <c r="AC972" s="45"/>
      <c r="AD972" s="45"/>
    </row>
    <row r="973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90"/>
      <c r="X973" s="45"/>
      <c r="Y973" s="45"/>
      <c r="Z973" s="45"/>
      <c r="AA973" s="45"/>
      <c r="AB973" s="45"/>
      <c r="AC973" s="45"/>
      <c r="AD973" s="45"/>
    </row>
    <row r="974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90"/>
      <c r="X974" s="45"/>
      <c r="Y974" s="45"/>
      <c r="Z974" s="45"/>
      <c r="AA974" s="45"/>
      <c r="AB974" s="45"/>
      <c r="AC974" s="45"/>
      <c r="AD974" s="45"/>
    </row>
    <row r="975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90"/>
      <c r="X975" s="45"/>
      <c r="Y975" s="45"/>
      <c r="Z975" s="45"/>
      <c r="AA975" s="45"/>
      <c r="AB975" s="45"/>
      <c r="AC975" s="45"/>
      <c r="AD975" s="45"/>
    </row>
    <row r="976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90"/>
      <c r="X976" s="45"/>
      <c r="Y976" s="45"/>
      <c r="Z976" s="45"/>
      <c r="AA976" s="45"/>
      <c r="AB976" s="45"/>
      <c r="AC976" s="45"/>
      <c r="AD976" s="45"/>
    </row>
    <row r="977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90"/>
      <c r="X977" s="45"/>
      <c r="Y977" s="45"/>
      <c r="Z977" s="45"/>
      <c r="AA977" s="45"/>
      <c r="AB977" s="45"/>
      <c r="AC977" s="45"/>
      <c r="AD977" s="45"/>
    </row>
    <row r="978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90"/>
      <c r="X978" s="45"/>
      <c r="Y978" s="45"/>
      <c r="Z978" s="45"/>
      <c r="AA978" s="45"/>
      <c r="AB978" s="45"/>
      <c r="AC978" s="45"/>
      <c r="AD978" s="45"/>
    </row>
    <row r="979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90"/>
      <c r="X979" s="45"/>
      <c r="Y979" s="45"/>
      <c r="Z979" s="45"/>
      <c r="AA979" s="45"/>
      <c r="AB979" s="45"/>
      <c r="AC979" s="45"/>
      <c r="AD979" s="45"/>
    </row>
    <row r="980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90"/>
      <c r="X980" s="45"/>
      <c r="Y980" s="45"/>
      <c r="Z980" s="45"/>
      <c r="AA980" s="45"/>
      <c r="AB980" s="45"/>
      <c r="AC980" s="45"/>
      <c r="AD980" s="45"/>
    </row>
    <row r="981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90"/>
      <c r="X981" s="45"/>
      <c r="Y981" s="45"/>
      <c r="Z981" s="45"/>
      <c r="AA981" s="45"/>
      <c r="AB981" s="45"/>
      <c r="AC981" s="45"/>
      <c r="AD981" s="45"/>
    </row>
    <row r="982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90"/>
      <c r="X982" s="45"/>
      <c r="Y982" s="45"/>
      <c r="Z982" s="45"/>
      <c r="AA982" s="45"/>
      <c r="AB982" s="45"/>
      <c r="AC982" s="45"/>
      <c r="AD982" s="45"/>
    </row>
    <row r="983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90"/>
      <c r="X983" s="45"/>
      <c r="Y983" s="45"/>
      <c r="Z983" s="45"/>
      <c r="AA983" s="45"/>
      <c r="AB983" s="45"/>
      <c r="AC983" s="45"/>
      <c r="AD983" s="45"/>
    </row>
    <row r="984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90"/>
      <c r="X984" s="45"/>
      <c r="Y984" s="45"/>
      <c r="Z984" s="45"/>
      <c r="AA984" s="45"/>
      <c r="AB984" s="45"/>
      <c r="AC984" s="45"/>
      <c r="AD984" s="45"/>
    </row>
    <row r="985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90"/>
      <c r="X985" s="45"/>
      <c r="Y985" s="45"/>
      <c r="Z985" s="45"/>
      <c r="AA985" s="45"/>
      <c r="AB985" s="45"/>
      <c r="AC985" s="45"/>
      <c r="AD985" s="45"/>
    </row>
    <row r="986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90"/>
      <c r="X986" s="45"/>
      <c r="Y986" s="45"/>
      <c r="Z986" s="45"/>
      <c r="AA986" s="45"/>
      <c r="AB986" s="45"/>
      <c r="AC986" s="45"/>
      <c r="AD986" s="45"/>
    </row>
    <row r="987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90"/>
      <c r="X987" s="45"/>
      <c r="Y987" s="45"/>
      <c r="Z987" s="45"/>
      <c r="AA987" s="45"/>
      <c r="AB987" s="45"/>
      <c r="AC987" s="45"/>
      <c r="AD987" s="45"/>
    </row>
    <row r="988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90"/>
      <c r="X988" s="45"/>
      <c r="Y988" s="45"/>
      <c r="Z988" s="45"/>
      <c r="AA988" s="45"/>
      <c r="AB988" s="45"/>
      <c r="AC988" s="45"/>
      <c r="AD988" s="45"/>
    </row>
    <row r="989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90"/>
      <c r="X989" s="45"/>
      <c r="Y989" s="45"/>
      <c r="Z989" s="45"/>
      <c r="AA989" s="45"/>
      <c r="AB989" s="45"/>
      <c r="AC989" s="45"/>
      <c r="AD989" s="45"/>
    </row>
    <row r="990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90"/>
      <c r="X990" s="45"/>
      <c r="Y990" s="45"/>
      <c r="Z990" s="45"/>
      <c r="AA990" s="45"/>
      <c r="AB990" s="45"/>
      <c r="AC990" s="45"/>
      <c r="AD990" s="45"/>
    </row>
    <row r="991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90"/>
      <c r="X991" s="45"/>
      <c r="Y991" s="45"/>
      <c r="Z991" s="45"/>
      <c r="AA991" s="45"/>
      <c r="AB991" s="45"/>
      <c r="AC991" s="45"/>
      <c r="AD991" s="45"/>
    </row>
    <row r="992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90"/>
      <c r="X992" s="45"/>
      <c r="Y992" s="45"/>
      <c r="Z992" s="45"/>
      <c r="AA992" s="45"/>
      <c r="AB992" s="45"/>
      <c r="AC992" s="45"/>
      <c r="AD992" s="45"/>
    </row>
    <row r="993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90"/>
      <c r="X993" s="45"/>
      <c r="Y993" s="45"/>
      <c r="Z993" s="45"/>
      <c r="AA993" s="45"/>
      <c r="AB993" s="45"/>
      <c r="AC993" s="45"/>
      <c r="AD993" s="45"/>
    </row>
    <row r="994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90"/>
      <c r="X994" s="45"/>
      <c r="Y994" s="45"/>
      <c r="Z994" s="45"/>
      <c r="AA994" s="45"/>
      <c r="AB994" s="45"/>
      <c r="AC994" s="45"/>
      <c r="AD994" s="45"/>
    </row>
    <row r="995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90"/>
      <c r="X995" s="45"/>
      <c r="Y995" s="45"/>
      <c r="Z995" s="45"/>
      <c r="AA995" s="45"/>
      <c r="AB995" s="45"/>
      <c r="AC995" s="45"/>
      <c r="AD995" s="45"/>
    </row>
    <row r="996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90"/>
      <c r="X996" s="45"/>
      <c r="Y996" s="45"/>
      <c r="Z996" s="45"/>
      <c r="AA996" s="45"/>
      <c r="AB996" s="45"/>
      <c r="AC996" s="45"/>
      <c r="AD996" s="45"/>
    </row>
    <row r="997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90"/>
      <c r="X997" s="45"/>
      <c r="Y997" s="45"/>
      <c r="Z997" s="45"/>
      <c r="AA997" s="45"/>
      <c r="AB997" s="45"/>
      <c r="AC997" s="45"/>
      <c r="AD997" s="45"/>
    </row>
    <row r="998" ht="15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90"/>
      <c r="X998" s="45"/>
      <c r="Y998" s="45"/>
      <c r="Z998" s="45"/>
      <c r="AA998" s="45"/>
      <c r="AB998" s="45"/>
      <c r="AC998" s="45"/>
      <c r="AD998" s="45"/>
    </row>
    <row r="999" ht="15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90"/>
      <c r="X999" s="45"/>
      <c r="Y999" s="45"/>
      <c r="Z999" s="45"/>
      <c r="AA999" s="45"/>
      <c r="AB999" s="45"/>
      <c r="AC999" s="45"/>
      <c r="AD999" s="45"/>
    </row>
  </sheetData>
  <mergeCells count="1">
    <mergeCell ref="A1:W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12.75"/>
    <col customWidth="1" min="3" max="3" width="9.13"/>
    <col customWidth="1" min="4" max="4" width="8.63"/>
    <col customWidth="1" min="5" max="5" width="6.0"/>
    <col customWidth="1" min="6" max="6" width="11.75"/>
    <col customWidth="1" min="7" max="7" width="10.75"/>
    <col customWidth="1" min="8" max="8" width="12.0"/>
    <col customWidth="1" min="9" max="26" width="10.63"/>
  </cols>
  <sheetData>
    <row r="1" ht="12.75" customHeight="1">
      <c r="A1" s="99" t="s">
        <v>228</v>
      </c>
    </row>
    <row r="2" ht="12.75" customHeight="1">
      <c r="A2" s="100" t="s">
        <v>229</v>
      </c>
    </row>
    <row r="3" ht="12.75" customHeight="1">
      <c r="A3" s="101" t="s">
        <v>230</v>
      </c>
    </row>
    <row r="4" ht="12.75" customHeight="1">
      <c r="A4" s="102" t="s">
        <v>231</v>
      </c>
    </row>
    <row r="5" ht="12.75" customHeight="1"/>
    <row r="6" ht="12.75" customHeight="1">
      <c r="A6" s="103" t="s">
        <v>1</v>
      </c>
      <c r="B6" s="103" t="s">
        <v>232</v>
      </c>
      <c r="C6" s="103" t="s">
        <v>104</v>
      </c>
      <c r="D6" s="103" t="s">
        <v>233</v>
      </c>
      <c r="E6" s="103" t="s">
        <v>234</v>
      </c>
      <c r="F6" s="103" t="s">
        <v>235</v>
      </c>
      <c r="G6" s="103" t="s">
        <v>236</v>
      </c>
      <c r="H6" s="103" t="s">
        <v>237</v>
      </c>
    </row>
    <row r="7" ht="12.75" customHeight="1">
      <c r="A7" s="104" t="s">
        <v>238</v>
      </c>
      <c r="B7" s="104" t="s">
        <v>239</v>
      </c>
      <c r="C7" s="104" t="s">
        <v>240</v>
      </c>
      <c r="D7" s="104">
        <v>1.0</v>
      </c>
      <c r="E7" s="104">
        <v>600.0</v>
      </c>
      <c r="F7" s="105">
        <v>30320.0</v>
      </c>
      <c r="G7" s="105">
        <v>942.91</v>
      </c>
      <c r="H7" s="105">
        <v>29377.0</v>
      </c>
    </row>
    <row r="8" ht="12.75" customHeight="1">
      <c r="A8" s="104" t="s">
        <v>238</v>
      </c>
      <c r="B8" s="104" t="s">
        <v>241</v>
      </c>
      <c r="C8" s="104" t="s">
        <v>240</v>
      </c>
      <c r="D8" s="104">
        <v>1.0</v>
      </c>
      <c r="E8" s="104">
        <v>504.0</v>
      </c>
      <c r="F8" s="105">
        <v>25470.0</v>
      </c>
      <c r="G8" s="105">
        <v>1309.1</v>
      </c>
      <c r="H8" s="105">
        <v>24161.0</v>
      </c>
    </row>
    <row r="9" ht="12.75" customHeight="1">
      <c r="A9" s="104" t="s">
        <v>242</v>
      </c>
      <c r="B9" s="104" t="s">
        <v>243</v>
      </c>
      <c r="C9" s="104" t="s">
        <v>240</v>
      </c>
      <c r="D9" s="104">
        <v>1.0</v>
      </c>
      <c r="E9" s="104">
        <v>600.0</v>
      </c>
      <c r="F9" s="105">
        <v>30190.0</v>
      </c>
      <c r="G9" s="105">
        <v>1301.15</v>
      </c>
      <c r="H9" s="105">
        <v>28889.0</v>
      </c>
    </row>
    <row r="10" ht="12.75" customHeight="1">
      <c r="A10" s="104" t="s">
        <v>242</v>
      </c>
      <c r="B10" s="104" t="s">
        <v>244</v>
      </c>
      <c r="C10" s="104" t="s">
        <v>240</v>
      </c>
      <c r="D10" s="104">
        <v>1.0</v>
      </c>
      <c r="E10" s="104">
        <v>600.0</v>
      </c>
      <c r="F10" s="105">
        <v>30230.0</v>
      </c>
      <c r="G10" s="105">
        <v>876.63</v>
      </c>
      <c r="H10" s="105">
        <v>29353.0</v>
      </c>
    </row>
    <row r="11" ht="12.75" customHeight="1">
      <c r="A11" s="104" t="s">
        <v>242</v>
      </c>
      <c r="B11" s="104" t="s">
        <v>245</v>
      </c>
      <c r="C11" s="104" t="s">
        <v>240</v>
      </c>
      <c r="D11" s="104">
        <v>1.0</v>
      </c>
      <c r="E11" s="104">
        <v>300.0</v>
      </c>
      <c r="F11" s="105">
        <v>15170.0</v>
      </c>
      <c r="G11" s="105">
        <v>782.74</v>
      </c>
      <c r="H11" s="105">
        <v>14387.0</v>
      </c>
    </row>
    <row r="12" ht="12.75" customHeight="1">
      <c r="A12" s="104" t="s">
        <v>246</v>
      </c>
      <c r="B12" s="104" t="s">
        <v>247</v>
      </c>
      <c r="C12" s="104" t="s">
        <v>240</v>
      </c>
      <c r="D12" s="104">
        <v>1.0</v>
      </c>
      <c r="E12" s="104">
        <v>600.0</v>
      </c>
      <c r="F12" s="105">
        <v>29970.0</v>
      </c>
      <c r="G12" s="105">
        <v>857.14</v>
      </c>
      <c r="H12" s="105">
        <v>29113.0</v>
      </c>
    </row>
    <row r="13" ht="12.75" customHeight="1">
      <c r="A13" s="104" t="s">
        <v>246</v>
      </c>
      <c r="B13" s="104" t="s">
        <v>248</v>
      </c>
      <c r="C13" s="104" t="s">
        <v>240</v>
      </c>
      <c r="D13" s="104">
        <v>1.0</v>
      </c>
      <c r="E13" s="104">
        <v>600.0</v>
      </c>
      <c r="F13" s="105">
        <v>30040.0</v>
      </c>
      <c r="G13" s="105">
        <v>420.52</v>
      </c>
      <c r="H13" s="105">
        <v>29619.0</v>
      </c>
    </row>
    <row r="14" ht="12.75" customHeight="1">
      <c r="A14" s="104" t="s">
        <v>246</v>
      </c>
      <c r="B14" s="104" t="s">
        <v>249</v>
      </c>
      <c r="C14" s="104" t="s">
        <v>240</v>
      </c>
      <c r="D14" s="104">
        <v>1.0</v>
      </c>
      <c r="E14" s="104">
        <v>600.0</v>
      </c>
      <c r="F14" s="105">
        <v>30460.0</v>
      </c>
      <c r="G14" s="105">
        <v>590.88</v>
      </c>
      <c r="H14" s="105">
        <v>29869.0</v>
      </c>
    </row>
    <row r="15" ht="12.75" customHeight="1">
      <c r="A15" s="104" t="s">
        <v>250</v>
      </c>
      <c r="B15" s="104" t="s">
        <v>251</v>
      </c>
      <c r="C15" s="104" t="s">
        <v>240</v>
      </c>
      <c r="D15" s="104">
        <v>1.0</v>
      </c>
      <c r="E15" s="104">
        <v>600.0</v>
      </c>
      <c r="F15" s="105">
        <v>29850.0</v>
      </c>
      <c r="G15" s="105">
        <v>2334.24</v>
      </c>
      <c r="H15" s="105">
        <v>27516.0</v>
      </c>
    </row>
    <row r="16" ht="12.75" customHeight="1">
      <c r="A16" s="104" t="s">
        <v>250</v>
      </c>
      <c r="B16" s="104" t="s">
        <v>252</v>
      </c>
      <c r="C16" s="104" t="s">
        <v>240</v>
      </c>
      <c r="D16" s="104">
        <v>1.0</v>
      </c>
      <c r="E16" s="104">
        <v>600.0</v>
      </c>
      <c r="F16" s="105">
        <v>30480.0</v>
      </c>
      <c r="G16" s="105">
        <v>746.72</v>
      </c>
      <c r="H16" s="105">
        <v>29733.0</v>
      </c>
    </row>
    <row r="17" ht="12.75" customHeight="1">
      <c r="A17" s="104" t="s">
        <v>250</v>
      </c>
      <c r="B17" s="104" t="s">
        <v>253</v>
      </c>
      <c r="C17" s="104" t="s">
        <v>240</v>
      </c>
      <c r="D17" s="104">
        <v>1.0</v>
      </c>
      <c r="E17" s="104">
        <v>600.0</v>
      </c>
      <c r="F17" s="105">
        <v>30220.0</v>
      </c>
      <c r="G17" s="105">
        <v>1680.26</v>
      </c>
      <c r="H17" s="105">
        <v>28540.0</v>
      </c>
    </row>
    <row r="18" ht="12.75" customHeight="1">
      <c r="A18" s="104" t="s">
        <v>254</v>
      </c>
      <c r="B18" s="104" t="s">
        <v>255</v>
      </c>
      <c r="C18" s="104" t="s">
        <v>240</v>
      </c>
      <c r="D18" s="104">
        <v>1.0</v>
      </c>
      <c r="E18" s="104">
        <v>600.0</v>
      </c>
      <c r="F18" s="105">
        <v>30570.0</v>
      </c>
      <c r="G18" s="105">
        <v>388.23</v>
      </c>
      <c r="H18" s="105">
        <v>30182.0</v>
      </c>
    </row>
    <row r="19" ht="12.75" customHeight="1">
      <c r="A19" s="104" t="s">
        <v>254</v>
      </c>
      <c r="B19" s="104" t="s">
        <v>256</v>
      </c>
      <c r="C19" s="104" t="s">
        <v>240</v>
      </c>
      <c r="D19" s="104">
        <v>1.0</v>
      </c>
      <c r="E19" s="104">
        <v>600.0</v>
      </c>
      <c r="F19" s="105">
        <v>30470.0</v>
      </c>
      <c r="G19" s="105">
        <v>1197.42</v>
      </c>
      <c r="H19" s="105">
        <v>29273.0</v>
      </c>
    </row>
    <row r="20" ht="12.75" customHeight="1">
      <c r="A20" s="104" t="s">
        <v>254</v>
      </c>
      <c r="B20" s="104" t="s">
        <v>257</v>
      </c>
      <c r="C20" s="104" t="s">
        <v>240</v>
      </c>
      <c r="D20" s="104">
        <v>1.0</v>
      </c>
      <c r="E20" s="104">
        <v>600.0</v>
      </c>
      <c r="F20" s="105">
        <v>30380.0</v>
      </c>
      <c r="G20" s="105">
        <v>941.76</v>
      </c>
      <c r="H20" s="105">
        <v>29438.0</v>
      </c>
    </row>
    <row r="21" ht="12.75" customHeight="1">
      <c r="A21" s="104" t="s">
        <v>258</v>
      </c>
      <c r="B21" s="104" t="s">
        <v>259</v>
      </c>
      <c r="C21" s="104" t="s">
        <v>240</v>
      </c>
      <c r="D21" s="104">
        <v>1.0</v>
      </c>
      <c r="E21" s="104">
        <v>600.0</v>
      </c>
      <c r="F21" s="105">
        <v>30270.0</v>
      </c>
      <c r="G21" s="105">
        <v>1713.26</v>
      </c>
      <c r="H21" s="105">
        <v>28557.0</v>
      </c>
    </row>
    <row r="22" ht="12.75" customHeight="1">
      <c r="A22" s="104" t="s">
        <v>258</v>
      </c>
      <c r="B22" s="104" t="s">
        <v>260</v>
      </c>
      <c r="C22" s="104" t="s">
        <v>240</v>
      </c>
      <c r="D22" s="104">
        <v>1.0</v>
      </c>
      <c r="E22" s="104">
        <v>600.0</v>
      </c>
      <c r="F22" s="105">
        <v>30020.0</v>
      </c>
      <c r="G22" s="105">
        <v>1230.79</v>
      </c>
      <c r="H22" s="105">
        <v>28789.0</v>
      </c>
    </row>
    <row r="23" ht="12.75" customHeight="1">
      <c r="A23" s="104" t="s">
        <v>258</v>
      </c>
      <c r="B23" s="104" t="s">
        <v>261</v>
      </c>
      <c r="C23" s="104" t="s">
        <v>240</v>
      </c>
      <c r="D23" s="104">
        <v>1.0</v>
      </c>
      <c r="E23" s="104">
        <v>600.0</v>
      </c>
      <c r="F23" s="105">
        <v>30250.0</v>
      </c>
      <c r="G23" s="105">
        <v>807.69</v>
      </c>
      <c r="H23" s="105">
        <v>29442.0</v>
      </c>
    </row>
    <row r="24" ht="12.75" customHeight="1">
      <c r="A24" s="104" t="s">
        <v>262</v>
      </c>
      <c r="B24" s="104" t="s">
        <v>263</v>
      </c>
      <c r="C24" s="104" t="s">
        <v>240</v>
      </c>
      <c r="D24" s="104">
        <v>1.0</v>
      </c>
      <c r="E24" s="104">
        <v>163.0</v>
      </c>
      <c r="F24" s="105">
        <v>8280.0</v>
      </c>
      <c r="G24" s="105">
        <v>380.08</v>
      </c>
      <c r="H24" s="105">
        <v>7900.0</v>
      </c>
    </row>
    <row r="25" ht="12.75" customHeight="1">
      <c r="A25" s="104" t="s">
        <v>262</v>
      </c>
      <c r="B25" s="104" t="s">
        <v>264</v>
      </c>
      <c r="C25" s="104" t="s">
        <v>240</v>
      </c>
      <c r="D25" s="104">
        <v>1.0</v>
      </c>
      <c r="E25" s="104">
        <v>600.0</v>
      </c>
      <c r="F25" s="105">
        <v>30220.0</v>
      </c>
      <c r="G25" s="105">
        <v>876.35</v>
      </c>
      <c r="H25" s="105">
        <v>29344.0</v>
      </c>
    </row>
    <row r="26" ht="12.75" customHeight="1">
      <c r="A26" s="104" t="s">
        <v>262</v>
      </c>
      <c r="B26" s="104" t="s">
        <v>265</v>
      </c>
      <c r="C26" s="104" t="s">
        <v>240</v>
      </c>
      <c r="D26" s="104">
        <v>1.0</v>
      </c>
      <c r="E26" s="104">
        <v>288.0</v>
      </c>
      <c r="F26" s="105">
        <v>13950.0</v>
      </c>
      <c r="G26" s="105">
        <v>525.92</v>
      </c>
      <c r="H26" s="105">
        <v>13424.0</v>
      </c>
    </row>
    <row r="27" ht="12.75" customHeight="1">
      <c r="A27" s="104" t="s">
        <v>266</v>
      </c>
      <c r="B27" s="104" t="s">
        <v>267</v>
      </c>
      <c r="C27" s="104" t="s">
        <v>240</v>
      </c>
      <c r="D27" s="104">
        <v>1.0</v>
      </c>
      <c r="E27" s="104">
        <v>600.0</v>
      </c>
      <c r="F27" s="105">
        <v>30920.0</v>
      </c>
      <c r="G27" s="105">
        <v>1372.82</v>
      </c>
      <c r="H27" s="105">
        <v>29547.0</v>
      </c>
    </row>
    <row r="28" ht="12.75" customHeight="1">
      <c r="A28" s="104" t="s">
        <v>266</v>
      </c>
      <c r="B28" s="104" t="s">
        <v>268</v>
      </c>
      <c r="C28" s="104" t="s">
        <v>240</v>
      </c>
      <c r="D28" s="104">
        <v>1.0</v>
      </c>
      <c r="E28" s="104">
        <v>615.0</v>
      </c>
      <c r="F28" s="105">
        <v>30940.0</v>
      </c>
      <c r="G28" s="105">
        <v>1113.8</v>
      </c>
      <c r="H28" s="105">
        <v>29826.0</v>
      </c>
    </row>
    <row r="29" ht="12.75" customHeight="1">
      <c r="A29" s="104" t="s">
        <v>269</v>
      </c>
      <c r="B29" s="104" t="s">
        <v>270</v>
      </c>
      <c r="C29" s="104" t="s">
        <v>240</v>
      </c>
      <c r="D29" s="104">
        <v>1.0</v>
      </c>
      <c r="E29" s="104">
        <v>600.0</v>
      </c>
      <c r="F29" s="105">
        <v>31030.0</v>
      </c>
      <c r="G29" s="105">
        <v>1272.2</v>
      </c>
      <c r="H29" s="105">
        <v>29758.0</v>
      </c>
    </row>
    <row r="30" ht="12.75" customHeight="1">
      <c r="A30" s="104" t="s">
        <v>269</v>
      </c>
      <c r="B30" s="104" t="s">
        <v>271</v>
      </c>
      <c r="C30" s="104" t="s">
        <v>240</v>
      </c>
      <c r="D30" s="104">
        <v>1.0</v>
      </c>
      <c r="E30" s="104">
        <v>600.0</v>
      </c>
      <c r="F30" s="105">
        <v>31500.0</v>
      </c>
      <c r="G30" s="105">
        <v>1165.47</v>
      </c>
      <c r="H30" s="105">
        <v>30335.0</v>
      </c>
    </row>
    <row r="31" ht="12.75" customHeight="1">
      <c r="A31" s="104" t="s">
        <v>269</v>
      </c>
      <c r="B31" s="104" t="s">
        <v>272</v>
      </c>
      <c r="C31" s="104" t="s">
        <v>240</v>
      </c>
      <c r="D31" s="104">
        <v>1.0</v>
      </c>
      <c r="E31" s="104">
        <v>600.0</v>
      </c>
      <c r="F31" s="105">
        <v>30240.0</v>
      </c>
      <c r="G31" s="105">
        <v>1179.36</v>
      </c>
      <c r="H31" s="105">
        <v>29061.0</v>
      </c>
    </row>
    <row r="32" ht="12.75" customHeight="1">
      <c r="A32" s="104" t="s">
        <v>269</v>
      </c>
      <c r="B32" s="104" t="s">
        <v>273</v>
      </c>
      <c r="C32" s="104" t="s">
        <v>240</v>
      </c>
      <c r="D32" s="104">
        <v>1.0</v>
      </c>
      <c r="E32" s="104">
        <v>600.0</v>
      </c>
      <c r="F32" s="105">
        <v>30870.0</v>
      </c>
      <c r="G32" s="105">
        <v>1219.37</v>
      </c>
      <c r="H32" s="105">
        <v>29651.0</v>
      </c>
    </row>
    <row r="33" ht="12.75" customHeight="1">
      <c r="A33" s="104" t="s">
        <v>269</v>
      </c>
      <c r="B33" s="104" t="s">
        <v>274</v>
      </c>
      <c r="C33" s="104" t="s">
        <v>240</v>
      </c>
      <c r="D33" s="104">
        <v>1.0</v>
      </c>
      <c r="E33" s="104">
        <v>600.0</v>
      </c>
      <c r="F33" s="105">
        <v>30040.0</v>
      </c>
      <c r="G33" s="105">
        <v>1216.62</v>
      </c>
      <c r="H33" s="105">
        <v>28823.0</v>
      </c>
    </row>
    <row r="34" ht="12.75" customHeight="1">
      <c r="A34" s="104" t="s">
        <v>269</v>
      </c>
      <c r="B34" s="104" t="s">
        <v>275</v>
      </c>
      <c r="C34" s="104" t="s">
        <v>240</v>
      </c>
      <c r="D34" s="104">
        <v>1.0</v>
      </c>
      <c r="E34" s="104">
        <v>356.0</v>
      </c>
      <c r="F34" s="105">
        <v>28040.0</v>
      </c>
      <c r="G34" s="105">
        <v>1065.48</v>
      </c>
      <c r="H34" s="105">
        <v>26975.0</v>
      </c>
    </row>
    <row r="35" ht="12.75" customHeight="1">
      <c r="A35" s="104" t="s">
        <v>276</v>
      </c>
      <c r="B35" s="104" t="s">
        <v>277</v>
      </c>
      <c r="C35" s="104" t="s">
        <v>240</v>
      </c>
      <c r="D35" s="104">
        <v>1.0</v>
      </c>
      <c r="E35" s="104">
        <v>600.0</v>
      </c>
      <c r="F35" s="105">
        <v>32110.0</v>
      </c>
      <c r="G35" s="105">
        <v>1139.91</v>
      </c>
      <c r="H35" s="105">
        <v>30970.0</v>
      </c>
    </row>
    <row r="36" ht="12.75" customHeight="1">
      <c r="A36" s="104" t="s">
        <v>276</v>
      </c>
      <c r="B36" s="104" t="s">
        <v>278</v>
      </c>
      <c r="C36" s="104" t="s">
        <v>240</v>
      </c>
      <c r="D36" s="104">
        <v>1.0</v>
      </c>
      <c r="E36" s="104">
        <v>600.0</v>
      </c>
      <c r="F36" s="105">
        <v>30410.0</v>
      </c>
      <c r="G36" s="105">
        <v>842.36</v>
      </c>
      <c r="H36" s="105">
        <v>29568.0</v>
      </c>
    </row>
    <row r="37" ht="12.75" customHeight="1">
      <c r="A37" s="104" t="s">
        <v>276</v>
      </c>
      <c r="B37" s="104" t="s">
        <v>279</v>
      </c>
      <c r="C37" s="104" t="s">
        <v>240</v>
      </c>
      <c r="D37" s="104">
        <v>1.0</v>
      </c>
      <c r="E37" s="104">
        <v>600.0</v>
      </c>
      <c r="F37" s="105">
        <v>30550.0</v>
      </c>
      <c r="G37" s="105">
        <v>1108.93</v>
      </c>
      <c r="H37" s="105">
        <v>29441.0</v>
      </c>
    </row>
    <row r="38" ht="12.75" customHeight="1">
      <c r="A38" s="104" t="s">
        <v>280</v>
      </c>
      <c r="B38" s="104" t="s">
        <v>281</v>
      </c>
      <c r="C38" s="104" t="s">
        <v>240</v>
      </c>
      <c r="D38" s="104">
        <v>1.0</v>
      </c>
      <c r="E38" s="104">
        <v>168.0</v>
      </c>
      <c r="F38" s="105">
        <v>8320.0</v>
      </c>
      <c r="G38" s="105">
        <v>332.8</v>
      </c>
      <c r="H38" s="105">
        <v>7987.0</v>
      </c>
    </row>
    <row r="39" ht="12.75" customHeight="1">
      <c r="A39" s="104" t="s">
        <v>282</v>
      </c>
      <c r="B39" s="104" t="s">
        <v>283</v>
      </c>
      <c r="C39" s="104" t="s">
        <v>240</v>
      </c>
      <c r="D39" s="104">
        <v>1.0</v>
      </c>
      <c r="E39" s="104">
        <v>300.0</v>
      </c>
      <c r="F39" s="105">
        <v>15270.0</v>
      </c>
      <c r="G39" s="105">
        <v>442.83</v>
      </c>
      <c r="H39" s="105">
        <v>14827.0</v>
      </c>
    </row>
    <row r="40" ht="12.75" customHeight="1">
      <c r="A40" s="104" t="s">
        <v>282</v>
      </c>
      <c r="B40" s="104" t="s">
        <v>284</v>
      </c>
      <c r="C40" s="104" t="s">
        <v>240</v>
      </c>
      <c r="D40" s="104">
        <v>1.0</v>
      </c>
      <c r="E40" s="104">
        <v>600.0</v>
      </c>
      <c r="F40" s="105">
        <v>30610.0</v>
      </c>
      <c r="G40" s="105">
        <v>1255.01</v>
      </c>
      <c r="H40" s="105">
        <v>29355.0</v>
      </c>
    </row>
    <row r="41" ht="12.75" customHeight="1">
      <c r="A41" s="104" t="s">
        <v>285</v>
      </c>
      <c r="B41" s="104" t="s">
        <v>286</v>
      </c>
      <c r="C41" s="104" t="s">
        <v>240</v>
      </c>
      <c r="D41" s="104">
        <v>1.0</v>
      </c>
      <c r="E41" s="104">
        <v>354.0</v>
      </c>
      <c r="F41" s="105">
        <v>17790.0</v>
      </c>
      <c r="G41" s="105">
        <v>640.44</v>
      </c>
      <c r="H41" s="105">
        <v>17150.0</v>
      </c>
    </row>
    <row r="42" ht="12.75" customHeight="1">
      <c r="A42" s="104" t="s">
        <v>285</v>
      </c>
      <c r="B42" s="104" t="s">
        <v>287</v>
      </c>
      <c r="C42" s="104" t="s">
        <v>240</v>
      </c>
      <c r="D42" s="104">
        <v>1.0</v>
      </c>
      <c r="E42" s="104">
        <v>595.0</v>
      </c>
      <c r="F42" s="105">
        <v>30920.0</v>
      </c>
      <c r="G42" s="105">
        <v>1595.47</v>
      </c>
      <c r="H42" s="105">
        <v>29325.0</v>
      </c>
    </row>
    <row r="43" ht="12.75" customHeight="1">
      <c r="A43" s="104" t="s">
        <v>285</v>
      </c>
      <c r="B43" s="104" t="s">
        <v>288</v>
      </c>
      <c r="C43" s="104" t="s">
        <v>240</v>
      </c>
      <c r="D43" s="104">
        <v>1.0</v>
      </c>
      <c r="E43" s="104">
        <v>600.0</v>
      </c>
      <c r="F43" s="105">
        <v>29760.0</v>
      </c>
      <c r="G43" s="105">
        <v>925.56</v>
      </c>
      <c r="H43" s="105">
        <v>28834.0</v>
      </c>
    </row>
    <row r="44" ht="12.75" customHeight="1">
      <c r="A44" s="104" t="s">
        <v>285</v>
      </c>
      <c r="B44" s="104" t="s">
        <v>289</v>
      </c>
      <c r="C44" s="104" t="s">
        <v>240</v>
      </c>
      <c r="D44" s="104">
        <v>1.0</v>
      </c>
      <c r="E44" s="104">
        <v>600.0</v>
      </c>
      <c r="F44" s="105">
        <v>30430.0</v>
      </c>
      <c r="G44" s="105">
        <v>1351.05</v>
      </c>
      <c r="H44" s="105">
        <v>29079.0</v>
      </c>
    </row>
    <row r="45" ht="12.75" customHeight="1">
      <c r="A45" s="104" t="s">
        <v>285</v>
      </c>
      <c r="B45" s="104" t="s">
        <v>290</v>
      </c>
      <c r="C45" s="104" t="s">
        <v>240</v>
      </c>
      <c r="D45" s="104">
        <v>1.0</v>
      </c>
      <c r="E45" s="104">
        <v>272.0</v>
      </c>
      <c r="F45" s="105">
        <v>12800.0</v>
      </c>
      <c r="G45" s="105">
        <v>587.52</v>
      </c>
      <c r="H45" s="105">
        <v>12212.0</v>
      </c>
    </row>
    <row r="46" ht="12.75" customHeight="1">
      <c r="A46" s="104" t="s">
        <v>291</v>
      </c>
      <c r="B46" s="104" t="s">
        <v>292</v>
      </c>
      <c r="C46" s="104" t="s">
        <v>240</v>
      </c>
      <c r="D46" s="104">
        <v>1.0</v>
      </c>
      <c r="E46" s="104">
        <v>538.0</v>
      </c>
      <c r="F46" s="105">
        <v>27440.0</v>
      </c>
      <c r="G46" s="105">
        <v>532.3</v>
      </c>
      <c r="H46" s="105">
        <v>26908.0</v>
      </c>
    </row>
    <row r="47" ht="12.75" customHeight="1">
      <c r="A47" s="104" t="s">
        <v>291</v>
      </c>
      <c r="B47" s="104" t="s">
        <v>293</v>
      </c>
      <c r="C47" s="104" t="s">
        <v>240</v>
      </c>
      <c r="D47" s="104">
        <v>1.0</v>
      </c>
      <c r="E47" s="104">
        <v>600.0</v>
      </c>
      <c r="F47" s="105">
        <v>30990.0</v>
      </c>
      <c r="G47" s="105">
        <v>1723.0</v>
      </c>
      <c r="H47" s="105">
        <v>29267.0</v>
      </c>
    </row>
    <row r="48" ht="12.75" customHeight="1">
      <c r="A48" s="104" t="s">
        <v>291</v>
      </c>
      <c r="B48" s="104" t="s">
        <v>294</v>
      </c>
      <c r="C48" s="104" t="s">
        <v>240</v>
      </c>
      <c r="D48" s="104">
        <v>1.0</v>
      </c>
      <c r="E48" s="104">
        <v>600.0</v>
      </c>
      <c r="F48" s="105">
        <v>30690.0</v>
      </c>
      <c r="G48" s="105">
        <v>1212.2</v>
      </c>
      <c r="H48" s="105">
        <v>29478.0</v>
      </c>
    </row>
    <row r="49" ht="12.75" customHeight="1">
      <c r="A49" s="104" t="s">
        <v>291</v>
      </c>
      <c r="B49" s="104" t="s">
        <v>295</v>
      </c>
      <c r="C49" s="104" t="s">
        <v>240</v>
      </c>
      <c r="D49" s="104">
        <v>1.0</v>
      </c>
      <c r="E49" s="104">
        <v>600.0</v>
      </c>
      <c r="F49" s="105">
        <v>30470.0</v>
      </c>
      <c r="G49" s="105">
        <v>1249.28</v>
      </c>
      <c r="H49" s="105">
        <v>29221.0</v>
      </c>
    </row>
    <row r="50" ht="12.75" customHeight="1">
      <c r="A50" s="104" t="s">
        <v>296</v>
      </c>
      <c r="B50" s="104" t="s">
        <v>297</v>
      </c>
      <c r="C50" s="104" t="s">
        <v>240</v>
      </c>
      <c r="D50" s="104">
        <v>1.0</v>
      </c>
      <c r="E50" s="104">
        <v>600.0</v>
      </c>
      <c r="F50" s="105">
        <v>30590.0</v>
      </c>
      <c r="G50" s="105">
        <v>428.22</v>
      </c>
      <c r="H50" s="105">
        <v>30162.0</v>
      </c>
    </row>
    <row r="51" ht="12.75" customHeight="1">
      <c r="A51" s="104" t="s">
        <v>296</v>
      </c>
      <c r="B51" s="104" t="s">
        <v>298</v>
      </c>
      <c r="C51" s="104" t="s">
        <v>240</v>
      </c>
      <c r="D51" s="104">
        <v>1.0</v>
      </c>
      <c r="E51" s="104">
        <v>600.0</v>
      </c>
      <c r="F51" s="105">
        <v>31000.0</v>
      </c>
      <c r="G51" s="105">
        <v>759.45</v>
      </c>
      <c r="H51" s="105">
        <v>30241.0</v>
      </c>
    </row>
    <row r="52" ht="12.75" customHeight="1">
      <c r="A52" s="104" t="s">
        <v>296</v>
      </c>
      <c r="B52" s="104" t="s">
        <v>299</v>
      </c>
      <c r="C52" s="104" t="s">
        <v>240</v>
      </c>
      <c r="D52" s="104">
        <v>1.0</v>
      </c>
      <c r="E52" s="104">
        <v>600.0</v>
      </c>
      <c r="F52" s="105">
        <v>30950.0</v>
      </c>
      <c r="G52" s="105">
        <v>433.27</v>
      </c>
      <c r="H52" s="105">
        <v>30517.0</v>
      </c>
    </row>
    <row r="53" ht="12.75" customHeight="1">
      <c r="A53" s="104" t="s">
        <v>296</v>
      </c>
      <c r="B53" s="104" t="s">
        <v>300</v>
      </c>
      <c r="C53" s="104" t="s">
        <v>240</v>
      </c>
      <c r="D53" s="104">
        <v>1.0</v>
      </c>
      <c r="E53" s="104">
        <v>186.0</v>
      </c>
      <c r="F53" s="105">
        <v>9482.0</v>
      </c>
      <c r="G53" s="105">
        <v>379.15</v>
      </c>
      <c r="H53" s="105">
        <v>9103.0</v>
      </c>
    </row>
    <row r="54" ht="12.75" customHeight="1">
      <c r="A54" s="104" t="s">
        <v>296</v>
      </c>
      <c r="B54" s="104" t="s">
        <v>300</v>
      </c>
      <c r="C54" s="104" t="s">
        <v>240</v>
      </c>
      <c r="D54" s="104">
        <v>3.0</v>
      </c>
      <c r="E54" s="104">
        <v>414.0</v>
      </c>
      <c r="F54" s="105">
        <v>21108.0</v>
      </c>
      <c r="G54" s="105">
        <v>844.37</v>
      </c>
      <c r="H54" s="105">
        <v>20264.0</v>
      </c>
    </row>
    <row r="55" ht="12.75" customHeight="1">
      <c r="A55" s="104" t="s">
        <v>296</v>
      </c>
      <c r="B55" s="104" t="s">
        <v>301</v>
      </c>
      <c r="C55" s="104" t="s">
        <v>240</v>
      </c>
      <c r="D55" s="104">
        <v>3.0</v>
      </c>
      <c r="E55" s="104">
        <v>601.0</v>
      </c>
      <c r="F55" s="105">
        <v>30590.0</v>
      </c>
      <c r="G55" s="105">
        <v>847.34</v>
      </c>
      <c r="H55" s="105">
        <v>29743.0</v>
      </c>
    </row>
    <row r="56" ht="12.75" customHeight="1">
      <c r="A56" s="104" t="s">
        <v>296</v>
      </c>
      <c r="B56" s="104" t="s">
        <v>302</v>
      </c>
      <c r="C56" s="104" t="s">
        <v>240</v>
      </c>
      <c r="D56" s="104">
        <v>3.0</v>
      </c>
      <c r="E56" s="104">
        <v>523.0</v>
      </c>
      <c r="F56" s="105">
        <v>27220.0</v>
      </c>
      <c r="G56" s="105">
        <v>843.8</v>
      </c>
      <c r="H56" s="105">
        <v>26376.0</v>
      </c>
    </row>
    <row r="57" ht="12.75" customHeight="1">
      <c r="A57" s="104" t="s">
        <v>303</v>
      </c>
      <c r="B57" s="104" t="s">
        <v>304</v>
      </c>
      <c r="C57" s="104" t="s">
        <v>240</v>
      </c>
      <c r="D57" s="104">
        <v>3.0</v>
      </c>
      <c r="E57" s="104">
        <v>600.0</v>
      </c>
      <c r="F57" s="105">
        <v>31260.0</v>
      </c>
      <c r="G57" s="105">
        <v>1406.7</v>
      </c>
      <c r="H57" s="105">
        <v>29853.0</v>
      </c>
    </row>
    <row r="58" ht="12.75" customHeight="1">
      <c r="A58" s="104" t="s">
        <v>303</v>
      </c>
      <c r="B58" s="104" t="s">
        <v>305</v>
      </c>
      <c r="C58" s="104" t="s">
        <v>240</v>
      </c>
      <c r="D58" s="104">
        <v>3.0</v>
      </c>
      <c r="E58" s="104">
        <v>600.0</v>
      </c>
      <c r="F58" s="105">
        <v>31080.0</v>
      </c>
      <c r="G58" s="105">
        <v>248.64</v>
      </c>
      <c r="H58" s="105">
        <v>30831.0</v>
      </c>
    </row>
    <row r="59" ht="12.75" customHeight="1">
      <c r="A59" s="104" t="s">
        <v>303</v>
      </c>
      <c r="B59" s="104" t="s">
        <v>306</v>
      </c>
      <c r="C59" s="104" t="s">
        <v>240</v>
      </c>
      <c r="D59" s="104">
        <v>3.0</v>
      </c>
      <c r="E59" s="104">
        <v>569.0</v>
      </c>
      <c r="F59" s="105">
        <v>28920.0</v>
      </c>
      <c r="G59" s="105">
        <v>838.65</v>
      </c>
      <c r="H59" s="105">
        <v>28081.0</v>
      </c>
    </row>
    <row r="60" ht="12.75" customHeight="1">
      <c r="A60" s="104" t="s">
        <v>307</v>
      </c>
      <c r="B60" s="104" t="s">
        <v>308</v>
      </c>
      <c r="C60" s="104" t="s">
        <v>240</v>
      </c>
      <c r="D60" s="104">
        <v>3.0</v>
      </c>
      <c r="E60" s="104">
        <v>600.0</v>
      </c>
      <c r="F60" s="105">
        <v>31200.0</v>
      </c>
      <c r="G60" s="105">
        <v>842.38</v>
      </c>
      <c r="H60" s="105">
        <v>30358.0</v>
      </c>
    </row>
    <row r="61" ht="12.75" customHeight="1">
      <c r="A61" s="104" t="s">
        <v>307</v>
      </c>
      <c r="B61" s="104" t="s">
        <v>309</v>
      </c>
      <c r="C61" s="104" t="s">
        <v>240</v>
      </c>
      <c r="D61" s="104">
        <v>3.0</v>
      </c>
      <c r="E61" s="104">
        <v>600.0</v>
      </c>
      <c r="F61" s="105">
        <v>30800.0</v>
      </c>
      <c r="G61" s="105">
        <v>770.0</v>
      </c>
      <c r="H61" s="105">
        <v>30030.0</v>
      </c>
    </row>
    <row r="62" ht="12.75" customHeight="1">
      <c r="A62" s="104" t="s">
        <v>307</v>
      </c>
      <c r="B62" s="104" t="s">
        <v>310</v>
      </c>
      <c r="C62" s="104" t="s">
        <v>240</v>
      </c>
      <c r="D62" s="104">
        <v>3.0</v>
      </c>
      <c r="E62" s="104">
        <v>540.0</v>
      </c>
      <c r="F62" s="105">
        <v>27580.0</v>
      </c>
      <c r="G62" s="105">
        <v>1075.6</v>
      </c>
      <c r="H62" s="105">
        <v>26504.0</v>
      </c>
    </row>
    <row r="63" ht="12.75" customHeight="1">
      <c r="A63" s="104" t="s">
        <v>307</v>
      </c>
      <c r="B63" s="104" t="s">
        <v>311</v>
      </c>
      <c r="C63" s="104" t="s">
        <v>240</v>
      </c>
      <c r="D63" s="104">
        <v>3.0</v>
      </c>
      <c r="E63" s="104">
        <v>172.0</v>
      </c>
      <c r="F63" s="105">
        <v>8780.0</v>
      </c>
      <c r="G63" s="105">
        <v>359.98</v>
      </c>
      <c r="H63" s="105">
        <v>8420.0</v>
      </c>
    </row>
    <row r="64" ht="12.75" customHeight="1">
      <c r="A64" s="104" t="s">
        <v>312</v>
      </c>
      <c r="B64" s="104" t="s">
        <v>313</v>
      </c>
      <c r="C64" s="104" t="s">
        <v>240</v>
      </c>
      <c r="D64" s="104">
        <v>3.0</v>
      </c>
      <c r="E64" s="104">
        <v>603.0</v>
      </c>
      <c r="F64" s="105">
        <v>31300.0</v>
      </c>
      <c r="G64" s="105">
        <v>948.39</v>
      </c>
      <c r="H64" s="105">
        <v>30352.0</v>
      </c>
    </row>
    <row r="65" ht="12.75" customHeight="1">
      <c r="A65" s="104" t="s">
        <v>312</v>
      </c>
      <c r="B65" s="104" t="s">
        <v>314</v>
      </c>
      <c r="C65" s="104" t="s">
        <v>240</v>
      </c>
      <c r="D65" s="104">
        <v>3.0</v>
      </c>
      <c r="E65" s="104">
        <v>600.0</v>
      </c>
      <c r="F65" s="105">
        <v>30920.0</v>
      </c>
      <c r="G65" s="105">
        <v>578.2</v>
      </c>
      <c r="H65" s="105">
        <v>30342.0</v>
      </c>
    </row>
    <row r="66" ht="12.75" customHeight="1">
      <c r="A66" s="104" t="s">
        <v>312</v>
      </c>
      <c r="B66" s="104" t="s">
        <v>315</v>
      </c>
      <c r="C66" s="104" t="s">
        <v>240</v>
      </c>
      <c r="D66" s="104">
        <v>3.0</v>
      </c>
      <c r="E66" s="104">
        <v>600.0</v>
      </c>
      <c r="F66" s="105">
        <v>31380.0</v>
      </c>
      <c r="G66" s="105">
        <v>837.85</v>
      </c>
      <c r="H66" s="105">
        <v>30542.0</v>
      </c>
    </row>
    <row r="67" ht="12.75" customHeight="1">
      <c r="A67" s="104" t="s">
        <v>312</v>
      </c>
      <c r="B67" s="104" t="s">
        <v>316</v>
      </c>
      <c r="C67" s="104" t="s">
        <v>240</v>
      </c>
      <c r="D67" s="104">
        <v>3.0</v>
      </c>
      <c r="E67" s="104">
        <v>600.0</v>
      </c>
      <c r="F67" s="105">
        <v>31040.0</v>
      </c>
      <c r="G67" s="105">
        <v>512.12</v>
      </c>
      <c r="H67" s="105">
        <v>30528.0</v>
      </c>
    </row>
    <row r="68" ht="12.75" customHeight="1">
      <c r="A68" s="104" t="s">
        <v>312</v>
      </c>
      <c r="B68" s="104" t="s">
        <v>317</v>
      </c>
      <c r="C68" s="104" t="s">
        <v>240</v>
      </c>
      <c r="D68" s="104">
        <v>3.0</v>
      </c>
      <c r="E68" s="104">
        <v>604.0</v>
      </c>
      <c r="F68" s="105">
        <v>31270.0</v>
      </c>
      <c r="G68" s="105">
        <v>422.12</v>
      </c>
      <c r="H68" s="105">
        <v>30848.0</v>
      </c>
    </row>
    <row r="69" ht="12.75" customHeight="1">
      <c r="A69" s="104" t="s">
        <v>318</v>
      </c>
      <c r="B69" s="104" t="s">
        <v>319</v>
      </c>
      <c r="C69" s="104" t="s">
        <v>240</v>
      </c>
      <c r="D69" s="104">
        <v>3.0</v>
      </c>
      <c r="E69" s="104">
        <v>568.0</v>
      </c>
      <c r="F69" s="105">
        <v>29730.0</v>
      </c>
      <c r="G69" s="105">
        <v>481.58</v>
      </c>
      <c r="H69" s="105">
        <v>29248.0</v>
      </c>
    </row>
    <row r="70" ht="12.75" customHeight="1">
      <c r="A70" s="104" t="s">
        <v>318</v>
      </c>
      <c r="B70" s="104" t="s">
        <v>320</v>
      </c>
      <c r="C70" s="104" t="s">
        <v>240</v>
      </c>
      <c r="D70" s="104">
        <v>3.0</v>
      </c>
      <c r="E70" s="104">
        <v>600.0</v>
      </c>
      <c r="F70" s="105">
        <v>30820.0</v>
      </c>
      <c r="G70" s="105">
        <v>554.76</v>
      </c>
      <c r="H70" s="105">
        <v>30265.0</v>
      </c>
    </row>
    <row r="71" ht="12.75" customHeight="1">
      <c r="A71" s="104" t="s">
        <v>318</v>
      </c>
      <c r="B71" s="104" t="s">
        <v>321</v>
      </c>
      <c r="C71" s="104" t="s">
        <v>240</v>
      </c>
      <c r="D71" s="104">
        <v>3.0</v>
      </c>
      <c r="E71" s="104">
        <v>600.0</v>
      </c>
      <c r="F71" s="105">
        <v>31290.0</v>
      </c>
      <c r="G71" s="105">
        <v>528.75</v>
      </c>
      <c r="H71" s="105">
        <v>30761.0</v>
      </c>
    </row>
    <row r="72" ht="12.75" customHeight="1">
      <c r="A72" s="104" t="s">
        <v>318</v>
      </c>
      <c r="B72" s="104" t="s">
        <v>322</v>
      </c>
      <c r="C72" s="104" t="s">
        <v>240</v>
      </c>
      <c r="D72" s="104">
        <v>3.0</v>
      </c>
      <c r="E72" s="104">
        <v>600.0</v>
      </c>
      <c r="F72" s="105">
        <v>31160.0</v>
      </c>
      <c r="G72" s="105">
        <v>785.2</v>
      </c>
      <c r="H72" s="105">
        <v>30375.0</v>
      </c>
    </row>
    <row r="73" ht="12.75" customHeight="1">
      <c r="A73" s="104" t="s">
        <v>318</v>
      </c>
      <c r="B73" s="104" t="s">
        <v>323</v>
      </c>
      <c r="C73" s="104" t="s">
        <v>240</v>
      </c>
      <c r="D73" s="104">
        <v>3.0</v>
      </c>
      <c r="E73" s="104">
        <v>600.0</v>
      </c>
      <c r="F73" s="105">
        <v>31240.0</v>
      </c>
      <c r="G73" s="105">
        <v>218.66</v>
      </c>
      <c r="H73" s="105">
        <v>31021.0</v>
      </c>
    </row>
    <row r="74" ht="12.75" customHeight="1">
      <c r="A74" s="104" t="s">
        <v>318</v>
      </c>
      <c r="B74" s="104" t="s">
        <v>324</v>
      </c>
      <c r="C74" s="104" t="s">
        <v>240</v>
      </c>
      <c r="D74" s="104">
        <v>3.0</v>
      </c>
      <c r="E74" s="104">
        <v>600.0</v>
      </c>
      <c r="F74" s="105">
        <v>30790.0</v>
      </c>
      <c r="G74" s="105">
        <v>794.38</v>
      </c>
      <c r="H74" s="105">
        <v>29996.0</v>
      </c>
    </row>
    <row r="75" ht="12.75" customHeight="1">
      <c r="A75" s="104" t="s">
        <v>318</v>
      </c>
      <c r="B75" s="104" t="s">
        <v>325</v>
      </c>
      <c r="C75" s="104" t="s">
        <v>240</v>
      </c>
      <c r="D75" s="104">
        <v>3.0</v>
      </c>
      <c r="E75" s="104">
        <v>594.0</v>
      </c>
      <c r="F75" s="105">
        <v>30530.0</v>
      </c>
      <c r="G75" s="105">
        <v>222.82</v>
      </c>
      <c r="H75" s="105">
        <v>30307.0</v>
      </c>
    </row>
    <row r="76" ht="12.75" customHeight="1">
      <c r="A76" s="104" t="s">
        <v>326</v>
      </c>
      <c r="B76" s="104" t="s">
        <v>327</v>
      </c>
      <c r="C76" s="104" t="s">
        <v>240</v>
      </c>
      <c r="D76" s="104">
        <v>3.0</v>
      </c>
      <c r="E76" s="104">
        <v>587.0</v>
      </c>
      <c r="F76" s="105">
        <v>30030.0</v>
      </c>
      <c r="G76" s="105">
        <v>684.68</v>
      </c>
      <c r="H76" s="105">
        <v>29345.0</v>
      </c>
    </row>
    <row r="77" ht="12.75" customHeight="1">
      <c r="A77" s="104" t="s">
        <v>326</v>
      </c>
      <c r="B77" s="104" t="s">
        <v>328</v>
      </c>
      <c r="C77" s="104" t="s">
        <v>240</v>
      </c>
      <c r="D77" s="104">
        <v>3.0</v>
      </c>
      <c r="E77" s="104">
        <v>600.0</v>
      </c>
      <c r="F77" s="105">
        <v>30740.0</v>
      </c>
      <c r="G77" s="105">
        <v>1586.18</v>
      </c>
      <c r="H77" s="105">
        <v>29154.0</v>
      </c>
    </row>
    <row r="78" ht="12.75" customHeight="1">
      <c r="A78" s="104" t="s">
        <v>326</v>
      </c>
      <c r="B78" s="104" t="s">
        <v>329</v>
      </c>
      <c r="C78" s="104" t="s">
        <v>240</v>
      </c>
      <c r="D78" s="104">
        <v>3.0</v>
      </c>
      <c r="E78" s="104">
        <v>600.0</v>
      </c>
      <c r="F78" s="105">
        <v>30560.0</v>
      </c>
      <c r="G78" s="105">
        <v>2389.79</v>
      </c>
      <c r="H78" s="105">
        <v>28170.0</v>
      </c>
    </row>
    <row r="79" ht="12.75" customHeight="1">
      <c r="A79" s="104" t="s">
        <v>326</v>
      </c>
      <c r="B79" s="104" t="s">
        <v>330</v>
      </c>
      <c r="C79" s="104" t="s">
        <v>240</v>
      </c>
      <c r="D79" s="104">
        <v>3.0</v>
      </c>
      <c r="E79" s="104">
        <v>602.0</v>
      </c>
      <c r="F79" s="105">
        <v>30890.0</v>
      </c>
      <c r="G79" s="105">
        <v>1266.44</v>
      </c>
      <c r="H79" s="105">
        <v>29624.0</v>
      </c>
    </row>
    <row r="80" ht="12.75" customHeight="1">
      <c r="A80" s="104" t="s">
        <v>326</v>
      </c>
      <c r="B80" s="104" t="s">
        <v>331</v>
      </c>
      <c r="C80" s="104" t="s">
        <v>240</v>
      </c>
      <c r="D80" s="104">
        <v>3.0</v>
      </c>
      <c r="E80" s="104">
        <v>117.0</v>
      </c>
      <c r="F80" s="105">
        <v>6170.0</v>
      </c>
      <c r="G80" s="105">
        <v>193.08</v>
      </c>
      <c r="H80" s="105">
        <v>5977.0</v>
      </c>
    </row>
    <row r="81" ht="12.75" customHeight="1">
      <c r="A81" s="104" t="s">
        <v>326</v>
      </c>
      <c r="B81" s="104" t="s">
        <v>332</v>
      </c>
      <c r="C81" s="104" t="s">
        <v>240</v>
      </c>
      <c r="D81" s="104">
        <v>3.0</v>
      </c>
      <c r="E81" s="104">
        <v>167.0</v>
      </c>
      <c r="F81" s="105">
        <v>8480.0</v>
      </c>
      <c r="G81" s="105">
        <v>207.76</v>
      </c>
      <c r="H81" s="105">
        <v>8272.0</v>
      </c>
    </row>
    <row r="82" ht="12.75" customHeight="1">
      <c r="A82" s="106" t="s">
        <v>333</v>
      </c>
      <c r="B82" s="106"/>
      <c r="C82" s="106"/>
      <c r="D82" s="106"/>
      <c r="E82" s="106">
        <f t="shared" ref="E82:H82" si="1">SUM(E7:E81)</f>
        <v>40100</v>
      </c>
      <c r="F82" s="107">
        <f t="shared" si="1"/>
        <v>2057850</v>
      </c>
      <c r="G82" s="107">
        <f t="shared" si="1"/>
        <v>67737.88</v>
      </c>
      <c r="H82" s="107">
        <f t="shared" si="1"/>
        <v>1990114</v>
      </c>
    </row>
    <row r="83" ht="12.75" customHeight="1"/>
    <row r="84" ht="12.75" customHeight="1"/>
    <row r="85" ht="12.75" customHeight="1">
      <c r="A85" s="101" t="s">
        <v>334</v>
      </c>
      <c r="B85" s="108">
        <f>+H82</f>
        <v>1990114</v>
      </c>
    </row>
    <row r="86" ht="12.75" customHeight="1">
      <c r="A86" s="101" t="s">
        <v>335</v>
      </c>
      <c r="B86" s="108">
        <v>11.13</v>
      </c>
    </row>
    <row r="87" ht="12.75" customHeight="1">
      <c r="A87" s="101" t="s">
        <v>336</v>
      </c>
      <c r="B87" s="108">
        <f>B85*B86</f>
        <v>22149968.82</v>
      </c>
    </row>
    <row r="88" ht="12.75" customHeight="1">
      <c r="A88" s="101" t="s">
        <v>337</v>
      </c>
      <c r="B88" s="108">
        <f>B87*0.1</f>
        <v>2214996.882</v>
      </c>
    </row>
    <row r="89" ht="12.75" customHeight="1">
      <c r="A89" s="101" t="s">
        <v>338</v>
      </c>
      <c r="B89" s="109">
        <f>B87-B88</f>
        <v>19934971.94</v>
      </c>
    </row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13"/>
    <col customWidth="1" min="3" max="3" width="10.25"/>
    <col customWidth="1" min="4" max="4" width="32.75"/>
    <col customWidth="1" min="5" max="5" width="13.75"/>
    <col customWidth="1" min="6" max="6" width="4.13"/>
    <col customWidth="1" min="7" max="7" width="16.5"/>
    <col customWidth="1" min="8" max="8" width="13.75"/>
  </cols>
  <sheetData>
    <row r="1">
      <c r="C1" s="110" t="s">
        <v>339</v>
      </c>
      <c r="E1" s="111">
        <f>SUM(INGRESOS!C5:C73)+SUM(INGRESOS!C78:C80)</f>
        <v>35282895.88</v>
      </c>
      <c r="F1" s="112"/>
      <c r="G1" s="113" t="s">
        <v>340</v>
      </c>
    </row>
    <row r="2">
      <c r="B2" s="114"/>
      <c r="C2" s="113" t="s">
        <v>341</v>
      </c>
      <c r="F2" s="112"/>
      <c r="G2" s="115" t="s">
        <v>342</v>
      </c>
      <c r="H2" s="116">
        <v>2.670422509E7</v>
      </c>
      <c r="J2" s="117"/>
    </row>
    <row r="3">
      <c r="C3" s="118" t="s">
        <v>343</v>
      </c>
      <c r="D3" s="118" t="s">
        <v>344</v>
      </c>
      <c r="E3" s="119" t="s">
        <v>345</v>
      </c>
      <c r="F3" s="112"/>
      <c r="G3" s="115" t="s">
        <v>346</v>
      </c>
      <c r="H3" s="120">
        <f>1487886.06</f>
        <v>1487886.06</v>
      </c>
    </row>
    <row r="4">
      <c r="C4" s="121">
        <v>46125.0</v>
      </c>
      <c r="D4" s="114" t="s">
        <v>347</v>
      </c>
      <c r="E4" s="122">
        <v>218643.81</v>
      </c>
      <c r="F4" s="112"/>
      <c r="G4" s="115" t="s">
        <v>348</v>
      </c>
      <c r="H4" s="116">
        <v>1005420.78</v>
      </c>
    </row>
    <row r="5">
      <c r="C5" s="121">
        <v>46136.0</v>
      </c>
      <c r="D5" s="114" t="s">
        <v>349</v>
      </c>
      <c r="E5" s="122">
        <v>14026.67</v>
      </c>
      <c r="G5" s="115" t="s">
        <v>350</v>
      </c>
      <c r="H5" s="123">
        <f>SUM(H2:H4)</f>
        <v>29197531.93</v>
      </c>
    </row>
    <row r="6">
      <c r="C6" s="121">
        <v>46136.0</v>
      </c>
      <c r="D6" s="114" t="s">
        <v>351</v>
      </c>
      <c r="E6" s="122">
        <v>99421.7</v>
      </c>
      <c r="F6" s="124"/>
      <c r="G6" s="124" t="s">
        <v>352</v>
      </c>
      <c r="H6" s="120">
        <f>E51</f>
        <v>4817330.863</v>
      </c>
    </row>
    <row r="7">
      <c r="C7" s="121">
        <v>46139.0</v>
      </c>
      <c r="D7" s="114" t="s">
        <v>353</v>
      </c>
      <c r="E7" s="122">
        <v>39208.0</v>
      </c>
      <c r="G7" s="115" t="s">
        <v>354</v>
      </c>
      <c r="H7" s="123">
        <f>H5+H6</f>
        <v>34014862.79</v>
      </c>
    </row>
    <row r="8">
      <c r="C8" s="121">
        <v>46139.0</v>
      </c>
      <c r="D8" s="114" t="s">
        <v>355</v>
      </c>
      <c r="E8" s="122">
        <v>8642.0</v>
      </c>
      <c r="F8" s="112"/>
      <c r="G8" s="124" t="s">
        <v>356</v>
      </c>
      <c r="H8" s="120">
        <f>E1-H7</f>
        <v>1268033.087</v>
      </c>
    </row>
    <row r="9">
      <c r="C9" s="121">
        <v>46139.0</v>
      </c>
      <c r="D9" s="114" t="s">
        <v>357</v>
      </c>
      <c r="E9" s="122">
        <v>93900.0</v>
      </c>
    </row>
    <row r="10">
      <c r="C10" s="121">
        <v>46139.0</v>
      </c>
      <c r="D10" s="114" t="s">
        <v>358</v>
      </c>
      <c r="E10" s="122">
        <v>112383.71</v>
      </c>
    </row>
    <row r="11">
      <c r="C11" s="121">
        <v>46139.0</v>
      </c>
      <c r="D11" s="114" t="s">
        <v>359</v>
      </c>
      <c r="E11" s="122">
        <v>4292.0</v>
      </c>
    </row>
    <row r="12">
      <c r="C12" s="121">
        <v>46139.0</v>
      </c>
      <c r="D12" s="114" t="s">
        <v>360</v>
      </c>
      <c r="E12" s="122">
        <v>158062.0</v>
      </c>
    </row>
    <row r="13">
      <c r="C13" s="121">
        <v>46139.0</v>
      </c>
      <c r="D13" s="114" t="s">
        <v>361</v>
      </c>
      <c r="E13" s="122">
        <v>26717.6</v>
      </c>
    </row>
    <row r="14">
      <c r="C14" s="121">
        <v>46139.0</v>
      </c>
      <c r="D14" s="114" t="s">
        <v>362</v>
      </c>
      <c r="E14" s="122">
        <v>26392.5</v>
      </c>
    </row>
    <row r="15">
      <c r="C15" s="121">
        <v>46139.0</v>
      </c>
      <c r="D15" s="114" t="s">
        <v>363</v>
      </c>
      <c r="E15" s="125">
        <f>50559.27+196385.28</f>
        <v>246944.55</v>
      </c>
    </row>
    <row r="16">
      <c r="C16" s="121">
        <v>46139.0</v>
      </c>
      <c r="D16" s="114" t="s">
        <v>364</v>
      </c>
      <c r="E16" s="125">
        <f>2372+47867</f>
        <v>50239</v>
      </c>
    </row>
    <row r="17">
      <c r="C17" s="121">
        <v>46139.0</v>
      </c>
      <c r="D17" s="114" t="s">
        <v>365</v>
      </c>
      <c r="E17" s="122">
        <v>1000000.0</v>
      </c>
    </row>
    <row r="18">
      <c r="C18" s="121">
        <v>46139.0</v>
      </c>
      <c r="D18" s="114" t="s">
        <v>366</v>
      </c>
      <c r="E18" s="122">
        <v>5717.02</v>
      </c>
    </row>
    <row r="19">
      <c r="C19" s="121">
        <v>46139.0</v>
      </c>
      <c r="D19" s="114" t="s">
        <v>367</v>
      </c>
      <c r="E19" s="122">
        <v>1740.0</v>
      </c>
    </row>
    <row r="20">
      <c r="C20" s="121">
        <v>46139.0</v>
      </c>
      <c r="D20" s="114" t="s">
        <v>368</v>
      </c>
      <c r="E20" s="122">
        <v>24120.0</v>
      </c>
    </row>
    <row r="21">
      <c r="C21" s="121">
        <v>46139.0</v>
      </c>
      <c r="D21" s="114" t="s">
        <v>369</v>
      </c>
      <c r="E21" s="122">
        <v>10806.0</v>
      </c>
    </row>
    <row r="22">
      <c r="C22" s="121">
        <v>46139.0</v>
      </c>
      <c r="D22" s="114" t="s">
        <v>370</v>
      </c>
      <c r="E22" s="122">
        <v>150000.0</v>
      </c>
    </row>
    <row r="23">
      <c r="C23" s="121">
        <v>46139.0</v>
      </c>
      <c r="D23" s="114" t="s">
        <v>349</v>
      </c>
      <c r="E23" s="122">
        <v>16000.0</v>
      </c>
    </row>
    <row r="24">
      <c r="C24" s="121">
        <v>46139.0</v>
      </c>
      <c r="D24" s="114" t="s">
        <v>371</v>
      </c>
      <c r="E24" s="122">
        <v>228309.44</v>
      </c>
    </row>
    <row r="25">
      <c r="C25" s="121">
        <v>46139.0</v>
      </c>
      <c r="D25" s="114" t="s">
        <v>372</v>
      </c>
      <c r="E25" s="122">
        <v>85000.0</v>
      </c>
    </row>
    <row r="26">
      <c r="C26" s="121">
        <v>46141.0</v>
      </c>
      <c r="D26" s="114" t="s">
        <v>373</v>
      </c>
      <c r="E26" s="122">
        <v>159500.14</v>
      </c>
    </row>
    <row r="27">
      <c r="C27" s="121">
        <v>46142.0</v>
      </c>
      <c r="D27" s="114" t="s">
        <v>349</v>
      </c>
      <c r="E27" s="122">
        <v>14026.67</v>
      </c>
    </row>
    <row r="28">
      <c r="C28" s="121">
        <v>46142.0</v>
      </c>
      <c r="D28" s="114" t="s">
        <v>370</v>
      </c>
      <c r="E28" s="122">
        <v>99422.0</v>
      </c>
    </row>
    <row r="29">
      <c r="C29" s="121">
        <v>46142.0</v>
      </c>
      <c r="D29" s="126" t="s">
        <v>374</v>
      </c>
      <c r="E29" s="122">
        <v>18097.26</v>
      </c>
    </row>
    <row r="30">
      <c r="C30" s="121">
        <v>46142.0</v>
      </c>
      <c r="D30" s="114" t="s">
        <v>375</v>
      </c>
      <c r="E30" s="122">
        <v>30000.0</v>
      </c>
    </row>
    <row r="31">
      <c r="C31" s="121">
        <v>46143.0</v>
      </c>
      <c r="D31" s="114" t="s">
        <v>376</v>
      </c>
      <c r="E31" s="122">
        <v>107862.86</v>
      </c>
    </row>
    <row r="32">
      <c r="C32" s="121">
        <v>46147.0</v>
      </c>
      <c r="D32" s="114" t="s">
        <v>377</v>
      </c>
      <c r="E32" s="122">
        <v>198343.0</v>
      </c>
    </row>
    <row r="33">
      <c r="C33" s="121">
        <v>46152.0</v>
      </c>
      <c r="D33" s="114" t="s">
        <v>351</v>
      </c>
      <c r="E33" s="122">
        <v>42953.0</v>
      </c>
    </row>
    <row r="34">
      <c r="C34" s="121">
        <v>46152.0</v>
      </c>
      <c r="D34" s="114" t="s">
        <v>349</v>
      </c>
      <c r="E34" s="122">
        <v>14026.67</v>
      </c>
    </row>
    <row r="35">
      <c r="C35" s="121">
        <v>46153.0</v>
      </c>
      <c r="D35" s="114" t="s">
        <v>378</v>
      </c>
      <c r="E35" s="122">
        <v>531868.03</v>
      </c>
    </row>
    <row r="36">
      <c r="C36" s="121">
        <v>46153.0</v>
      </c>
      <c r="D36" s="114" t="s">
        <v>366</v>
      </c>
      <c r="E36" s="122">
        <v>200000.0</v>
      </c>
    </row>
    <row r="37">
      <c r="C37" s="121">
        <v>46153.0</v>
      </c>
      <c r="D37" s="114" t="s">
        <v>379</v>
      </c>
      <c r="E37" s="122">
        <v>90254.53</v>
      </c>
    </row>
    <row r="38">
      <c r="C38" s="121">
        <v>46153.0</v>
      </c>
      <c r="D38" s="114" t="s">
        <v>380</v>
      </c>
      <c r="E38" s="122">
        <v>17900.0</v>
      </c>
    </row>
    <row r="39">
      <c r="C39" s="121">
        <v>46153.0</v>
      </c>
      <c r="D39" s="114" t="s">
        <v>381</v>
      </c>
      <c r="E39" s="122">
        <v>17900.0</v>
      </c>
    </row>
    <row r="40">
      <c r="C40" s="121">
        <v>46153.0</v>
      </c>
      <c r="D40" s="114" t="s">
        <v>382</v>
      </c>
      <c r="E40" s="122">
        <v>17900.0</v>
      </c>
    </row>
    <row r="41">
      <c r="C41" s="121">
        <v>46157.0</v>
      </c>
      <c r="D41" s="114" t="s">
        <v>359</v>
      </c>
      <c r="E41" s="125">
        <f>8296.32+6717.56+17314.98</f>
        <v>32328.86</v>
      </c>
    </row>
    <row r="42">
      <c r="C42" s="121">
        <v>46157.0</v>
      </c>
      <c r="D42" s="114" t="s">
        <v>383</v>
      </c>
      <c r="E42" s="125">
        <f>9750.86+12038+26394.35+62065.14</f>
        <v>110248.35</v>
      </c>
    </row>
    <row r="43">
      <c r="C43" s="121">
        <v>46157.0</v>
      </c>
      <c r="D43" s="114" t="s">
        <v>364</v>
      </c>
      <c r="E43" s="125">
        <f>52485+9562.8+4643.8+4147+13396.01+5022+78224+8544+7719+9360</f>
        <v>193103.61</v>
      </c>
    </row>
    <row r="44">
      <c r="C44" s="121">
        <v>46157.0</v>
      </c>
      <c r="D44" s="114" t="s">
        <v>384</v>
      </c>
      <c r="E44" s="122">
        <v>886.243</v>
      </c>
    </row>
    <row r="45">
      <c r="C45" s="121">
        <v>46157.0</v>
      </c>
      <c r="D45" s="114" t="s">
        <v>385</v>
      </c>
      <c r="E45" s="122">
        <v>15480.0</v>
      </c>
    </row>
    <row r="46">
      <c r="C46" s="121">
        <v>46157.0</v>
      </c>
      <c r="D46" s="114" t="s">
        <v>386</v>
      </c>
      <c r="E46" s="122">
        <v>161215.64</v>
      </c>
    </row>
    <row r="47">
      <c r="C47" s="121">
        <v>46157.0</v>
      </c>
      <c r="D47" s="114" t="s">
        <v>349</v>
      </c>
      <c r="E47" s="122">
        <v>14026.67</v>
      </c>
    </row>
    <row r="48">
      <c r="C48" s="121">
        <v>46157.0</v>
      </c>
      <c r="D48" s="114" t="s">
        <v>351</v>
      </c>
      <c r="E48" s="122">
        <v>61324.07</v>
      </c>
    </row>
    <row r="49">
      <c r="C49" s="121">
        <v>46157.0</v>
      </c>
      <c r="D49" s="114" t="s">
        <v>374</v>
      </c>
      <c r="E49" s="122">
        <v>18097.26</v>
      </c>
    </row>
    <row r="50">
      <c r="C50" s="121">
        <v>46157.0</v>
      </c>
      <c r="D50" s="114" t="s">
        <v>375</v>
      </c>
      <c r="E50" s="122">
        <v>30000.0</v>
      </c>
    </row>
    <row r="51">
      <c r="E51" s="120">
        <f>SUM(E3:E50)</f>
        <v>4817330.863</v>
      </c>
    </row>
  </sheetData>
  <autoFilter ref="$C$3:$E$50">
    <sortState ref="C3:E50">
      <sortCondition ref="C3:C50"/>
    </sortState>
  </autoFilter>
  <mergeCells count="3">
    <mergeCell ref="C1:D1"/>
    <mergeCell ref="G1:H1"/>
    <mergeCell ref="C2:E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2026-04-28T22:02:08Z</dcterms:created>
</cp:coreProperties>
</file>