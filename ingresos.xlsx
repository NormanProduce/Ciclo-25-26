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<sst xmlns="http://schemas.openxmlformats.org/spreadsheetml/2006/main" count="882" uniqueCount="315">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</sst>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0" fillId="0" fontId="17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8" numFmtId="4" xfId="0" applyAlignment="1" applyFont="1" applyNumberFormat="1">
      <alignment horizontal="center"/>
    </xf>
    <xf borderId="0" fillId="0" fontId="18" numFmtId="0" xfId="0" applyFont="1"/>
    <xf borderId="0" fillId="0" fontId="18" numFmtId="165" xfId="0" applyFont="1" applyNumberFormat="1"/>
    <xf borderId="0" fillId="0" fontId="8" numFmtId="167" xfId="0" applyFont="1" applyNumberFormat="1"/>
    <xf borderId="0" fillId="0" fontId="17" numFmtId="4" xfId="0" applyFont="1" applyNumberFormat="1"/>
    <xf borderId="0" fillId="0" fontId="18" numFmtId="3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10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1" numFmtId="0" xfId="0" applyBorder="1" applyFill="1" applyFont="1"/>
    <xf borderId="15" fillId="8" fontId="21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/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/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6"/>
      <c r="Q16" s="64">
        <v>300000.0</v>
      </c>
      <c r="R16" s="59"/>
      <c r="S16" s="57" t="s">
        <v>13</v>
      </c>
      <c r="T16" s="56"/>
      <c r="U16" s="60"/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/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/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6"/>
      <c r="Q37" s="64">
        <v>370000.0</v>
      </c>
      <c r="R37" s="59"/>
      <c r="S37" s="57"/>
      <c r="T37" s="56"/>
      <c r="U37" s="60"/>
      <c r="V37" s="60"/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66"/>
      <c r="Q38" s="64"/>
      <c r="R38" s="59">
        <f>+VENTA!$P38-VENTA!$Q38</f>
        <v>0</v>
      </c>
      <c r="S38" s="57"/>
      <c r="T38" s="56"/>
      <c r="U38" s="60"/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57" t="s">
        <v>73</v>
      </c>
      <c r="K39" s="57"/>
      <c r="L39" s="57" t="s">
        <v>193</v>
      </c>
      <c r="M39" s="57" t="s">
        <v>202</v>
      </c>
      <c r="N39" s="57">
        <v>6.688609045E9</v>
      </c>
      <c r="O39" s="56"/>
      <c r="P39" s="59"/>
      <c r="Q39" s="59"/>
      <c r="R39" s="59">
        <f>+VENTA!$P39-VENTA!$Q39</f>
        <v>0</v>
      </c>
      <c r="S39" s="57"/>
      <c r="T39" s="56"/>
      <c r="U39" s="60"/>
      <c r="V39" s="60"/>
      <c r="W39" s="60"/>
    </row>
    <row r="40" ht="15.75" customHeight="1">
      <c r="E40" s="67"/>
      <c r="F40" s="67"/>
      <c r="G40" s="67"/>
      <c r="H40" s="68">
        <f>SUM(H3:H39)</f>
        <v>0</v>
      </c>
      <c r="I40" s="69"/>
      <c r="K40" s="70"/>
      <c r="L40" s="70"/>
      <c r="M40" s="70"/>
      <c r="N40" s="70"/>
      <c r="O40" s="70"/>
      <c r="P40" s="71"/>
      <c r="Q40" s="71"/>
      <c r="R40" s="71"/>
      <c r="W40" s="72"/>
    </row>
    <row r="41" ht="15.75" customHeight="1">
      <c r="Q41" s="72"/>
      <c r="W41" s="72"/>
    </row>
    <row r="42" ht="15.75" customHeight="1">
      <c r="E42" s="73"/>
      <c r="F42" s="73" t="s">
        <v>203</v>
      </c>
      <c r="W42" s="72"/>
    </row>
    <row r="43" ht="15.75" customHeight="1">
      <c r="J43" s="74"/>
      <c r="K43" s="70"/>
      <c r="L43" s="70"/>
      <c r="M43" s="70"/>
      <c r="N43" s="70"/>
      <c r="Q43" s="71"/>
      <c r="W43" s="72"/>
    </row>
    <row r="44" ht="15.75" customHeight="1">
      <c r="J44" s="74"/>
      <c r="W44" s="72"/>
    </row>
    <row r="45" ht="15.75" customHeight="1">
      <c r="J45" s="74"/>
      <c r="W45" s="72"/>
    </row>
    <row r="46" ht="15.75" customHeight="1">
      <c r="E46" s="74"/>
      <c r="W46" s="72"/>
    </row>
    <row r="47" ht="15.75" customHeight="1">
      <c r="O47" s="74"/>
      <c r="W47" s="72"/>
    </row>
    <row r="48" ht="15.75" customHeight="1">
      <c r="K48" s="71"/>
      <c r="O48" s="74"/>
      <c r="W48" s="72"/>
    </row>
    <row r="49" ht="15.75" customHeight="1">
      <c r="O49" s="74"/>
      <c r="W49" s="72"/>
    </row>
    <row r="50" ht="15.75" customHeight="1">
      <c r="W50" s="72"/>
    </row>
    <row r="51" ht="15.75" customHeight="1">
      <c r="W51" s="72"/>
    </row>
    <row r="52" ht="15.75" customHeight="1">
      <c r="W52" s="72"/>
    </row>
    <row r="53" ht="15.75" customHeight="1">
      <c r="W53" s="72"/>
    </row>
    <row r="54" ht="15.75" customHeight="1">
      <c r="W54" s="72"/>
    </row>
    <row r="55" ht="15.75" customHeight="1">
      <c r="W55" s="72"/>
    </row>
    <row r="56" ht="15.75" customHeight="1">
      <c r="W56" s="72"/>
    </row>
    <row r="57" ht="15.75" customHeight="1">
      <c r="W57" s="72"/>
    </row>
    <row r="58" ht="15.75" customHeight="1">
      <c r="W58" s="72"/>
    </row>
    <row r="59" ht="15.75" customHeight="1">
      <c r="W59" s="72"/>
    </row>
    <row r="60" ht="15.75" customHeight="1">
      <c r="W60" s="72"/>
    </row>
    <row r="61" ht="15.75" customHeight="1">
      <c r="W61" s="72"/>
    </row>
    <row r="62" ht="15.75" customHeight="1">
      <c r="W62" s="72"/>
    </row>
    <row r="63" ht="15.75" customHeight="1">
      <c r="W63" s="72"/>
    </row>
    <row r="64" ht="15.75" customHeight="1">
      <c r="W64" s="72"/>
    </row>
    <row r="65" ht="15.75" customHeight="1">
      <c r="W65" s="72"/>
    </row>
    <row r="66" ht="15.75" customHeight="1">
      <c r="W66" s="72"/>
    </row>
    <row r="67" ht="15.75" customHeight="1">
      <c r="W67" s="72"/>
    </row>
    <row r="68" ht="15.75" customHeight="1">
      <c r="W68" s="72"/>
    </row>
    <row r="69" ht="15.75" customHeight="1">
      <c r="W69" s="72"/>
    </row>
    <row r="70" ht="15.75" customHeight="1">
      <c r="W70" s="72"/>
    </row>
    <row r="71" ht="15.75" customHeight="1">
      <c r="W71" s="72"/>
    </row>
    <row r="72" ht="15.75" customHeight="1">
      <c r="W72" s="72"/>
    </row>
    <row r="73" ht="15.75" customHeight="1">
      <c r="W73" s="72"/>
    </row>
    <row r="74" ht="15.75" customHeight="1">
      <c r="W74" s="72"/>
    </row>
    <row r="75" ht="15.75" customHeight="1">
      <c r="W75" s="72"/>
    </row>
    <row r="76" ht="15.75" customHeight="1">
      <c r="W76" s="72"/>
    </row>
    <row r="77" ht="15.75" customHeight="1">
      <c r="W77" s="72"/>
    </row>
    <row r="78" ht="15.75" customHeight="1">
      <c r="W78" s="72"/>
    </row>
    <row r="79" ht="15.75" customHeight="1">
      <c r="W79" s="72"/>
    </row>
    <row r="80" ht="15.75" customHeight="1">
      <c r="W80" s="72"/>
    </row>
    <row r="81" ht="15.75" customHeight="1">
      <c r="W81" s="72"/>
    </row>
    <row r="82" ht="15.75" customHeight="1">
      <c r="W82" s="72"/>
    </row>
    <row r="83" ht="15.75" customHeight="1">
      <c r="W83" s="72"/>
    </row>
    <row r="84" ht="15.75" customHeight="1">
      <c r="W84" s="72"/>
    </row>
    <row r="85" ht="15.75" customHeight="1">
      <c r="W85" s="72"/>
    </row>
    <row r="86" ht="15.75" customHeight="1">
      <c r="W86" s="72"/>
    </row>
    <row r="87" ht="15.75" customHeight="1">
      <c r="W87" s="72"/>
    </row>
    <row r="88" ht="15.75" customHeight="1">
      <c r="W88" s="72"/>
    </row>
    <row r="89" ht="15.75" customHeight="1">
      <c r="W89" s="72"/>
    </row>
    <row r="90" ht="15.75" customHeight="1">
      <c r="W90" s="72"/>
    </row>
    <row r="91" ht="15.75" customHeight="1">
      <c r="W91" s="72"/>
    </row>
    <row r="92" ht="15.75" customHeight="1">
      <c r="W92" s="72"/>
    </row>
    <row r="93" ht="15.75" customHeight="1">
      <c r="W93" s="72"/>
    </row>
    <row r="94" ht="15.75" customHeight="1">
      <c r="W94" s="72"/>
    </row>
    <row r="95" ht="15.75" customHeight="1">
      <c r="W95" s="72"/>
    </row>
    <row r="96" ht="15.75" customHeight="1">
      <c r="W96" s="72"/>
    </row>
    <row r="97" ht="15.75" customHeight="1">
      <c r="W97" s="72"/>
    </row>
    <row r="98" ht="15.75" customHeight="1">
      <c r="W98" s="72"/>
    </row>
    <row r="99" ht="15.75" customHeight="1">
      <c r="W99" s="72"/>
    </row>
    <row r="100" ht="15.75" customHeight="1">
      <c r="W100" s="72"/>
    </row>
    <row r="101" ht="15.75" customHeight="1">
      <c r="W101" s="72"/>
    </row>
    <row r="102" ht="15.75" customHeight="1">
      <c r="W102" s="72"/>
    </row>
    <row r="103" ht="15.75" customHeight="1">
      <c r="W103" s="72"/>
    </row>
    <row r="104" ht="15.75" customHeight="1">
      <c r="W104" s="72"/>
    </row>
    <row r="105" ht="15.75" customHeight="1">
      <c r="W105" s="72"/>
    </row>
    <row r="106" ht="15.75" customHeight="1">
      <c r="W106" s="72"/>
    </row>
    <row r="107" ht="15.75" customHeight="1">
      <c r="W107" s="72"/>
    </row>
    <row r="108" ht="15.75" customHeight="1">
      <c r="W108" s="72"/>
    </row>
    <row r="109" ht="15.75" customHeight="1">
      <c r="W109" s="72"/>
    </row>
    <row r="110" ht="15.75" customHeight="1">
      <c r="W110" s="72"/>
    </row>
    <row r="111" ht="15.75" customHeight="1">
      <c r="W111" s="72"/>
    </row>
    <row r="112" ht="15.75" customHeight="1">
      <c r="W112" s="72"/>
    </row>
    <row r="113" ht="15.75" customHeight="1">
      <c r="W113" s="72"/>
    </row>
    <row r="114" ht="15.75" customHeight="1">
      <c r="W114" s="72"/>
    </row>
    <row r="115" ht="15.75" customHeight="1">
      <c r="W115" s="72"/>
    </row>
    <row r="116" ht="15.75" customHeight="1">
      <c r="W116" s="72"/>
    </row>
    <row r="117" ht="15.75" customHeight="1">
      <c r="W117" s="72"/>
    </row>
    <row r="118" ht="15.75" customHeight="1">
      <c r="W118" s="72"/>
    </row>
    <row r="119" ht="15.75" customHeight="1">
      <c r="W119" s="72"/>
    </row>
    <row r="120" ht="15.75" customHeight="1">
      <c r="W120" s="72"/>
    </row>
    <row r="121" ht="15.75" customHeight="1">
      <c r="W121" s="72"/>
    </row>
    <row r="122" ht="15.75" customHeight="1">
      <c r="W122" s="72"/>
    </row>
    <row r="123" ht="15.75" customHeight="1">
      <c r="W123" s="72"/>
    </row>
    <row r="124" ht="15.75" customHeight="1">
      <c r="W124" s="72"/>
    </row>
    <row r="125" ht="15.75" customHeight="1">
      <c r="W125" s="72"/>
    </row>
    <row r="126" ht="15.75" customHeight="1">
      <c r="W126" s="72"/>
    </row>
    <row r="127" ht="15.75" customHeight="1">
      <c r="W127" s="72"/>
    </row>
    <row r="128" ht="15.75" customHeight="1">
      <c r="W128" s="72"/>
    </row>
    <row r="129" ht="15.75" customHeight="1">
      <c r="W129" s="72"/>
    </row>
    <row r="130" ht="15.75" customHeight="1">
      <c r="W130" s="72"/>
    </row>
    <row r="131" ht="15.75" customHeight="1">
      <c r="W131" s="72"/>
    </row>
    <row r="132" ht="15.75" customHeight="1">
      <c r="W132" s="72"/>
    </row>
    <row r="133" ht="15.75" customHeight="1">
      <c r="W133" s="72"/>
    </row>
    <row r="134" ht="15.75" customHeight="1">
      <c r="W134" s="72"/>
    </row>
    <row r="135" ht="15.75" customHeight="1">
      <c r="W135" s="72"/>
    </row>
    <row r="136" ht="15.75" customHeight="1">
      <c r="W136" s="72"/>
    </row>
    <row r="137" ht="15.75" customHeight="1">
      <c r="W137" s="72"/>
    </row>
    <row r="138" ht="15.75" customHeight="1">
      <c r="W138" s="72"/>
    </row>
    <row r="139" ht="15.75" customHeight="1">
      <c r="W139" s="72"/>
    </row>
    <row r="140" ht="15.75" customHeight="1">
      <c r="W140" s="72"/>
    </row>
    <row r="141" ht="15.75" customHeight="1">
      <c r="W141" s="72"/>
    </row>
    <row r="142" ht="15.75" customHeight="1">
      <c r="W142" s="72"/>
    </row>
    <row r="143" ht="15.75" customHeight="1">
      <c r="W143" s="72"/>
    </row>
    <row r="144" ht="15.75" customHeight="1">
      <c r="W144" s="72"/>
    </row>
    <row r="145" ht="15.75" customHeight="1">
      <c r="W145" s="72"/>
    </row>
    <row r="146" ht="15.75" customHeight="1">
      <c r="W146" s="72"/>
    </row>
    <row r="147" ht="15.75" customHeight="1">
      <c r="W147" s="72"/>
    </row>
    <row r="148" ht="15.75" customHeight="1">
      <c r="W148" s="72"/>
    </row>
    <row r="149" ht="15.75" customHeight="1">
      <c r="W149" s="72"/>
    </row>
    <row r="150" ht="15.75" customHeight="1">
      <c r="W150" s="72"/>
    </row>
    <row r="151" ht="15.75" customHeight="1">
      <c r="W151" s="72"/>
    </row>
    <row r="152" ht="15.75" customHeight="1">
      <c r="W152" s="72"/>
    </row>
    <row r="153" ht="15.75" customHeight="1">
      <c r="W153" s="72"/>
    </row>
    <row r="154" ht="15.75" customHeight="1">
      <c r="W154" s="72"/>
    </row>
    <row r="155" ht="15.75" customHeight="1">
      <c r="W155" s="72"/>
    </row>
    <row r="156" ht="15.75" customHeight="1">
      <c r="W156" s="72"/>
    </row>
    <row r="157" ht="15.75" customHeight="1">
      <c r="W157" s="72"/>
    </row>
    <row r="158" ht="15.75" customHeight="1">
      <c r="W158" s="72"/>
    </row>
    <row r="159" ht="15.75" customHeight="1">
      <c r="W159" s="72"/>
    </row>
    <row r="160" ht="15.75" customHeight="1">
      <c r="W160" s="72"/>
    </row>
    <row r="161" ht="15.75" customHeight="1">
      <c r="W161" s="72"/>
    </row>
    <row r="162" ht="15.75" customHeight="1">
      <c r="W162" s="72"/>
    </row>
    <row r="163" ht="15.75" customHeight="1">
      <c r="W163" s="72"/>
    </row>
    <row r="164" ht="15.75" customHeight="1">
      <c r="W164" s="72"/>
    </row>
    <row r="165" ht="15.75" customHeight="1">
      <c r="W165" s="72"/>
    </row>
    <row r="166" ht="15.75" customHeight="1">
      <c r="W166" s="72"/>
    </row>
    <row r="167" ht="15.75" customHeight="1">
      <c r="W167" s="72"/>
    </row>
    <row r="168" ht="15.75" customHeight="1">
      <c r="W168" s="72"/>
    </row>
    <row r="169" ht="15.75" customHeight="1">
      <c r="W169" s="72"/>
    </row>
    <row r="170" ht="15.75" customHeight="1">
      <c r="W170" s="72"/>
    </row>
    <row r="171" ht="15.75" customHeight="1">
      <c r="W171" s="72"/>
    </row>
    <row r="172" ht="15.75" customHeight="1">
      <c r="W172" s="72"/>
    </row>
    <row r="173" ht="15.75" customHeight="1">
      <c r="W173" s="72"/>
    </row>
    <row r="174" ht="15.75" customHeight="1">
      <c r="W174" s="72"/>
    </row>
    <row r="175" ht="15.75" customHeight="1">
      <c r="W175" s="72"/>
    </row>
    <row r="176" ht="15.75" customHeight="1">
      <c r="W176" s="72"/>
    </row>
    <row r="177" ht="15.75" customHeight="1">
      <c r="W177" s="72"/>
    </row>
    <row r="178" ht="15.75" customHeight="1">
      <c r="W178" s="72"/>
    </row>
    <row r="179" ht="15.75" customHeight="1">
      <c r="W179" s="72"/>
    </row>
    <row r="180" ht="15.75" customHeight="1">
      <c r="W180" s="72"/>
    </row>
    <row r="181" ht="15.75" customHeight="1">
      <c r="W181" s="72"/>
    </row>
    <row r="182" ht="15.75" customHeight="1">
      <c r="W182" s="72"/>
    </row>
    <row r="183" ht="15.75" customHeight="1">
      <c r="W183" s="72"/>
    </row>
    <row r="184" ht="15.75" customHeight="1">
      <c r="W184" s="72"/>
    </row>
    <row r="185" ht="15.75" customHeight="1">
      <c r="W185" s="72"/>
    </row>
    <row r="186" ht="15.75" customHeight="1">
      <c r="W186" s="72"/>
    </row>
    <row r="187" ht="15.75" customHeight="1">
      <c r="W187" s="72"/>
    </row>
    <row r="188" ht="15.75" customHeight="1">
      <c r="W188" s="72"/>
    </row>
    <row r="189" ht="15.75" customHeight="1">
      <c r="W189" s="72"/>
    </row>
    <row r="190" ht="15.75" customHeight="1">
      <c r="W190" s="72"/>
    </row>
    <row r="191" ht="15.75" customHeight="1">
      <c r="W191" s="72"/>
    </row>
    <row r="192" ht="15.75" customHeight="1">
      <c r="W192" s="72"/>
    </row>
    <row r="193" ht="15.75" customHeight="1">
      <c r="W193" s="72"/>
    </row>
    <row r="194" ht="15.75" customHeight="1">
      <c r="W194" s="72"/>
    </row>
    <row r="195" ht="15.75" customHeight="1">
      <c r="W195" s="72"/>
    </row>
    <row r="196" ht="15.75" customHeight="1">
      <c r="W196" s="72"/>
    </row>
    <row r="197" ht="15.75" customHeight="1">
      <c r="W197" s="72"/>
    </row>
    <row r="198" ht="15.75" customHeight="1">
      <c r="W198" s="72"/>
    </row>
    <row r="199" ht="15.75" customHeight="1">
      <c r="W199" s="72"/>
    </row>
    <row r="200" ht="15.75" customHeight="1">
      <c r="W200" s="72"/>
    </row>
    <row r="201" ht="15.75" customHeight="1">
      <c r="W201" s="72"/>
    </row>
    <row r="202" ht="15.75" customHeight="1">
      <c r="W202" s="72"/>
    </row>
    <row r="203" ht="15.75" customHeight="1">
      <c r="W203" s="72"/>
    </row>
    <row r="204" ht="15.75" customHeight="1">
      <c r="W204" s="72"/>
    </row>
    <row r="205" ht="15.75" customHeight="1">
      <c r="W205" s="72"/>
    </row>
    <row r="206" ht="15.75" customHeight="1">
      <c r="W206" s="72"/>
    </row>
    <row r="207" ht="15.75" customHeight="1">
      <c r="W207" s="72"/>
    </row>
    <row r="208" ht="15.75" customHeight="1">
      <c r="W208" s="72"/>
    </row>
    <row r="209" ht="15.75" customHeight="1">
      <c r="W209" s="72"/>
    </row>
    <row r="210" ht="15.75" customHeight="1">
      <c r="W210" s="72"/>
    </row>
    <row r="211" ht="15.75" customHeight="1">
      <c r="W211" s="72"/>
    </row>
    <row r="212" ht="15.75" customHeight="1">
      <c r="W212" s="72"/>
    </row>
    <row r="213" ht="15.75" customHeight="1">
      <c r="W213" s="72"/>
    </row>
    <row r="214" ht="15.75" customHeight="1">
      <c r="W214" s="72"/>
    </row>
    <row r="215" ht="15.75" customHeight="1">
      <c r="W215" s="72"/>
    </row>
    <row r="216" ht="15.75" customHeight="1">
      <c r="W216" s="72"/>
    </row>
    <row r="217" ht="15.75" customHeight="1">
      <c r="W217" s="72"/>
    </row>
    <row r="218" ht="15.75" customHeight="1">
      <c r="W218" s="72"/>
    </row>
    <row r="219" ht="15.75" customHeight="1">
      <c r="W219" s="72"/>
    </row>
    <row r="220" ht="15.75" customHeight="1">
      <c r="W220" s="72"/>
    </row>
    <row r="221" ht="15.75" customHeight="1">
      <c r="W221" s="72"/>
    </row>
    <row r="222" ht="15.75" customHeight="1">
      <c r="W222" s="72"/>
    </row>
    <row r="223" ht="15.75" customHeight="1">
      <c r="W223" s="72"/>
    </row>
    <row r="224" ht="15.75" customHeight="1">
      <c r="W224" s="72"/>
    </row>
    <row r="225" ht="15.75" customHeight="1">
      <c r="W225" s="72"/>
    </row>
    <row r="226" ht="15.75" customHeight="1">
      <c r="W226" s="72"/>
    </row>
    <row r="227" ht="15.75" customHeight="1">
      <c r="W227" s="72"/>
    </row>
    <row r="228" ht="15.75" customHeight="1">
      <c r="W228" s="72"/>
    </row>
    <row r="229" ht="15.75" customHeight="1">
      <c r="W229" s="72"/>
    </row>
    <row r="230" ht="15.75" customHeight="1">
      <c r="W230" s="72"/>
    </row>
    <row r="231" ht="15.75" customHeight="1">
      <c r="W231" s="72"/>
    </row>
    <row r="232" ht="15.75" customHeight="1">
      <c r="W232" s="72"/>
    </row>
    <row r="233" ht="15.75" customHeight="1">
      <c r="W233" s="72"/>
    </row>
    <row r="234" ht="15.75" customHeight="1">
      <c r="W234" s="72"/>
    </row>
    <row r="235" ht="15.75" customHeight="1">
      <c r="W235" s="72"/>
    </row>
    <row r="236" ht="15.75" customHeight="1">
      <c r="W236" s="72"/>
    </row>
    <row r="237" ht="15.75" customHeight="1">
      <c r="W237" s="72"/>
    </row>
    <row r="238" ht="15.75" customHeight="1">
      <c r="W238" s="72"/>
    </row>
    <row r="239" ht="15.75" customHeight="1">
      <c r="W239" s="72"/>
    </row>
    <row r="240" ht="15.75" customHeight="1">
      <c r="W240" s="72"/>
    </row>
    <row r="241" ht="15.75" customHeight="1">
      <c r="W241" s="72"/>
    </row>
    <row r="242" ht="15.75" customHeight="1">
      <c r="W242" s="72"/>
    </row>
    <row r="243" ht="15.75" customHeight="1">
      <c r="W243" s="72"/>
    </row>
    <row r="244" ht="15.75" customHeight="1">
      <c r="W244" s="72"/>
    </row>
    <row r="245" ht="15.75" customHeight="1">
      <c r="W245" s="72"/>
    </row>
    <row r="246" ht="15.75" customHeight="1">
      <c r="W246" s="72"/>
    </row>
    <row r="247" ht="15.75" customHeight="1">
      <c r="W247" s="72"/>
    </row>
    <row r="248" ht="15.75" customHeight="1">
      <c r="W248" s="72"/>
    </row>
    <row r="249" ht="15.75" customHeight="1">
      <c r="W249" s="72"/>
    </row>
    <row r="250" ht="15.75" customHeight="1">
      <c r="W250" s="72"/>
    </row>
    <row r="251" ht="15.75" customHeight="1">
      <c r="W251" s="72"/>
    </row>
    <row r="252" ht="15.75" customHeight="1">
      <c r="W252" s="72"/>
    </row>
    <row r="253" ht="15.75" customHeight="1">
      <c r="W253" s="72"/>
    </row>
    <row r="254" ht="15.75" customHeight="1">
      <c r="W254" s="72"/>
    </row>
    <row r="255" ht="15.75" customHeight="1">
      <c r="W255" s="72"/>
    </row>
    <row r="256" ht="15.75" customHeight="1">
      <c r="W256" s="72"/>
    </row>
    <row r="257" ht="15.75" customHeight="1">
      <c r="W257" s="72"/>
    </row>
    <row r="258" ht="15.75" customHeight="1">
      <c r="W258" s="72"/>
    </row>
    <row r="259" ht="15.75" customHeight="1">
      <c r="W259" s="72"/>
    </row>
    <row r="260" ht="15.75" customHeight="1">
      <c r="W260" s="72"/>
    </row>
    <row r="261" ht="15.75" customHeight="1">
      <c r="W261" s="72"/>
    </row>
    <row r="262" ht="15.75" customHeight="1">
      <c r="W262" s="72"/>
    </row>
    <row r="263" ht="15.75" customHeight="1">
      <c r="W263" s="72"/>
    </row>
    <row r="264" ht="15.75" customHeight="1">
      <c r="W264" s="72"/>
    </row>
    <row r="265" ht="15.75" customHeight="1">
      <c r="W265" s="72"/>
    </row>
    <row r="266" ht="15.75" customHeight="1">
      <c r="W266" s="72"/>
    </row>
    <row r="267" ht="15.75" customHeight="1">
      <c r="W267" s="72"/>
    </row>
    <row r="268" ht="15.75" customHeight="1">
      <c r="W268" s="72"/>
    </row>
    <row r="269" ht="15.75" customHeight="1">
      <c r="W269" s="72"/>
    </row>
    <row r="270" ht="15.75" customHeight="1">
      <c r="W270" s="72"/>
    </row>
    <row r="271" ht="15.75" customHeight="1">
      <c r="W271" s="72"/>
    </row>
    <row r="272" ht="15.75" customHeight="1">
      <c r="W272" s="72"/>
    </row>
    <row r="273" ht="15.75" customHeight="1">
      <c r="W273" s="72"/>
    </row>
    <row r="274" ht="15.75" customHeight="1">
      <c r="W274" s="72"/>
    </row>
    <row r="275" ht="15.75" customHeight="1">
      <c r="W275" s="72"/>
    </row>
    <row r="276" ht="15.75" customHeight="1">
      <c r="W276" s="72"/>
    </row>
    <row r="277" ht="15.75" customHeight="1">
      <c r="W277" s="72"/>
    </row>
    <row r="278" ht="15.75" customHeight="1">
      <c r="W278" s="72"/>
    </row>
    <row r="279" ht="15.75" customHeight="1">
      <c r="W279" s="72"/>
    </row>
    <row r="280" ht="15.75" customHeight="1">
      <c r="W280" s="72"/>
    </row>
    <row r="281" ht="15.75" customHeight="1">
      <c r="W281" s="72"/>
    </row>
    <row r="282" ht="15.75" customHeight="1">
      <c r="W282" s="72"/>
    </row>
    <row r="283" ht="15.75" customHeight="1">
      <c r="W283" s="72"/>
    </row>
    <row r="284" ht="15.75" customHeight="1">
      <c r="W284" s="72"/>
    </row>
    <row r="285" ht="15.75" customHeight="1">
      <c r="W285" s="72"/>
    </row>
    <row r="286" ht="15.75" customHeight="1">
      <c r="W286" s="72"/>
    </row>
    <row r="287" ht="15.75" customHeight="1">
      <c r="W287" s="72"/>
    </row>
    <row r="288" ht="15.75" customHeight="1">
      <c r="W288" s="72"/>
    </row>
    <row r="289" ht="15.75" customHeight="1">
      <c r="W289" s="72"/>
    </row>
    <row r="290" ht="15.75" customHeight="1">
      <c r="W290" s="72"/>
    </row>
    <row r="291" ht="15.75" customHeight="1">
      <c r="W291" s="72"/>
    </row>
    <row r="292" ht="15.75" customHeight="1">
      <c r="W292" s="72"/>
    </row>
    <row r="293" ht="15.75" customHeight="1">
      <c r="W293" s="72"/>
    </row>
    <row r="294" ht="15.75" customHeight="1">
      <c r="W294" s="72"/>
    </row>
    <row r="295" ht="15.75" customHeight="1">
      <c r="W295" s="72"/>
    </row>
    <row r="296" ht="15.75" customHeight="1">
      <c r="W296" s="72"/>
    </row>
    <row r="297" ht="15.75" customHeight="1">
      <c r="W297" s="72"/>
    </row>
    <row r="298" ht="15.75" customHeight="1">
      <c r="W298" s="72"/>
    </row>
    <row r="299" ht="15.75" customHeight="1">
      <c r="W299" s="72"/>
    </row>
    <row r="300" ht="15.75" customHeight="1">
      <c r="W300" s="72"/>
    </row>
    <row r="301" ht="15.75" customHeight="1">
      <c r="W301" s="72"/>
    </row>
    <row r="302" ht="15.75" customHeight="1">
      <c r="W302" s="72"/>
    </row>
    <row r="303" ht="15.75" customHeight="1">
      <c r="W303" s="72"/>
    </row>
    <row r="304" ht="15.75" customHeight="1">
      <c r="W304" s="72"/>
    </row>
    <row r="305" ht="15.75" customHeight="1">
      <c r="W305" s="72"/>
    </row>
    <row r="306" ht="15.75" customHeight="1">
      <c r="W306" s="72"/>
    </row>
    <row r="307" ht="15.75" customHeight="1">
      <c r="W307" s="72"/>
    </row>
    <row r="308" ht="15.75" customHeight="1">
      <c r="W308" s="72"/>
    </row>
    <row r="309" ht="15.75" customHeight="1">
      <c r="W309" s="72"/>
    </row>
    <row r="310" ht="15.75" customHeight="1">
      <c r="W310" s="72"/>
    </row>
    <row r="311" ht="15.75" customHeight="1">
      <c r="W311" s="72"/>
    </row>
    <row r="312" ht="15.75" customHeight="1">
      <c r="W312" s="72"/>
    </row>
    <row r="313" ht="15.75" customHeight="1">
      <c r="W313" s="72"/>
    </row>
    <row r="314" ht="15.75" customHeight="1">
      <c r="W314" s="72"/>
    </row>
    <row r="315" ht="15.75" customHeight="1">
      <c r="W315" s="72"/>
    </row>
    <row r="316" ht="15.75" customHeight="1">
      <c r="W316" s="72"/>
    </row>
    <row r="317" ht="15.75" customHeight="1">
      <c r="W317" s="72"/>
    </row>
    <row r="318" ht="15.75" customHeight="1">
      <c r="W318" s="72"/>
    </row>
    <row r="319" ht="15.75" customHeight="1">
      <c r="W319" s="72"/>
    </row>
    <row r="320" ht="15.75" customHeight="1">
      <c r="W320" s="72"/>
    </row>
    <row r="321" ht="15.75" customHeight="1">
      <c r="W321" s="72"/>
    </row>
    <row r="322" ht="15.75" customHeight="1">
      <c r="W322" s="72"/>
    </row>
    <row r="323" ht="15.75" customHeight="1">
      <c r="W323" s="72"/>
    </row>
    <row r="324" ht="15.75" customHeight="1">
      <c r="W324" s="72"/>
    </row>
    <row r="325" ht="15.75" customHeight="1">
      <c r="W325" s="72"/>
    </row>
    <row r="326" ht="15.75" customHeight="1">
      <c r="W326" s="72"/>
    </row>
    <row r="327" ht="15.75" customHeight="1">
      <c r="W327" s="72"/>
    </row>
    <row r="328" ht="15.75" customHeight="1">
      <c r="W328" s="72"/>
    </row>
    <row r="329" ht="15.75" customHeight="1">
      <c r="W329" s="72"/>
    </row>
    <row r="330" ht="15.75" customHeight="1">
      <c r="W330" s="72"/>
    </row>
    <row r="331" ht="15.75" customHeight="1">
      <c r="W331" s="72"/>
    </row>
    <row r="332" ht="15.75" customHeight="1">
      <c r="W332" s="72"/>
    </row>
    <row r="333" ht="15.75" customHeight="1">
      <c r="W333" s="72"/>
    </row>
    <row r="334" ht="15.75" customHeight="1">
      <c r="W334" s="72"/>
    </row>
    <row r="335" ht="15.75" customHeight="1">
      <c r="W335" s="72"/>
    </row>
    <row r="336" ht="15.75" customHeight="1">
      <c r="W336" s="72"/>
    </row>
    <row r="337" ht="15.75" customHeight="1">
      <c r="W337" s="72"/>
    </row>
    <row r="338" ht="15.75" customHeight="1">
      <c r="W338" s="72"/>
    </row>
    <row r="339" ht="15.75" customHeight="1">
      <c r="W339" s="72"/>
    </row>
    <row r="340" ht="15.75" customHeight="1">
      <c r="W340" s="72"/>
    </row>
    <row r="341" ht="15.75" customHeight="1">
      <c r="W341" s="72"/>
    </row>
    <row r="342" ht="15.75" customHeight="1">
      <c r="W342" s="72"/>
    </row>
    <row r="343" ht="15.75" customHeight="1">
      <c r="W343" s="72"/>
    </row>
    <row r="344" ht="15.75" customHeight="1">
      <c r="W344" s="72"/>
    </row>
    <row r="345" ht="15.75" customHeight="1">
      <c r="W345" s="72"/>
    </row>
    <row r="346" ht="15.75" customHeight="1">
      <c r="W346" s="72"/>
    </row>
    <row r="347" ht="15.75" customHeight="1">
      <c r="W347" s="72"/>
    </row>
    <row r="348" ht="15.75" customHeight="1">
      <c r="W348" s="72"/>
    </row>
    <row r="349" ht="15.75" customHeight="1">
      <c r="W349" s="72"/>
    </row>
    <row r="350" ht="15.75" customHeight="1">
      <c r="W350" s="72"/>
    </row>
    <row r="351" ht="15.75" customHeight="1">
      <c r="W351" s="72"/>
    </row>
    <row r="352" ht="15.75" customHeight="1">
      <c r="W352" s="72"/>
    </row>
    <row r="353" ht="15.75" customHeight="1">
      <c r="W353" s="72"/>
    </row>
    <row r="354" ht="15.75" customHeight="1">
      <c r="W354" s="72"/>
    </row>
    <row r="355" ht="15.75" customHeight="1">
      <c r="W355" s="72"/>
    </row>
    <row r="356" ht="15.75" customHeight="1">
      <c r="W356" s="72"/>
    </row>
    <row r="357" ht="15.75" customHeight="1">
      <c r="W357" s="72"/>
    </row>
    <row r="358" ht="15.75" customHeight="1">
      <c r="W358" s="72"/>
    </row>
    <row r="359" ht="15.75" customHeight="1">
      <c r="W359" s="72"/>
    </row>
    <row r="360" ht="15.75" customHeight="1">
      <c r="W360" s="72"/>
    </row>
    <row r="361" ht="15.75" customHeight="1">
      <c r="W361" s="72"/>
    </row>
    <row r="362" ht="15.75" customHeight="1">
      <c r="W362" s="72"/>
    </row>
    <row r="363" ht="15.75" customHeight="1">
      <c r="W363" s="72"/>
    </row>
    <row r="364" ht="15.75" customHeight="1">
      <c r="W364" s="72"/>
    </row>
    <row r="365" ht="15.75" customHeight="1">
      <c r="W365" s="72"/>
    </row>
    <row r="366" ht="15.75" customHeight="1">
      <c r="W366" s="72"/>
    </row>
    <row r="367" ht="15.75" customHeight="1">
      <c r="W367" s="72"/>
    </row>
    <row r="368" ht="15.75" customHeight="1">
      <c r="W368" s="72"/>
    </row>
    <row r="369" ht="15.75" customHeight="1">
      <c r="W369" s="72"/>
    </row>
    <row r="370" ht="15.75" customHeight="1">
      <c r="W370" s="72"/>
    </row>
    <row r="371" ht="15.75" customHeight="1">
      <c r="W371" s="72"/>
    </row>
    <row r="372" ht="15.75" customHeight="1">
      <c r="W372" s="72"/>
    </row>
    <row r="373" ht="15.75" customHeight="1">
      <c r="W373" s="72"/>
    </row>
    <row r="374" ht="15.75" customHeight="1">
      <c r="W374" s="72"/>
    </row>
    <row r="375" ht="15.75" customHeight="1">
      <c r="W375" s="72"/>
    </row>
    <row r="376" ht="15.75" customHeight="1">
      <c r="W376" s="72"/>
    </row>
    <row r="377" ht="15.75" customHeight="1">
      <c r="W377" s="72"/>
    </row>
    <row r="378" ht="15.75" customHeight="1">
      <c r="W378" s="72"/>
    </row>
    <row r="379" ht="15.75" customHeight="1">
      <c r="W379" s="72"/>
    </row>
    <row r="380" ht="15.75" customHeight="1">
      <c r="W380" s="72"/>
    </row>
    <row r="381" ht="15.75" customHeight="1">
      <c r="W381" s="72"/>
    </row>
    <row r="382" ht="15.75" customHeight="1">
      <c r="W382" s="72"/>
    </row>
    <row r="383" ht="15.75" customHeight="1">
      <c r="W383" s="72"/>
    </row>
    <row r="384" ht="15.75" customHeight="1">
      <c r="W384" s="72"/>
    </row>
    <row r="385" ht="15.75" customHeight="1">
      <c r="W385" s="72"/>
    </row>
    <row r="386" ht="15.75" customHeight="1">
      <c r="W386" s="72"/>
    </row>
    <row r="387" ht="15.75" customHeight="1">
      <c r="W387" s="72"/>
    </row>
    <row r="388" ht="15.75" customHeight="1">
      <c r="W388" s="72"/>
    </row>
    <row r="389" ht="15.75" customHeight="1">
      <c r="W389" s="72"/>
    </row>
    <row r="390" ht="15.75" customHeight="1">
      <c r="W390" s="72"/>
    </row>
    <row r="391" ht="15.75" customHeight="1">
      <c r="W391" s="72"/>
    </row>
    <row r="392" ht="15.75" customHeight="1">
      <c r="W392" s="72"/>
    </row>
    <row r="393" ht="15.75" customHeight="1">
      <c r="W393" s="72"/>
    </row>
    <row r="394" ht="15.75" customHeight="1">
      <c r="W394" s="72"/>
    </row>
    <row r="395" ht="15.75" customHeight="1">
      <c r="W395" s="72"/>
    </row>
    <row r="396" ht="15.75" customHeight="1">
      <c r="W396" s="72"/>
    </row>
    <row r="397" ht="15.75" customHeight="1">
      <c r="W397" s="72"/>
    </row>
    <row r="398" ht="15.75" customHeight="1">
      <c r="W398" s="72"/>
    </row>
    <row r="399" ht="15.75" customHeight="1">
      <c r="W399" s="72"/>
    </row>
    <row r="400" ht="15.75" customHeight="1">
      <c r="W400" s="72"/>
    </row>
    <row r="401" ht="15.75" customHeight="1">
      <c r="W401" s="72"/>
    </row>
    <row r="402" ht="15.75" customHeight="1">
      <c r="W402" s="72"/>
    </row>
    <row r="403" ht="15.75" customHeight="1">
      <c r="W403" s="72"/>
    </row>
    <row r="404" ht="15.75" customHeight="1">
      <c r="W404" s="72"/>
    </row>
    <row r="405" ht="15.75" customHeight="1">
      <c r="W405" s="72"/>
    </row>
    <row r="406" ht="15.75" customHeight="1">
      <c r="W406" s="72"/>
    </row>
    <row r="407" ht="15.75" customHeight="1">
      <c r="W407" s="72"/>
    </row>
    <row r="408" ht="15.75" customHeight="1">
      <c r="W408" s="72"/>
    </row>
    <row r="409" ht="15.75" customHeight="1">
      <c r="W409" s="72"/>
    </row>
    <row r="410" ht="15.75" customHeight="1">
      <c r="W410" s="72"/>
    </row>
    <row r="411" ht="15.75" customHeight="1">
      <c r="W411" s="72"/>
    </row>
    <row r="412" ht="15.75" customHeight="1">
      <c r="W412" s="72"/>
    </row>
    <row r="413" ht="15.75" customHeight="1">
      <c r="W413" s="72"/>
    </row>
    <row r="414" ht="15.75" customHeight="1">
      <c r="W414" s="72"/>
    </row>
    <row r="415" ht="15.75" customHeight="1">
      <c r="W415" s="72"/>
    </row>
    <row r="416" ht="15.75" customHeight="1">
      <c r="W416" s="72"/>
    </row>
    <row r="417" ht="15.75" customHeight="1">
      <c r="W417" s="72"/>
    </row>
    <row r="418" ht="15.75" customHeight="1">
      <c r="W418" s="72"/>
    </row>
    <row r="419" ht="15.75" customHeight="1">
      <c r="W419" s="72"/>
    </row>
    <row r="420" ht="15.75" customHeight="1">
      <c r="W420" s="72"/>
    </row>
    <row r="421" ht="15.75" customHeight="1">
      <c r="W421" s="72"/>
    </row>
    <row r="422" ht="15.75" customHeight="1">
      <c r="W422" s="72"/>
    </row>
    <row r="423" ht="15.75" customHeight="1">
      <c r="W423" s="72"/>
    </row>
    <row r="424" ht="15.75" customHeight="1">
      <c r="W424" s="72"/>
    </row>
    <row r="425" ht="15.75" customHeight="1">
      <c r="W425" s="72"/>
    </row>
    <row r="426" ht="15.75" customHeight="1">
      <c r="W426" s="72"/>
    </row>
    <row r="427" ht="15.75" customHeight="1">
      <c r="W427" s="72"/>
    </row>
    <row r="428" ht="15.75" customHeight="1">
      <c r="W428" s="72"/>
    </row>
    <row r="429" ht="15.75" customHeight="1">
      <c r="W429" s="72"/>
    </row>
    <row r="430" ht="15.75" customHeight="1">
      <c r="W430" s="72"/>
    </row>
    <row r="431" ht="15.75" customHeight="1">
      <c r="W431" s="72"/>
    </row>
    <row r="432" ht="15.75" customHeight="1">
      <c r="W432" s="72"/>
    </row>
    <row r="433" ht="15.75" customHeight="1">
      <c r="W433" s="72"/>
    </row>
    <row r="434" ht="15.75" customHeight="1">
      <c r="W434" s="72"/>
    </row>
    <row r="435" ht="15.75" customHeight="1">
      <c r="W435" s="72"/>
    </row>
    <row r="436" ht="15.75" customHeight="1">
      <c r="W436" s="72"/>
    </row>
    <row r="437" ht="15.75" customHeight="1">
      <c r="W437" s="72"/>
    </row>
    <row r="438" ht="15.75" customHeight="1">
      <c r="W438" s="72"/>
    </row>
    <row r="439" ht="15.75" customHeight="1">
      <c r="W439" s="72"/>
    </row>
    <row r="440" ht="15.75" customHeight="1">
      <c r="W440" s="72"/>
    </row>
    <row r="441" ht="15.75" customHeight="1">
      <c r="W441" s="72"/>
    </row>
    <row r="442" ht="15.75" customHeight="1">
      <c r="W442" s="72"/>
    </row>
    <row r="443" ht="15.75" customHeight="1">
      <c r="W443" s="72"/>
    </row>
    <row r="444" ht="15.75" customHeight="1">
      <c r="W444" s="72"/>
    </row>
    <row r="445" ht="15.75" customHeight="1">
      <c r="W445" s="72"/>
    </row>
    <row r="446" ht="15.75" customHeight="1">
      <c r="W446" s="72"/>
    </row>
    <row r="447" ht="15.75" customHeight="1">
      <c r="W447" s="72"/>
    </row>
    <row r="448" ht="15.75" customHeight="1">
      <c r="W448" s="72"/>
    </row>
    <row r="449" ht="15.75" customHeight="1">
      <c r="W449" s="72"/>
    </row>
    <row r="450" ht="15.75" customHeight="1">
      <c r="W450" s="72"/>
    </row>
    <row r="451" ht="15.75" customHeight="1">
      <c r="W451" s="72"/>
    </row>
    <row r="452" ht="15.75" customHeight="1">
      <c r="W452" s="72"/>
    </row>
    <row r="453" ht="15.75" customHeight="1">
      <c r="W453" s="72"/>
    </row>
    <row r="454" ht="15.75" customHeight="1">
      <c r="W454" s="72"/>
    </row>
    <row r="455" ht="15.75" customHeight="1">
      <c r="W455" s="72"/>
    </row>
    <row r="456" ht="15.75" customHeight="1">
      <c r="W456" s="72"/>
    </row>
    <row r="457" ht="15.75" customHeight="1">
      <c r="W457" s="72"/>
    </row>
    <row r="458" ht="15.75" customHeight="1">
      <c r="W458" s="72"/>
    </row>
    <row r="459" ht="15.75" customHeight="1">
      <c r="W459" s="72"/>
    </row>
    <row r="460" ht="15.75" customHeight="1">
      <c r="W460" s="72"/>
    </row>
    <row r="461" ht="15.75" customHeight="1">
      <c r="W461" s="72"/>
    </row>
    <row r="462" ht="15.75" customHeight="1">
      <c r="W462" s="72"/>
    </row>
    <row r="463" ht="15.75" customHeight="1">
      <c r="W463" s="72"/>
    </row>
    <row r="464" ht="15.75" customHeight="1">
      <c r="W464" s="72"/>
    </row>
    <row r="465" ht="15.75" customHeight="1">
      <c r="W465" s="72"/>
    </row>
    <row r="466" ht="15.75" customHeight="1">
      <c r="W466" s="72"/>
    </row>
    <row r="467" ht="15.75" customHeight="1">
      <c r="W467" s="72"/>
    </row>
    <row r="468" ht="15.75" customHeight="1">
      <c r="W468" s="72"/>
    </row>
    <row r="469" ht="15.75" customHeight="1">
      <c r="W469" s="72"/>
    </row>
    <row r="470" ht="15.75" customHeight="1">
      <c r="W470" s="72"/>
    </row>
    <row r="471" ht="15.75" customHeight="1">
      <c r="W471" s="72"/>
    </row>
    <row r="472" ht="15.75" customHeight="1">
      <c r="W472" s="72"/>
    </row>
    <row r="473" ht="15.75" customHeight="1">
      <c r="W473" s="72"/>
    </row>
    <row r="474" ht="15.75" customHeight="1">
      <c r="W474" s="72"/>
    </row>
    <row r="475" ht="15.75" customHeight="1">
      <c r="W475" s="72"/>
    </row>
    <row r="476" ht="15.75" customHeight="1">
      <c r="W476" s="72"/>
    </row>
    <row r="477" ht="15.75" customHeight="1">
      <c r="W477" s="72"/>
    </row>
    <row r="478" ht="15.75" customHeight="1">
      <c r="W478" s="72"/>
    </row>
    <row r="479" ht="15.75" customHeight="1">
      <c r="W479" s="72"/>
    </row>
    <row r="480" ht="15.75" customHeight="1">
      <c r="W480" s="72"/>
    </row>
    <row r="481" ht="15.75" customHeight="1">
      <c r="W481" s="72"/>
    </row>
    <row r="482" ht="15.75" customHeight="1">
      <c r="W482" s="72"/>
    </row>
    <row r="483" ht="15.75" customHeight="1">
      <c r="W483" s="72"/>
    </row>
    <row r="484" ht="15.75" customHeight="1">
      <c r="W484" s="72"/>
    </row>
    <row r="485" ht="15.75" customHeight="1">
      <c r="W485" s="72"/>
    </row>
    <row r="486" ht="15.75" customHeight="1">
      <c r="W486" s="72"/>
    </row>
    <row r="487" ht="15.75" customHeight="1">
      <c r="W487" s="72"/>
    </row>
    <row r="488" ht="15.75" customHeight="1">
      <c r="W488" s="72"/>
    </row>
    <row r="489" ht="15.75" customHeight="1">
      <c r="W489" s="72"/>
    </row>
    <row r="490" ht="15.75" customHeight="1">
      <c r="W490" s="72"/>
    </row>
    <row r="491" ht="15.75" customHeight="1">
      <c r="W491" s="72"/>
    </row>
    <row r="492" ht="15.75" customHeight="1">
      <c r="W492" s="72"/>
    </row>
    <row r="493" ht="15.75" customHeight="1">
      <c r="W493" s="72"/>
    </row>
    <row r="494" ht="15.75" customHeight="1">
      <c r="W494" s="72"/>
    </row>
    <row r="495" ht="15.75" customHeight="1">
      <c r="W495" s="72"/>
    </row>
    <row r="496" ht="15.75" customHeight="1">
      <c r="W496" s="72"/>
    </row>
    <row r="497" ht="15.75" customHeight="1">
      <c r="W497" s="72"/>
    </row>
    <row r="498" ht="15.75" customHeight="1">
      <c r="W498" s="72"/>
    </row>
    <row r="499" ht="15.75" customHeight="1">
      <c r="W499" s="72"/>
    </row>
    <row r="500" ht="15.75" customHeight="1">
      <c r="W500" s="72"/>
    </row>
    <row r="501" ht="15.75" customHeight="1">
      <c r="W501" s="72"/>
    </row>
    <row r="502" ht="15.75" customHeight="1">
      <c r="W502" s="72"/>
    </row>
    <row r="503" ht="15.75" customHeight="1">
      <c r="W503" s="72"/>
    </row>
    <row r="504" ht="15.75" customHeight="1">
      <c r="W504" s="72"/>
    </row>
    <row r="505" ht="15.75" customHeight="1">
      <c r="W505" s="72"/>
    </row>
    <row r="506" ht="15.75" customHeight="1">
      <c r="W506" s="72"/>
    </row>
    <row r="507" ht="15.75" customHeight="1">
      <c r="W507" s="72"/>
    </row>
    <row r="508" ht="15.75" customHeight="1">
      <c r="W508" s="72"/>
    </row>
    <row r="509" ht="15.75" customHeight="1">
      <c r="W509" s="72"/>
    </row>
    <row r="510" ht="15.75" customHeight="1">
      <c r="W510" s="72"/>
    </row>
    <row r="511" ht="15.75" customHeight="1">
      <c r="W511" s="72"/>
    </row>
    <row r="512" ht="15.75" customHeight="1">
      <c r="W512" s="72"/>
    </row>
    <row r="513" ht="15.75" customHeight="1">
      <c r="W513" s="72"/>
    </row>
    <row r="514" ht="15.75" customHeight="1">
      <c r="W514" s="72"/>
    </row>
    <row r="515" ht="15.75" customHeight="1">
      <c r="W515" s="72"/>
    </row>
    <row r="516" ht="15.75" customHeight="1">
      <c r="W516" s="72"/>
    </row>
    <row r="517" ht="15.75" customHeight="1">
      <c r="W517" s="72"/>
    </row>
    <row r="518" ht="15.75" customHeight="1">
      <c r="W518" s="72"/>
    </row>
    <row r="519" ht="15.75" customHeight="1">
      <c r="W519" s="72"/>
    </row>
    <row r="520" ht="15.75" customHeight="1">
      <c r="W520" s="72"/>
    </row>
    <row r="521" ht="15.75" customHeight="1">
      <c r="W521" s="72"/>
    </row>
    <row r="522" ht="15.75" customHeight="1">
      <c r="W522" s="72"/>
    </row>
    <row r="523" ht="15.75" customHeight="1">
      <c r="W523" s="72"/>
    </row>
    <row r="524" ht="15.75" customHeight="1">
      <c r="W524" s="72"/>
    </row>
    <row r="525" ht="15.75" customHeight="1">
      <c r="W525" s="72"/>
    </row>
    <row r="526" ht="15.75" customHeight="1">
      <c r="W526" s="72"/>
    </row>
    <row r="527" ht="15.75" customHeight="1">
      <c r="W527" s="72"/>
    </row>
    <row r="528" ht="15.75" customHeight="1">
      <c r="W528" s="72"/>
    </row>
    <row r="529" ht="15.75" customHeight="1">
      <c r="W529" s="72"/>
    </row>
    <row r="530" ht="15.75" customHeight="1">
      <c r="W530" s="72"/>
    </row>
    <row r="531" ht="15.75" customHeight="1">
      <c r="W531" s="72"/>
    </row>
    <row r="532" ht="15.75" customHeight="1">
      <c r="W532" s="72"/>
    </row>
    <row r="533" ht="15.75" customHeight="1">
      <c r="W533" s="72"/>
    </row>
    <row r="534" ht="15.75" customHeight="1">
      <c r="W534" s="72"/>
    </row>
    <row r="535" ht="15.75" customHeight="1">
      <c r="W535" s="72"/>
    </row>
    <row r="536" ht="15.75" customHeight="1">
      <c r="W536" s="72"/>
    </row>
    <row r="537" ht="15.75" customHeight="1">
      <c r="W537" s="72"/>
    </row>
    <row r="538" ht="15.75" customHeight="1">
      <c r="W538" s="72"/>
    </row>
    <row r="539" ht="15.75" customHeight="1">
      <c r="W539" s="72"/>
    </row>
    <row r="540" ht="15.75" customHeight="1">
      <c r="W540" s="72"/>
    </row>
    <row r="541" ht="15.75" customHeight="1">
      <c r="W541" s="72"/>
    </row>
    <row r="542" ht="15.75" customHeight="1">
      <c r="W542" s="72"/>
    </row>
    <row r="543" ht="15.75" customHeight="1">
      <c r="W543" s="72"/>
    </row>
    <row r="544" ht="15.75" customHeight="1">
      <c r="W544" s="72"/>
    </row>
    <row r="545" ht="15.75" customHeight="1">
      <c r="W545" s="72"/>
    </row>
    <row r="546" ht="15.75" customHeight="1">
      <c r="W546" s="72"/>
    </row>
    <row r="547" ht="15.75" customHeight="1">
      <c r="W547" s="72"/>
    </row>
    <row r="548" ht="15.75" customHeight="1">
      <c r="W548" s="72"/>
    </row>
    <row r="549" ht="15.75" customHeight="1">
      <c r="W549" s="72"/>
    </row>
    <row r="550" ht="15.75" customHeight="1">
      <c r="W550" s="72"/>
    </row>
    <row r="551" ht="15.75" customHeight="1">
      <c r="W551" s="72"/>
    </row>
    <row r="552" ht="15.75" customHeight="1">
      <c r="W552" s="72"/>
    </row>
    <row r="553" ht="15.75" customHeight="1">
      <c r="W553" s="72"/>
    </row>
    <row r="554" ht="15.75" customHeight="1">
      <c r="W554" s="72"/>
    </row>
    <row r="555" ht="15.75" customHeight="1">
      <c r="W555" s="72"/>
    </row>
    <row r="556" ht="15.75" customHeight="1">
      <c r="W556" s="72"/>
    </row>
    <row r="557" ht="15.75" customHeight="1">
      <c r="W557" s="72"/>
    </row>
    <row r="558" ht="15.75" customHeight="1">
      <c r="W558" s="72"/>
    </row>
    <row r="559" ht="15.75" customHeight="1">
      <c r="W559" s="72"/>
    </row>
    <row r="560" ht="15.75" customHeight="1">
      <c r="W560" s="72"/>
    </row>
    <row r="561" ht="15.75" customHeight="1">
      <c r="W561" s="72"/>
    </row>
    <row r="562" ht="15.75" customHeight="1">
      <c r="W562" s="72"/>
    </row>
    <row r="563" ht="15.75" customHeight="1">
      <c r="W563" s="72"/>
    </row>
    <row r="564" ht="15.75" customHeight="1">
      <c r="W564" s="72"/>
    </row>
    <row r="565" ht="15.75" customHeight="1">
      <c r="W565" s="72"/>
    </row>
    <row r="566" ht="15.75" customHeight="1">
      <c r="W566" s="72"/>
    </row>
    <row r="567" ht="15.75" customHeight="1">
      <c r="W567" s="72"/>
    </row>
    <row r="568" ht="15.75" customHeight="1">
      <c r="W568" s="72"/>
    </row>
    <row r="569" ht="15.75" customHeight="1">
      <c r="W569" s="72"/>
    </row>
    <row r="570" ht="15.75" customHeight="1">
      <c r="W570" s="72"/>
    </row>
    <row r="571" ht="15.75" customHeight="1">
      <c r="W571" s="72"/>
    </row>
    <row r="572" ht="15.75" customHeight="1">
      <c r="W572" s="72"/>
    </row>
    <row r="573" ht="15.75" customHeight="1">
      <c r="W573" s="72"/>
    </row>
    <row r="574" ht="15.75" customHeight="1">
      <c r="W574" s="72"/>
    </row>
    <row r="575" ht="15.75" customHeight="1">
      <c r="W575" s="72"/>
    </row>
    <row r="576" ht="15.75" customHeight="1">
      <c r="W576" s="72"/>
    </row>
    <row r="577" ht="15.75" customHeight="1">
      <c r="W577" s="72"/>
    </row>
    <row r="578" ht="15.75" customHeight="1">
      <c r="W578" s="72"/>
    </row>
    <row r="579" ht="15.75" customHeight="1">
      <c r="W579" s="72"/>
    </row>
    <row r="580" ht="15.75" customHeight="1">
      <c r="W580" s="72"/>
    </row>
    <row r="581" ht="15.75" customHeight="1">
      <c r="W581" s="72"/>
    </row>
    <row r="582" ht="15.75" customHeight="1">
      <c r="W582" s="72"/>
    </row>
    <row r="583" ht="15.75" customHeight="1">
      <c r="W583" s="72"/>
    </row>
    <row r="584" ht="15.75" customHeight="1">
      <c r="W584" s="72"/>
    </row>
    <row r="585" ht="15.75" customHeight="1">
      <c r="W585" s="72"/>
    </row>
    <row r="586" ht="15.75" customHeight="1">
      <c r="W586" s="72"/>
    </row>
    <row r="587" ht="15.75" customHeight="1">
      <c r="W587" s="72"/>
    </row>
    <row r="588" ht="15.75" customHeight="1">
      <c r="W588" s="72"/>
    </row>
    <row r="589" ht="15.75" customHeight="1">
      <c r="W589" s="72"/>
    </row>
    <row r="590" ht="15.75" customHeight="1">
      <c r="W590" s="72"/>
    </row>
    <row r="591" ht="15.75" customHeight="1">
      <c r="W591" s="72"/>
    </row>
    <row r="592" ht="15.75" customHeight="1">
      <c r="W592" s="72"/>
    </row>
    <row r="593" ht="15.75" customHeight="1">
      <c r="W593" s="72"/>
    </row>
    <row r="594" ht="15.75" customHeight="1">
      <c r="W594" s="72"/>
    </row>
    <row r="595" ht="15.75" customHeight="1">
      <c r="W595" s="72"/>
    </row>
    <row r="596" ht="15.75" customHeight="1">
      <c r="W596" s="72"/>
    </row>
    <row r="597" ht="15.75" customHeight="1">
      <c r="W597" s="72"/>
    </row>
    <row r="598" ht="15.75" customHeight="1">
      <c r="W598" s="72"/>
    </row>
    <row r="599" ht="15.75" customHeight="1">
      <c r="W599" s="72"/>
    </row>
    <row r="600" ht="15.75" customHeight="1">
      <c r="W600" s="72"/>
    </row>
    <row r="601" ht="15.75" customHeight="1">
      <c r="W601" s="72"/>
    </row>
    <row r="602" ht="15.75" customHeight="1">
      <c r="W602" s="72"/>
    </row>
    <row r="603" ht="15.75" customHeight="1">
      <c r="W603" s="72"/>
    </row>
    <row r="604" ht="15.75" customHeight="1">
      <c r="W604" s="72"/>
    </row>
    <row r="605" ht="15.75" customHeight="1">
      <c r="W605" s="72"/>
    </row>
    <row r="606" ht="15.75" customHeight="1">
      <c r="W606" s="72"/>
    </row>
    <row r="607" ht="15.75" customHeight="1">
      <c r="W607" s="72"/>
    </row>
    <row r="608" ht="15.75" customHeight="1">
      <c r="W608" s="72"/>
    </row>
    <row r="609" ht="15.75" customHeight="1">
      <c r="W609" s="72"/>
    </row>
    <row r="610" ht="15.75" customHeight="1">
      <c r="W610" s="72"/>
    </row>
    <row r="611" ht="15.75" customHeight="1">
      <c r="W611" s="72"/>
    </row>
    <row r="612" ht="15.75" customHeight="1">
      <c r="W612" s="72"/>
    </row>
    <row r="613" ht="15.75" customHeight="1">
      <c r="W613" s="72"/>
    </row>
    <row r="614" ht="15.75" customHeight="1">
      <c r="W614" s="72"/>
    </row>
    <row r="615" ht="15.75" customHeight="1">
      <c r="W615" s="72"/>
    </row>
    <row r="616" ht="15.75" customHeight="1">
      <c r="W616" s="72"/>
    </row>
    <row r="617" ht="15.75" customHeight="1">
      <c r="W617" s="72"/>
    </row>
    <row r="618" ht="15.75" customHeight="1">
      <c r="W618" s="72"/>
    </row>
    <row r="619" ht="15.75" customHeight="1">
      <c r="W619" s="72"/>
    </row>
    <row r="620" ht="15.75" customHeight="1">
      <c r="W620" s="72"/>
    </row>
    <row r="621" ht="15.75" customHeight="1">
      <c r="W621" s="72"/>
    </row>
    <row r="622" ht="15.75" customHeight="1">
      <c r="W622" s="72"/>
    </row>
    <row r="623" ht="15.75" customHeight="1">
      <c r="W623" s="72"/>
    </row>
    <row r="624" ht="15.75" customHeight="1">
      <c r="W624" s="72"/>
    </row>
    <row r="625" ht="15.75" customHeight="1">
      <c r="W625" s="72"/>
    </row>
    <row r="626" ht="15.75" customHeight="1">
      <c r="W626" s="72"/>
    </row>
    <row r="627" ht="15.75" customHeight="1">
      <c r="W627" s="72"/>
    </row>
    <row r="628" ht="15.75" customHeight="1">
      <c r="W628" s="72"/>
    </row>
    <row r="629" ht="15.75" customHeight="1">
      <c r="W629" s="72"/>
    </row>
    <row r="630" ht="15.75" customHeight="1">
      <c r="W630" s="72"/>
    </row>
    <row r="631" ht="15.75" customHeight="1">
      <c r="W631" s="72"/>
    </row>
    <row r="632" ht="15.75" customHeight="1">
      <c r="W632" s="72"/>
    </row>
    <row r="633" ht="15.75" customHeight="1">
      <c r="W633" s="72"/>
    </row>
    <row r="634" ht="15.75" customHeight="1">
      <c r="W634" s="72"/>
    </row>
    <row r="635" ht="15.75" customHeight="1">
      <c r="W635" s="72"/>
    </row>
    <row r="636" ht="15.75" customHeight="1">
      <c r="W636" s="72"/>
    </row>
    <row r="637" ht="15.75" customHeight="1">
      <c r="W637" s="72"/>
    </row>
    <row r="638" ht="15.75" customHeight="1">
      <c r="W638" s="72"/>
    </row>
    <row r="639" ht="15.75" customHeight="1">
      <c r="W639" s="72"/>
    </row>
    <row r="640" ht="15.75" customHeight="1">
      <c r="W640" s="72"/>
    </row>
    <row r="641" ht="15.75" customHeight="1">
      <c r="W641" s="72"/>
    </row>
    <row r="642" ht="15.75" customHeight="1">
      <c r="W642" s="72"/>
    </row>
    <row r="643" ht="15.75" customHeight="1">
      <c r="W643" s="72"/>
    </row>
    <row r="644" ht="15.75" customHeight="1">
      <c r="W644" s="72"/>
    </row>
    <row r="645" ht="15.75" customHeight="1">
      <c r="W645" s="72"/>
    </row>
    <row r="646" ht="15.75" customHeight="1">
      <c r="W646" s="72"/>
    </row>
    <row r="647" ht="15.75" customHeight="1">
      <c r="W647" s="72"/>
    </row>
    <row r="648" ht="15.75" customHeight="1">
      <c r="W648" s="72"/>
    </row>
    <row r="649" ht="15.75" customHeight="1">
      <c r="W649" s="72"/>
    </row>
    <row r="650" ht="15.75" customHeight="1">
      <c r="W650" s="72"/>
    </row>
    <row r="651" ht="15.75" customHeight="1">
      <c r="W651" s="72"/>
    </row>
    <row r="652" ht="15.75" customHeight="1">
      <c r="W652" s="72"/>
    </row>
    <row r="653" ht="15.75" customHeight="1">
      <c r="W653" s="72"/>
    </row>
    <row r="654" ht="15.75" customHeight="1">
      <c r="W654" s="72"/>
    </row>
    <row r="655" ht="15.75" customHeight="1">
      <c r="W655" s="72"/>
    </row>
    <row r="656" ht="15.75" customHeight="1">
      <c r="W656" s="72"/>
    </row>
    <row r="657" ht="15.75" customHeight="1">
      <c r="W657" s="72"/>
    </row>
    <row r="658" ht="15.75" customHeight="1">
      <c r="W658" s="72"/>
    </row>
    <row r="659" ht="15.75" customHeight="1">
      <c r="W659" s="72"/>
    </row>
    <row r="660" ht="15.75" customHeight="1">
      <c r="W660" s="72"/>
    </row>
    <row r="661" ht="15.75" customHeight="1">
      <c r="W661" s="72"/>
    </row>
    <row r="662" ht="15.75" customHeight="1">
      <c r="W662" s="72"/>
    </row>
    <row r="663" ht="15.75" customHeight="1">
      <c r="W663" s="72"/>
    </row>
    <row r="664" ht="15.75" customHeight="1">
      <c r="W664" s="72"/>
    </row>
    <row r="665" ht="15.75" customHeight="1">
      <c r="W665" s="72"/>
    </row>
    <row r="666" ht="15.75" customHeight="1">
      <c r="W666" s="72"/>
    </row>
    <row r="667" ht="15.75" customHeight="1">
      <c r="W667" s="72"/>
    </row>
    <row r="668" ht="15.75" customHeight="1">
      <c r="W668" s="72"/>
    </row>
    <row r="669" ht="15.75" customHeight="1">
      <c r="W669" s="72"/>
    </row>
    <row r="670" ht="15.75" customHeight="1">
      <c r="W670" s="72"/>
    </row>
    <row r="671" ht="15.75" customHeight="1">
      <c r="W671" s="72"/>
    </row>
    <row r="672" ht="15.75" customHeight="1">
      <c r="W672" s="72"/>
    </row>
    <row r="673" ht="15.75" customHeight="1">
      <c r="W673" s="72"/>
    </row>
    <row r="674" ht="15.75" customHeight="1">
      <c r="W674" s="72"/>
    </row>
    <row r="675" ht="15.75" customHeight="1">
      <c r="W675" s="72"/>
    </row>
    <row r="676" ht="15.75" customHeight="1">
      <c r="W676" s="72"/>
    </row>
    <row r="677" ht="15.75" customHeight="1">
      <c r="W677" s="72"/>
    </row>
    <row r="678" ht="15.75" customHeight="1">
      <c r="W678" s="72"/>
    </row>
    <row r="679" ht="15.75" customHeight="1">
      <c r="W679" s="72"/>
    </row>
    <row r="680" ht="15.75" customHeight="1">
      <c r="W680" s="72"/>
    </row>
    <row r="681" ht="15.75" customHeight="1">
      <c r="W681" s="72"/>
    </row>
    <row r="682" ht="15.75" customHeight="1">
      <c r="W682" s="72"/>
    </row>
    <row r="683" ht="15.75" customHeight="1">
      <c r="W683" s="72"/>
    </row>
    <row r="684" ht="15.75" customHeight="1">
      <c r="W684" s="72"/>
    </row>
    <row r="685" ht="15.75" customHeight="1">
      <c r="W685" s="72"/>
    </row>
    <row r="686" ht="15.75" customHeight="1">
      <c r="W686" s="72"/>
    </row>
    <row r="687" ht="15.75" customHeight="1">
      <c r="W687" s="72"/>
    </row>
    <row r="688" ht="15.75" customHeight="1">
      <c r="W688" s="72"/>
    </row>
    <row r="689" ht="15.75" customHeight="1">
      <c r="W689" s="72"/>
    </row>
    <row r="690" ht="15.75" customHeight="1">
      <c r="W690" s="72"/>
    </row>
    <row r="691" ht="15.75" customHeight="1">
      <c r="W691" s="72"/>
    </row>
    <row r="692" ht="15.75" customHeight="1">
      <c r="W692" s="72"/>
    </row>
    <row r="693" ht="15.75" customHeight="1">
      <c r="W693" s="72"/>
    </row>
    <row r="694" ht="15.75" customHeight="1">
      <c r="W694" s="72"/>
    </row>
    <row r="695" ht="15.75" customHeight="1">
      <c r="W695" s="72"/>
    </row>
    <row r="696" ht="15.75" customHeight="1">
      <c r="W696" s="72"/>
    </row>
    <row r="697" ht="15.75" customHeight="1">
      <c r="W697" s="72"/>
    </row>
    <row r="698" ht="15.75" customHeight="1">
      <c r="W698" s="72"/>
    </row>
    <row r="699" ht="15.75" customHeight="1">
      <c r="W699" s="72"/>
    </row>
    <row r="700" ht="15.75" customHeight="1">
      <c r="W700" s="72"/>
    </row>
    <row r="701" ht="15.75" customHeight="1">
      <c r="W701" s="72"/>
    </row>
    <row r="702" ht="15.75" customHeight="1">
      <c r="W702" s="72"/>
    </row>
    <row r="703" ht="15.75" customHeight="1">
      <c r="W703" s="72"/>
    </row>
    <row r="704" ht="15.75" customHeight="1">
      <c r="W704" s="72"/>
    </row>
    <row r="705" ht="15.75" customHeight="1">
      <c r="W705" s="72"/>
    </row>
    <row r="706" ht="15.75" customHeight="1">
      <c r="W706" s="72"/>
    </row>
    <row r="707" ht="15.75" customHeight="1">
      <c r="W707" s="72"/>
    </row>
    <row r="708" ht="15.75" customHeight="1">
      <c r="W708" s="72"/>
    </row>
    <row r="709" ht="15.75" customHeight="1">
      <c r="W709" s="72"/>
    </row>
    <row r="710" ht="15.75" customHeight="1">
      <c r="W710" s="72"/>
    </row>
    <row r="711" ht="15.75" customHeight="1">
      <c r="W711" s="72"/>
    </row>
    <row r="712" ht="15.75" customHeight="1">
      <c r="W712" s="72"/>
    </row>
    <row r="713" ht="15.75" customHeight="1">
      <c r="W713" s="72"/>
    </row>
    <row r="714" ht="15.75" customHeight="1">
      <c r="W714" s="72"/>
    </row>
    <row r="715" ht="15.75" customHeight="1">
      <c r="W715" s="72"/>
    </row>
    <row r="716" ht="15.75" customHeight="1">
      <c r="W716" s="72"/>
    </row>
    <row r="717" ht="15.75" customHeight="1">
      <c r="W717" s="72"/>
    </row>
    <row r="718" ht="15.75" customHeight="1">
      <c r="W718" s="72"/>
    </row>
    <row r="719" ht="15.75" customHeight="1">
      <c r="W719" s="72"/>
    </row>
    <row r="720" ht="15.75" customHeight="1">
      <c r="W720" s="72"/>
    </row>
    <row r="721" ht="15.75" customHeight="1">
      <c r="W721" s="72"/>
    </row>
    <row r="722" ht="15.75" customHeight="1">
      <c r="W722" s="72"/>
    </row>
    <row r="723" ht="15.75" customHeight="1">
      <c r="W723" s="72"/>
    </row>
    <row r="724" ht="15.75" customHeight="1">
      <c r="W724" s="72"/>
    </row>
    <row r="725" ht="15.75" customHeight="1">
      <c r="W725" s="72"/>
    </row>
    <row r="726" ht="15.75" customHeight="1">
      <c r="W726" s="72"/>
    </row>
    <row r="727" ht="15.75" customHeight="1">
      <c r="W727" s="72"/>
    </row>
    <row r="728" ht="15.75" customHeight="1">
      <c r="W728" s="72"/>
    </row>
    <row r="729" ht="15.75" customHeight="1">
      <c r="W729" s="72"/>
    </row>
    <row r="730" ht="15.75" customHeight="1">
      <c r="W730" s="72"/>
    </row>
    <row r="731" ht="15.75" customHeight="1">
      <c r="W731" s="72"/>
    </row>
    <row r="732" ht="15.75" customHeight="1">
      <c r="W732" s="72"/>
    </row>
    <row r="733" ht="15.75" customHeight="1">
      <c r="W733" s="72"/>
    </row>
    <row r="734" ht="15.75" customHeight="1">
      <c r="W734" s="72"/>
    </row>
    <row r="735" ht="15.75" customHeight="1">
      <c r="W735" s="72"/>
    </row>
    <row r="736" ht="15.75" customHeight="1">
      <c r="W736" s="72"/>
    </row>
    <row r="737" ht="15.75" customHeight="1">
      <c r="W737" s="72"/>
    </row>
    <row r="738" ht="15.75" customHeight="1">
      <c r="W738" s="72"/>
    </row>
    <row r="739" ht="15.75" customHeight="1">
      <c r="W739" s="72"/>
    </row>
    <row r="740" ht="15.75" customHeight="1">
      <c r="W740" s="72"/>
    </row>
    <row r="741" ht="15.75" customHeight="1">
      <c r="W741" s="72"/>
    </row>
    <row r="742" ht="15.75" customHeight="1">
      <c r="W742" s="72"/>
    </row>
    <row r="743" ht="15.75" customHeight="1">
      <c r="W743" s="72"/>
    </row>
    <row r="744" ht="15.75" customHeight="1">
      <c r="W744" s="72"/>
    </row>
    <row r="745" ht="15.75" customHeight="1">
      <c r="W745" s="72"/>
    </row>
    <row r="746" ht="15.75" customHeight="1">
      <c r="W746" s="72"/>
    </row>
    <row r="747" ht="15.75" customHeight="1">
      <c r="W747" s="72"/>
    </row>
    <row r="748" ht="15.75" customHeight="1">
      <c r="W748" s="72"/>
    </row>
    <row r="749" ht="15.75" customHeight="1">
      <c r="W749" s="72"/>
    </row>
    <row r="750" ht="15.75" customHeight="1">
      <c r="W750" s="72"/>
    </row>
    <row r="751" ht="15.75" customHeight="1">
      <c r="W751" s="72"/>
    </row>
    <row r="752" ht="15.75" customHeight="1">
      <c r="W752" s="72"/>
    </row>
    <row r="753" ht="15.75" customHeight="1">
      <c r="W753" s="72"/>
    </row>
    <row r="754" ht="15.75" customHeight="1">
      <c r="W754" s="72"/>
    </row>
    <row r="755" ht="15.75" customHeight="1">
      <c r="W755" s="72"/>
    </row>
    <row r="756" ht="15.75" customHeight="1">
      <c r="W756" s="72"/>
    </row>
    <row r="757" ht="15.75" customHeight="1">
      <c r="W757" s="72"/>
    </row>
    <row r="758" ht="15.75" customHeight="1">
      <c r="W758" s="72"/>
    </row>
    <row r="759" ht="15.75" customHeight="1">
      <c r="W759" s="72"/>
    </row>
    <row r="760" ht="15.75" customHeight="1">
      <c r="W760" s="72"/>
    </row>
    <row r="761" ht="15.75" customHeight="1">
      <c r="W761" s="72"/>
    </row>
    <row r="762" ht="15.75" customHeight="1">
      <c r="W762" s="72"/>
    </row>
    <row r="763" ht="15.75" customHeight="1">
      <c r="W763" s="72"/>
    </row>
    <row r="764" ht="15.75" customHeight="1">
      <c r="W764" s="72"/>
    </row>
    <row r="765" ht="15.75" customHeight="1">
      <c r="W765" s="72"/>
    </row>
    <row r="766" ht="15.75" customHeight="1">
      <c r="W766" s="72"/>
    </row>
    <row r="767" ht="15.75" customHeight="1">
      <c r="W767" s="72"/>
    </row>
    <row r="768" ht="15.75" customHeight="1">
      <c r="W768" s="72"/>
    </row>
    <row r="769" ht="15.75" customHeight="1">
      <c r="W769" s="72"/>
    </row>
    <row r="770" ht="15.75" customHeight="1">
      <c r="W770" s="72"/>
    </row>
    <row r="771" ht="15.75" customHeight="1">
      <c r="W771" s="72"/>
    </row>
    <row r="772" ht="15.75" customHeight="1">
      <c r="W772" s="72"/>
    </row>
    <row r="773" ht="15.75" customHeight="1">
      <c r="W773" s="72"/>
    </row>
    <row r="774" ht="15.75" customHeight="1">
      <c r="W774" s="72"/>
    </row>
    <row r="775" ht="15.75" customHeight="1">
      <c r="W775" s="72"/>
    </row>
    <row r="776" ht="15.75" customHeight="1">
      <c r="W776" s="72"/>
    </row>
    <row r="777" ht="15.75" customHeight="1">
      <c r="W777" s="72"/>
    </row>
    <row r="778" ht="15.75" customHeight="1">
      <c r="W778" s="72"/>
    </row>
    <row r="779" ht="15.75" customHeight="1">
      <c r="W779" s="72"/>
    </row>
    <row r="780" ht="15.75" customHeight="1">
      <c r="W780" s="72"/>
    </row>
    <row r="781" ht="15.75" customHeight="1">
      <c r="W781" s="72"/>
    </row>
    <row r="782" ht="15.75" customHeight="1">
      <c r="W782" s="72"/>
    </row>
    <row r="783" ht="15.75" customHeight="1">
      <c r="W783" s="72"/>
    </row>
    <row r="784" ht="15.75" customHeight="1">
      <c r="W784" s="72"/>
    </row>
    <row r="785" ht="15.75" customHeight="1">
      <c r="W785" s="72"/>
    </row>
    <row r="786" ht="15.75" customHeight="1">
      <c r="W786" s="72"/>
    </row>
    <row r="787" ht="15.75" customHeight="1">
      <c r="W787" s="72"/>
    </row>
    <row r="788" ht="15.75" customHeight="1">
      <c r="W788" s="72"/>
    </row>
    <row r="789" ht="15.75" customHeight="1">
      <c r="W789" s="72"/>
    </row>
    <row r="790" ht="15.75" customHeight="1">
      <c r="W790" s="72"/>
    </row>
    <row r="791" ht="15.75" customHeight="1">
      <c r="W791" s="72"/>
    </row>
    <row r="792" ht="15.75" customHeight="1">
      <c r="W792" s="72"/>
    </row>
    <row r="793" ht="15.75" customHeight="1">
      <c r="W793" s="72"/>
    </row>
    <row r="794" ht="15.75" customHeight="1">
      <c r="W794" s="72"/>
    </row>
    <row r="795" ht="15.75" customHeight="1">
      <c r="W795" s="72"/>
    </row>
    <row r="796" ht="15.75" customHeight="1">
      <c r="W796" s="72"/>
    </row>
    <row r="797" ht="15.75" customHeight="1">
      <c r="W797" s="72"/>
    </row>
    <row r="798" ht="15.75" customHeight="1">
      <c r="W798" s="72"/>
    </row>
    <row r="799" ht="15.75" customHeight="1">
      <c r="W799" s="72"/>
    </row>
    <row r="800" ht="15.75" customHeight="1">
      <c r="W800" s="72"/>
    </row>
    <row r="801" ht="15.75" customHeight="1">
      <c r="W801" s="72"/>
    </row>
    <row r="802" ht="15.75" customHeight="1">
      <c r="W802" s="72"/>
    </row>
    <row r="803" ht="15.75" customHeight="1">
      <c r="W803" s="72"/>
    </row>
    <row r="804" ht="15.75" customHeight="1">
      <c r="W804" s="72"/>
    </row>
    <row r="805" ht="15.75" customHeight="1">
      <c r="W805" s="72"/>
    </row>
    <row r="806" ht="15.75" customHeight="1">
      <c r="W806" s="72"/>
    </row>
    <row r="807" ht="15.75" customHeight="1">
      <c r="W807" s="72"/>
    </row>
    <row r="808" ht="15.75" customHeight="1">
      <c r="W808" s="72"/>
    </row>
    <row r="809" ht="15.75" customHeight="1">
      <c r="W809" s="72"/>
    </row>
    <row r="810" ht="15.75" customHeight="1">
      <c r="W810" s="72"/>
    </row>
    <row r="811" ht="15.75" customHeight="1">
      <c r="W811" s="72"/>
    </row>
    <row r="812" ht="15.75" customHeight="1">
      <c r="W812" s="72"/>
    </row>
    <row r="813" ht="15.75" customHeight="1">
      <c r="W813" s="72"/>
    </row>
    <row r="814" ht="15.75" customHeight="1">
      <c r="W814" s="72"/>
    </row>
    <row r="815" ht="15.75" customHeight="1">
      <c r="W815" s="72"/>
    </row>
    <row r="816" ht="15.75" customHeight="1">
      <c r="W816" s="72"/>
    </row>
    <row r="817" ht="15.75" customHeight="1">
      <c r="W817" s="72"/>
    </row>
    <row r="818" ht="15.75" customHeight="1">
      <c r="W818" s="72"/>
    </row>
    <row r="819" ht="15.75" customHeight="1">
      <c r="W819" s="72"/>
    </row>
    <row r="820" ht="15.75" customHeight="1">
      <c r="W820" s="72"/>
    </row>
    <row r="821" ht="15.75" customHeight="1">
      <c r="W821" s="72"/>
    </row>
    <row r="822" ht="15.75" customHeight="1">
      <c r="W822" s="72"/>
    </row>
    <row r="823" ht="15.75" customHeight="1">
      <c r="W823" s="72"/>
    </row>
    <row r="824" ht="15.75" customHeight="1">
      <c r="W824" s="72"/>
    </row>
    <row r="825" ht="15.75" customHeight="1">
      <c r="W825" s="72"/>
    </row>
    <row r="826" ht="15.75" customHeight="1">
      <c r="W826" s="72"/>
    </row>
    <row r="827" ht="15.75" customHeight="1">
      <c r="W827" s="72"/>
    </row>
    <row r="828" ht="15.75" customHeight="1">
      <c r="W828" s="72"/>
    </row>
    <row r="829" ht="15.75" customHeight="1">
      <c r="W829" s="72"/>
    </row>
    <row r="830" ht="15.75" customHeight="1">
      <c r="W830" s="72"/>
    </row>
    <row r="831" ht="15.75" customHeight="1">
      <c r="W831" s="72"/>
    </row>
    <row r="832" ht="15.75" customHeight="1">
      <c r="W832" s="72"/>
    </row>
    <row r="833" ht="15.75" customHeight="1">
      <c r="W833" s="72"/>
    </row>
    <row r="834" ht="15.75" customHeight="1">
      <c r="W834" s="72"/>
    </row>
    <row r="835" ht="15.75" customHeight="1">
      <c r="W835" s="72"/>
    </row>
    <row r="836" ht="15.75" customHeight="1">
      <c r="W836" s="72"/>
    </row>
    <row r="837" ht="15.75" customHeight="1">
      <c r="W837" s="72"/>
    </row>
    <row r="838" ht="15.75" customHeight="1">
      <c r="W838" s="72"/>
    </row>
    <row r="839" ht="15.75" customHeight="1">
      <c r="W839" s="72"/>
    </row>
    <row r="840" ht="15.75" customHeight="1">
      <c r="W840" s="72"/>
    </row>
    <row r="841" ht="15.75" customHeight="1">
      <c r="W841" s="72"/>
    </row>
    <row r="842" ht="15.75" customHeight="1">
      <c r="W842" s="72"/>
    </row>
    <row r="843" ht="15.75" customHeight="1">
      <c r="W843" s="72"/>
    </row>
    <row r="844" ht="15.75" customHeight="1">
      <c r="W844" s="72"/>
    </row>
    <row r="845" ht="15.75" customHeight="1">
      <c r="W845" s="72"/>
    </row>
    <row r="846" ht="15.75" customHeight="1">
      <c r="W846" s="72"/>
    </row>
    <row r="847" ht="15.75" customHeight="1">
      <c r="W847" s="72"/>
    </row>
    <row r="848" ht="15.75" customHeight="1">
      <c r="W848" s="72"/>
    </row>
    <row r="849" ht="15.75" customHeight="1">
      <c r="W849" s="72"/>
    </row>
    <row r="850" ht="15.75" customHeight="1">
      <c r="W850" s="72"/>
    </row>
    <row r="851" ht="15.75" customHeight="1">
      <c r="W851" s="72"/>
    </row>
    <row r="852" ht="15.75" customHeight="1">
      <c r="W852" s="72"/>
    </row>
    <row r="853" ht="15.75" customHeight="1">
      <c r="W853" s="72"/>
    </row>
    <row r="854" ht="15.75" customHeight="1">
      <c r="W854" s="72"/>
    </row>
    <row r="855" ht="15.75" customHeight="1">
      <c r="W855" s="72"/>
    </row>
    <row r="856" ht="15.75" customHeight="1">
      <c r="W856" s="72"/>
    </row>
    <row r="857" ht="15.75" customHeight="1">
      <c r="W857" s="72"/>
    </row>
    <row r="858" ht="15.75" customHeight="1">
      <c r="W858" s="72"/>
    </row>
    <row r="859" ht="15.75" customHeight="1">
      <c r="W859" s="72"/>
    </row>
    <row r="860" ht="15.75" customHeight="1">
      <c r="W860" s="72"/>
    </row>
    <row r="861" ht="15.75" customHeight="1">
      <c r="W861" s="72"/>
    </row>
    <row r="862" ht="15.75" customHeight="1">
      <c r="W862" s="72"/>
    </row>
    <row r="863" ht="15.75" customHeight="1">
      <c r="W863" s="72"/>
    </row>
    <row r="864" ht="15.75" customHeight="1">
      <c r="W864" s="72"/>
    </row>
    <row r="865" ht="15.75" customHeight="1">
      <c r="W865" s="72"/>
    </row>
    <row r="866" ht="15.75" customHeight="1">
      <c r="W866" s="72"/>
    </row>
    <row r="867" ht="15.75" customHeight="1">
      <c r="W867" s="72"/>
    </row>
    <row r="868" ht="15.75" customHeight="1">
      <c r="W868" s="72"/>
    </row>
    <row r="869" ht="15.75" customHeight="1">
      <c r="W869" s="72"/>
    </row>
    <row r="870" ht="15.75" customHeight="1">
      <c r="W870" s="72"/>
    </row>
    <row r="871" ht="15.75" customHeight="1">
      <c r="W871" s="72"/>
    </row>
    <row r="872" ht="15.75" customHeight="1">
      <c r="W872" s="72"/>
    </row>
    <row r="873" ht="15.75" customHeight="1">
      <c r="W873" s="72"/>
    </row>
    <row r="874" ht="15.75" customHeight="1">
      <c r="W874" s="72"/>
    </row>
    <row r="875" ht="15.75" customHeight="1">
      <c r="W875" s="72"/>
    </row>
    <row r="876" ht="15.75" customHeight="1">
      <c r="W876" s="72"/>
    </row>
    <row r="877" ht="15.75" customHeight="1">
      <c r="W877" s="72"/>
    </row>
    <row r="878" ht="15.75" customHeight="1">
      <c r="W878" s="72"/>
    </row>
    <row r="879" ht="15.75" customHeight="1">
      <c r="W879" s="72"/>
    </row>
    <row r="880" ht="15.75" customHeight="1">
      <c r="W880" s="72"/>
    </row>
    <row r="881" ht="15.75" customHeight="1">
      <c r="W881" s="72"/>
    </row>
    <row r="882" ht="15.75" customHeight="1">
      <c r="W882" s="72"/>
    </row>
    <row r="883" ht="15.75" customHeight="1">
      <c r="W883" s="72"/>
    </row>
    <row r="884" ht="15.75" customHeight="1">
      <c r="W884" s="72"/>
    </row>
    <row r="885" ht="15.75" customHeight="1">
      <c r="W885" s="72"/>
    </row>
    <row r="886" ht="15.75" customHeight="1">
      <c r="W886" s="72"/>
    </row>
    <row r="887" ht="15.75" customHeight="1">
      <c r="W887" s="72"/>
    </row>
    <row r="888" ht="15.75" customHeight="1">
      <c r="W888" s="72"/>
    </row>
    <row r="889" ht="15.75" customHeight="1">
      <c r="W889" s="72"/>
    </row>
    <row r="890" ht="15.75" customHeight="1">
      <c r="W890" s="72"/>
    </row>
    <row r="891" ht="15.75" customHeight="1">
      <c r="W891" s="72"/>
    </row>
    <row r="892" ht="15.75" customHeight="1">
      <c r="W892" s="72"/>
    </row>
    <row r="893" ht="15.75" customHeight="1">
      <c r="W893" s="72"/>
    </row>
    <row r="894" ht="15.75" customHeight="1">
      <c r="W894" s="72"/>
    </row>
    <row r="895" ht="15.75" customHeight="1">
      <c r="W895" s="72"/>
    </row>
    <row r="896" ht="15.75" customHeight="1">
      <c r="W896" s="72"/>
    </row>
    <row r="897" ht="15.75" customHeight="1">
      <c r="W897" s="72"/>
    </row>
    <row r="898" ht="15.75" customHeight="1">
      <c r="W898" s="72"/>
    </row>
    <row r="899" ht="15.75" customHeight="1">
      <c r="W899" s="72"/>
    </row>
    <row r="900" ht="15.75" customHeight="1">
      <c r="W900" s="72"/>
    </row>
    <row r="901" ht="15.75" customHeight="1">
      <c r="W901" s="72"/>
    </row>
    <row r="902" ht="15.75" customHeight="1">
      <c r="W902" s="72"/>
    </row>
    <row r="903" ht="15.75" customHeight="1">
      <c r="W903" s="72"/>
    </row>
    <row r="904" ht="15.75" customHeight="1">
      <c r="W904" s="72"/>
    </row>
    <row r="905" ht="15.75" customHeight="1">
      <c r="W905" s="72"/>
    </row>
    <row r="906" ht="15.75" customHeight="1">
      <c r="W906" s="72"/>
    </row>
    <row r="907" ht="15.75" customHeight="1">
      <c r="W907" s="72"/>
    </row>
    <row r="908" ht="15.75" customHeight="1">
      <c r="W908" s="72"/>
    </row>
    <row r="909" ht="15.75" customHeight="1">
      <c r="W909" s="72"/>
    </row>
    <row r="910" ht="15.75" customHeight="1">
      <c r="W910" s="72"/>
    </row>
    <row r="911" ht="15.75" customHeight="1">
      <c r="W911" s="72"/>
    </row>
    <row r="912" ht="15.75" customHeight="1">
      <c r="W912" s="72"/>
    </row>
    <row r="913" ht="15.75" customHeight="1">
      <c r="W913" s="72"/>
    </row>
    <row r="914" ht="15.75" customHeight="1">
      <c r="W914" s="72"/>
    </row>
    <row r="915" ht="15.75" customHeight="1">
      <c r="W915" s="72"/>
    </row>
    <row r="916" ht="15.75" customHeight="1">
      <c r="W916" s="72"/>
    </row>
    <row r="917" ht="15.75" customHeight="1">
      <c r="W917" s="72"/>
    </row>
    <row r="918" ht="15.75" customHeight="1">
      <c r="W918" s="72"/>
    </row>
    <row r="919" ht="15.75" customHeight="1">
      <c r="W919" s="72"/>
    </row>
    <row r="920" ht="15.75" customHeight="1">
      <c r="W920" s="72"/>
    </row>
    <row r="921" ht="15.75" customHeight="1">
      <c r="W921" s="72"/>
    </row>
    <row r="922" ht="15.75" customHeight="1">
      <c r="W922" s="72"/>
    </row>
    <row r="923" ht="15.75" customHeight="1">
      <c r="W923" s="72"/>
    </row>
    <row r="924" ht="15.75" customHeight="1">
      <c r="W924" s="72"/>
    </row>
    <row r="925" ht="15.75" customHeight="1">
      <c r="W925" s="72"/>
    </row>
    <row r="926" ht="15.75" customHeight="1">
      <c r="W926" s="72"/>
    </row>
    <row r="927" ht="15.75" customHeight="1">
      <c r="W927" s="72"/>
    </row>
    <row r="928" ht="15.75" customHeight="1">
      <c r="W928" s="72"/>
    </row>
    <row r="929" ht="15.75" customHeight="1">
      <c r="W929" s="72"/>
    </row>
    <row r="930" ht="15.75" customHeight="1">
      <c r="W930" s="72"/>
    </row>
    <row r="931" ht="15.75" customHeight="1">
      <c r="W931" s="72"/>
    </row>
    <row r="932" ht="15.75" customHeight="1">
      <c r="W932" s="72"/>
    </row>
    <row r="933" ht="15.75" customHeight="1">
      <c r="W933" s="72"/>
    </row>
    <row r="934" ht="15.75" customHeight="1">
      <c r="W934" s="72"/>
    </row>
    <row r="935" ht="15.75" customHeight="1">
      <c r="W935" s="72"/>
    </row>
    <row r="936" ht="15.75" customHeight="1">
      <c r="W936" s="72"/>
    </row>
    <row r="937" ht="15.75" customHeight="1">
      <c r="W937" s="72"/>
    </row>
    <row r="938" ht="15.75" customHeight="1">
      <c r="W938" s="72"/>
    </row>
    <row r="939" ht="15.75" customHeight="1">
      <c r="W939" s="72"/>
    </row>
    <row r="940" ht="15.75" customHeight="1">
      <c r="W940" s="72"/>
    </row>
    <row r="941" ht="15.75" customHeight="1">
      <c r="W941" s="72"/>
    </row>
    <row r="942" ht="15.75" customHeight="1">
      <c r="W942" s="72"/>
    </row>
    <row r="943" ht="15.75" customHeight="1">
      <c r="W943" s="72"/>
    </row>
    <row r="944" ht="15.75" customHeight="1">
      <c r="W944" s="72"/>
    </row>
    <row r="945" ht="15.75" customHeight="1">
      <c r="W945" s="72"/>
    </row>
    <row r="946" ht="15.75" customHeight="1">
      <c r="W946" s="72"/>
    </row>
    <row r="947" ht="15.75" customHeight="1">
      <c r="W947" s="72"/>
    </row>
    <row r="948" ht="15.75" customHeight="1">
      <c r="W948" s="72"/>
    </row>
    <row r="949" ht="15.75" customHeight="1">
      <c r="W949" s="72"/>
    </row>
    <row r="950" ht="15.75" customHeight="1">
      <c r="W950" s="72"/>
    </row>
    <row r="951" ht="15.75" customHeight="1">
      <c r="W951" s="72"/>
    </row>
    <row r="952" ht="15.75" customHeight="1">
      <c r="W952" s="72"/>
    </row>
    <row r="953" ht="15.75" customHeight="1">
      <c r="W953" s="72"/>
    </row>
    <row r="954" ht="15.75" customHeight="1">
      <c r="W954" s="72"/>
    </row>
    <row r="955" ht="15.75" customHeight="1">
      <c r="W955" s="72"/>
    </row>
    <row r="956" ht="15.75" customHeight="1">
      <c r="W956" s="72"/>
    </row>
    <row r="957" ht="15.75" customHeight="1">
      <c r="W957" s="72"/>
    </row>
    <row r="958" ht="15.75" customHeight="1">
      <c r="W958" s="72"/>
    </row>
    <row r="959" ht="15.75" customHeight="1">
      <c r="W959" s="72"/>
    </row>
    <row r="960" ht="15.75" customHeight="1">
      <c r="W960" s="72"/>
    </row>
    <row r="961" ht="15.75" customHeight="1">
      <c r="W961" s="72"/>
    </row>
    <row r="962" ht="15.75" customHeight="1">
      <c r="W962" s="72"/>
    </row>
    <row r="963" ht="15.75" customHeight="1">
      <c r="W963" s="72"/>
    </row>
    <row r="964" ht="15.75" customHeight="1">
      <c r="W964" s="72"/>
    </row>
    <row r="965" ht="15.75" customHeight="1">
      <c r="W965" s="72"/>
    </row>
    <row r="966" ht="15.75" customHeight="1">
      <c r="W966" s="72"/>
    </row>
    <row r="967" ht="15.75" customHeight="1">
      <c r="W967" s="72"/>
    </row>
    <row r="968" ht="15.75" customHeight="1">
      <c r="W968" s="72"/>
    </row>
    <row r="969" ht="15.75" customHeight="1">
      <c r="W969" s="72"/>
    </row>
    <row r="970" ht="15.75" customHeight="1">
      <c r="W970" s="72"/>
    </row>
    <row r="971" ht="15.75" customHeight="1">
      <c r="W971" s="72"/>
    </row>
    <row r="972" ht="15.75" customHeight="1">
      <c r="W972" s="72"/>
    </row>
    <row r="973" ht="15.75" customHeight="1">
      <c r="W973" s="72"/>
    </row>
    <row r="974" ht="15.75" customHeight="1">
      <c r="W974" s="72"/>
    </row>
    <row r="975" ht="15.75" customHeight="1">
      <c r="W975" s="72"/>
    </row>
    <row r="976" ht="15.75" customHeight="1">
      <c r="W976" s="72"/>
    </row>
    <row r="977" ht="15.75" customHeight="1">
      <c r="W977" s="72"/>
    </row>
    <row r="978" ht="15.75" customHeight="1">
      <c r="W978" s="72"/>
    </row>
    <row r="979" ht="15.75" customHeight="1">
      <c r="W979" s="72"/>
    </row>
    <row r="980" ht="15.75" customHeight="1">
      <c r="W980" s="72"/>
    </row>
    <row r="981" ht="15.75" customHeight="1">
      <c r="W981" s="72"/>
    </row>
    <row r="982" ht="15.75" customHeight="1">
      <c r="W982" s="72"/>
    </row>
    <row r="983" ht="15.75" customHeight="1">
      <c r="W983" s="72"/>
    </row>
    <row r="984" ht="15.75" customHeight="1">
      <c r="W984" s="72"/>
    </row>
    <row r="985" ht="15.75" customHeight="1">
      <c r="W985" s="72"/>
    </row>
    <row r="986" ht="15.75" customHeight="1">
      <c r="W986" s="72"/>
    </row>
    <row r="987" ht="15.75" customHeight="1">
      <c r="W987" s="72"/>
    </row>
    <row r="988" ht="15.75" customHeight="1">
      <c r="W988" s="72"/>
    </row>
    <row r="989" ht="15.75" customHeight="1">
      <c r="W989" s="72"/>
    </row>
    <row r="990" ht="15.75" customHeight="1">
      <c r="W990" s="72"/>
    </row>
    <row r="991" ht="15.75" customHeight="1">
      <c r="W991" s="72"/>
    </row>
    <row r="992" ht="15.75" customHeight="1">
      <c r="W992" s="72"/>
    </row>
    <row r="993" ht="15.75" customHeight="1">
      <c r="W993" s="72"/>
    </row>
    <row r="994" ht="15.75" customHeight="1">
      <c r="W994" s="72"/>
    </row>
    <row r="995" ht="15.75" customHeight="1">
      <c r="W995" s="72"/>
    </row>
    <row r="996" ht="15.75" customHeight="1">
      <c r="W996" s="72"/>
    </row>
    <row r="997" ht="15.75" customHeight="1">
      <c r="W997" s="72"/>
    </row>
    <row r="998" ht="15.75" customHeight="1">
      <c r="W998" s="72"/>
    </row>
    <row r="999" ht="15.75" customHeight="1">
      <c r="W999" s="72"/>
    </row>
    <row r="1000" ht="15.75" customHeight="1">
      <c r="W1000" s="72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75" t="s">
        <v>204</v>
      </c>
    </row>
    <row r="2" ht="12.75" customHeight="1">
      <c r="A2" s="76" t="s">
        <v>205</v>
      </c>
    </row>
    <row r="3" ht="12.75" customHeight="1">
      <c r="A3" s="77" t="s">
        <v>206</v>
      </c>
    </row>
    <row r="4" ht="12.75" customHeight="1">
      <c r="A4" s="78" t="s">
        <v>207</v>
      </c>
    </row>
    <row r="5" ht="12.75" customHeight="1"/>
    <row r="6" ht="12.75" customHeight="1">
      <c r="A6" s="79" t="s">
        <v>1</v>
      </c>
      <c r="B6" s="79" t="s">
        <v>208</v>
      </c>
      <c r="C6" s="79" t="s">
        <v>97</v>
      </c>
      <c r="D6" s="79" t="s">
        <v>209</v>
      </c>
      <c r="E6" s="79" t="s">
        <v>210</v>
      </c>
      <c r="F6" s="79" t="s">
        <v>211</v>
      </c>
      <c r="G6" s="79" t="s">
        <v>212</v>
      </c>
      <c r="H6" s="79" t="s">
        <v>213</v>
      </c>
    </row>
    <row r="7" ht="12.75" customHeight="1">
      <c r="A7" s="80" t="s">
        <v>214</v>
      </c>
      <c r="B7" s="80" t="s">
        <v>215</v>
      </c>
      <c r="C7" s="80" t="s">
        <v>216</v>
      </c>
      <c r="D7" s="80">
        <v>1.0</v>
      </c>
      <c r="E7" s="80">
        <v>600.0</v>
      </c>
      <c r="F7" s="81">
        <v>30320.0</v>
      </c>
      <c r="G7" s="81">
        <v>942.91</v>
      </c>
      <c r="H7" s="81">
        <v>29377.0</v>
      </c>
    </row>
    <row r="8" ht="12.75" customHeight="1">
      <c r="A8" s="80" t="s">
        <v>214</v>
      </c>
      <c r="B8" s="80" t="s">
        <v>217</v>
      </c>
      <c r="C8" s="80" t="s">
        <v>216</v>
      </c>
      <c r="D8" s="80">
        <v>1.0</v>
      </c>
      <c r="E8" s="80">
        <v>504.0</v>
      </c>
      <c r="F8" s="81">
        <v>25470.0</v>
      </c>
      <c r="G8" s="81">
        <v>1309.1</v>
      </c>
      <c r="H8" s="81">
        <v>24161.0</v>
      </c>
    </row>
    <row r="9" ht="12.75" customHeight="1">
      <c r="A9" s="80" t="s">
        <v>218</v>
      </c>
      <c r="B9" s="80" t="s">
        <v>219</v>
      </c>
      <c r="C9" s="80" t="s">
        <v>216</v>
      </c>
      <c r="D9" s="80">
        <v>1.0</v>
      </c>
      <c r="E9" s="80">
        <v>600.0</v>
      </c>
      <c r="F9" s="81">
        <v>30190.0</v>
      </c>
      <c r="G9" s="81">
        <v>1301.15</v>
      </c>
      <c r="H9" s="81">
        <v>28889.0</v>
      </c>
    </row>
    <row r="10" ht="12.75" customHeight="1">
      <c r="A10" s="80" t="s">
        <v>218</v>
      </c>
      <c r="B10" s="80" t="s">
        <v>220</v>
      </c>
      <c r="C10" s="80" t="s">
        <v>216</v>
      </c>
      <c r="D10" s="80">
        <v>1.0</v>
      </c>
      <c r="E10" s="80">
        <v>600.0</v>
      </c>
      <c r="F10" s="81">
        <v>30230.0</v>
      </c>
      <c r="G10" s="81">
        <v>876.63</v>
      </c>
      <c r="H10" s="81">
        <v>29353.0</v>
      </c>
    </row>
    <row r="11" ht="12.75" customHeight="1">
      <c r="A11" s="80" t="s">
        <v>218</v>
      </c>
      <c r="B11" s="80" t="s">
        <v>221</v>
      </c>
      <c r="C11" s="80" t="s">
        <v>216</v>
      </c>
      <c r="D11" s="80">
        <v>1.0</v>
      </c>
      <c r="E11" s="80">
        <v>300.0</v>
      </c>
      <c r="F11" s="81">
        <v>15170.0</v>
      </c>
      <c r="G11" s="81">
        <v>782.74</v>
      </c>
      <c r="H11" s="81">
        <v>14387.0</v>
      </c>
    </row>
    <row r="12" ht="12.75" customHeight="1">
      <c r="A12" s="80" t="s">
        <v>222</v>
      </c>
      <c r="B12" s="80" t="s">
        <v>223</v>
      </c>
      <c r="C12" s="80" t="s">
        <v>216</v>
      </c>
      <c r="D12" s="80">
        <v>1.0</v>
      </c>
      <c r="E12" s="80">
        <v>600.0</v>
      </c>
      <c r="F12" s="81">
        <v>29970.0</v>
      </c>
      <c r="G12" s="81">
        <v>857.14</v>
      </c>
      <c r="H12" s="81">
        <v>29113.0</v>
      </c>
    </row>
    <row r="13" ht="12.75" customHeight="1">
      <c r="A13" s="80" t="s">
        <v>222</v>
      </c>
      <c r="B13" s="80" t="s">
        <v>224</v>
      </c>
      <c r="C13" s="80" t="s">
        <v>216</v>
      </c>
      <c r="D13" s="80">
        <v>1.0</v>
      </c>
      <c r="E13" s="80">
        <v>600.0</v>
      </c>
      <c r="F13" s="81">
        <v>30040.0</v>
      </c>
      <c r="G13" s="81">
        <v>420.52</v>
      </c>
      <c r="H13" s="81">
        <v>29619.0</v>
      </c>
    </row>
    <row r="14" ht="12.75" customHeight="1">
      <c r="A14" s="80" t="s">
        <v>222</v>
      </c>
      <c r="B14" s="80" t="s">
        <v>225</v>
      </c>
      <c r="C14" s="80" t="s">
        <v>216</v>
      </c>
      <c r="D14" s="80">
        <v>1.0</v>
      </c>
      <c r="E14" s="80">
        <v>600.0</v>
      </c>
      <c r="F14" s="81">
        <v>30460.0</v>
      </c>
      <c r="G14" s="81">
        <v>590.88</v>
      </c>
      <c r="H14" s="81">
        <v>29869.0</v>
      </c>
    </row>
    <row r="15" ht="12.75" customHeight="1">
      <c r="A15" s="80" t="s">
        <v>226</v>
      </c>
      <c r="B15" s="80" t="s">
        <v>227</v>
      </c>
      <c r="C15" s="80" t="s">
        <v>216</v>
      </c>
      <c r="D15" s="80">
        <v>1.0</v>
      </c>
      <c r="E15" s="80">
        <v>600.0</v>
      </c>
      <c r="F15" s="81">
        <v>29850.0</v>
      </c>
      <c r="G15" s="81">
        <v>2334.24</v>
      </c>
      <c r="H15" s="81">
        <v>27516.0</v>
      </c>
    </row>
    <row r="16" ht="12.75" customHeight="1">
      <c r="A16" s="80" t="s">
        <v>226</v>
      </c>
      <c r="B16" s="80" t="s">
        <v>228</v>
      </c>
      <c r="C16" s="80" t="s">
        <v>216</v>
      </c>
      <c r="D16" s="80">
        <v>1.0</v>
      </c>
      <c r="E16" s="80">
        <v>600.0</v>
      </c>
      <c r="F16" s="81">
        <v>30480.0</v>
      </c>
      <c r="G16" s="81">
        <v>746.72</v>
      </c>
      <c r="H16" s="81">
        <v>29733.0</v>
      </c>
    </row>
    <row r="17" ht="12.75" customHeight="1">
      <c r="A17" s="80" t="s">
        <v>226</v>
      </c>
      <c r="B17" s="80" t="s">
        <v>229</v>
      </c>
      <c r="C17" s="80" t="s">
        <v>216</v>
      </c>
      <c r="D17" s="80">
        <v>1.0</v>
      </c>
      <c r="E17" s="80">
        <v>600.0</v>
      </c>
      <c r="F17" s="81">
        <v>30220.0</v>
      </c>
      <c r="G17" s="81">
        <v>1680.26</v>
      </c>
      <c r="H17" s="81">
        <v>28540.0</v>
      </c>
    </row>
    <row r="18" ht="12.75" customHeight="1">
      <c r="A18" s="80" t="s">
        <v>230</v>
      </c>
      <c r="B18" s="80" t="s">
        <v>231</v>
      </c>
      <c r="C18" s="80" t="s">
        <v>216</v>
      </c>
      <c r="D18" s="80">
        <v>1.0</v>
      </c>
      <c r="E18" s="80">
        <v>600.0</v>
      </c>
      <c r="F18" s="81">
        <v>30570.0</v>
      </c>
      <c r="G18" s="81">
        <v>388.23</v>
      </c>
      <c r="H18" s="81">
        <v>30182.0</v>
      </c>
    </row>
    <row r="19" ht="12.75" customHeight="1">
      <c r="A19" s="80" t="s">
        <v>230</v>
      </c>
      <c r="B19" s="80" t="s">
        <v>232</v>
      </c>
      <c r="C19" s="80" t="s">
        <v>216</v>
      </c>
      <c r="D19" s="80">
        <v>1.0</v>
      </c>
      <c r="E19" s="80">
        <v>600.0</v>
      </c>
      <c r="F19" s="81">
        <v>30470.0</v>
      </c>
      <c r="G19" s="81">
        <v>1197.42</v>
      </c>
      <c r="H19" s="81">
        <v>29273.0</v>
      </c>
    </row>
    <row r="20" ht="12.75" customHeight="1">
      <c r="A20" s="80" t="s">
        <v>230</v>
      </c>
      <c r="B20" s="80" t="s">
        <v>233</v>
      </c>
      <c r="C20" s="80" t="s">
        <v>216</v>
      </c>
      <c r="D20" s="80">
        <v>1.0</v>
      </c>
      <c r="E20" s="80">
        <v>600.0</v>
      </c>
      <c r="F20" s="81">
        <v>30380.0</v>
      </c>
      <c r="G20" s="81">
        <v>941.76</v>
      </c>
      <c r="H20" s="81">
        <v>29438.0</v>
      </c>
    </row>
    <row r="21" ht="12.75" customHeight="1">
      <c r="A21" s="80" t="s">
        <v>234</v>
      </c>
      <c r="B21" s="80" t="s">
        <v>235</v>
      </c>
      <c r="C21" s="80" t="s">
        <v>216</v>
      </c>
      <c r="D21" s="80">
        <v>1.0</v>
      </c>
      <c r="E21" s="80">
        <v>600.0</v>
      </c>
      <c r="F21" s="81">
        <v>30270.0</v>
      </c>
      <c r="G21" s="81">
        <v>1713.26</v>
      </c>
      <c r="H21" s="81">
        <v>28557.0</v>
      </c>
    </row>
    <row r="22" ht="12.75" customHeight="1">
      <c r="A22" s="80" t="s">
        <v>234</v>
      </c>
      <c r="B22" s="80" t="s">
        <v>236</v>
      </c>
      <c r="C22" s="80" t="s">
        <v>216</v>
      </c>
      <c r="D22" s="80">
        <v>1.0</v>
      </c>
      <c r="E22" s="80">
        <v>600.0</v>
      </c>
      <c r="F22" s="81">
        <v>30020.0</v>
      </c>
      <c r="G22" s="81">
        <v>1230.79</v>
      </c>
      <c r="H22" s="81">
        <v>28789.0</v>
      </c>
    </row>
    <row r="23" ht="12.75" customHeight="1">
      <c r="A23" s="80" t="s">
        <v>234</v>
      </c>
      <c r="B23" s="80" t="s">
        <v>237</v>
      </c>
      <c r="C23" s="80" t="s">
        <v>216</v>
      </c>
      <c r="D23" s="80">
        <v>1.0</v>
      </c>
      <c r="E23" s="80">
        <v>600.0</v>
      </c>
      <c r="F23" s="81">
        <v>30250.0</v>
      </c>
      <c r="G23" s="81">
        <v>807.69</v>
      </c>
      <c r="H23" s="81">
        <v>29442.0</v>
      </c>
    </row>
    <row r="24" ht="12.75" customHeight="1">
      <c r="A24" s="80" t="s">
        <v>238</v>
      </c>
      <c r="B24" s="80" t="s">
        <v>239</v>
      </c>
      <c r="C24" s="80" t="s">
        <v>216</v>
      </c>
      <c r="D24" s="80">
        <v>1.0</v>
      </c>
      <c r="E24" s="80">
        <v>163.0</v>
      </c>
      <c r="F24" s="81">
        <v>8280.0</v>
      </c>
      <c r="G24" s="81">
        <v>380.08</v>
      </c>
      <c r="H24" s="81">
        <v>7900.0</v>
      </c>
    </row>
    <row r="25" ht="12.75" customHeight="1">
      <c r="A25" s="80" t="s">
        <v>238</v>
      </c>
      <c r="B25" s="80" t="s">
        <v>240</v>
      </c>
      <c r="C25" s="80" t="s">
        <v>216</v>
      </c>
      <c r="D25" s="80">
        <v>1.0</v>
      </c>
      <c r="E25" s="80">
        <v>600.0</v>
      </c>
      <c r="F25" s="81">
        <v>30220.0</v>
      </c>
      <c r="G25" s="81">
        <v>876.35</v>
      </c>
      <c r="H25" s="81">
        <v>29344.0</v>
      </c>
    </row>
    <row r="26" ht="12.75" customHeight="1">
      <c r="A26" s="80" t="s">
        <v>238</v>
      </c>
      <c r="B26" s="80" t="s">
        <v>241</v>
      </c>
      <c r="C26" s="80" t="s">
        <v>216</v>
      </c>
      <c r="D26" s="80">
        <v>1.0</v>
      </c>
      <c r="E26" s="80">
        <v>288.0</v>
      </c>
      <c r="F26" s="81">
        <v>13950.0</v>
      </c>
      <c r="G26" s="81">
        <v>525.92</v>
      </c>
      <c r="H26" s="81">
        <v>13424.0</v>
      </c>
    </row>
    <row r="27" ht="12.75" customHeight="1">
      <c r="A27" s="80" t="s">
        <v>242</v>
      </c>
      <c r="B27" s="80" t="s">
        <v>243</v>
      </c>
      <c r="C27" s="80" t="s">
        <v>216</v>
      </c>
      <c r="D27" s="80">
        <v>1.0</v>
      </c>
      <c r="E27" s="80">
        <v>600.0</v>
      </c>
      <c r="F27" s="81">
        <v>30920.0</v>
      </c>
      <c r="G27" s="81">
        <v>1372.82</v>
      </c>
      <c r="H27" s="81">
        <v>29547.0</v>
      </c>
    </row>
    <row r="28" ht="12.75" customHeight="1">
      <c r="A28" s="80" t="s">
        <v>242</v>
      </c>
      <c r="B28" s="80" t="s">
        <v>244</v>
      </c>
      <c r="C28" s="80" t="s">
        <v>216</v>
      </c>
      <c r="D28" s="80">
        <v>1.0</v>
      </c>
      <c r="E28" s="80">
        <v>615.0</v>
      </c>
      <c r="F28" s="81">
        <v>30940.0</v>
      </c>
      <c r="G28" s="81">
        <v>1113.8</v>
      </c>
      <c r="H28" s="81">
        <v>29826.0</v>
      </c>
    </row>
    <row r="29" ht="12.75" customHeight="1">
      <c r="A29" s="80" t="s">
        <v>245</v>
      </c>
      <c r="B29" s="80" t="s">
        <v>246</v>
      </c>
      <c r="C29" s="80" t="s">
        <v>216</v>
      </c>
      <c r="D29" s="80">
        <v>1.0</v>
      </c>
      <c r="E29" s="80">
        <v>600.0</v>
      </c>
      <c r="F29" s="81">
        <v>31030.0</v>
      </c>
      <c r="G29" s="81">
        <v>1272.2</v>
      </c>
      <c r="H29" s="81">
        <v>29758.0</v>
      </c>
    </row>
    <row r="30" ht="12.75" customHeight="1">
      <c r="A30" s="80" t="s">
        <v>245</v>
      </c>
      <c r="B30" s="80" t="s">
        <v>247</v>
      </c>
      <c r="C30" s="80" t="s">
        <v>216</v>
      </c>
      <c r="D30" s="80">
        <v>1.0</v>
      </c>
      <c r="E30" s="80">
        <v>600.0</v>
      </c>
      <c r="F30" s="81">
        <v>31500.0</v>
      </c>
      <c r="G30" s="81">
        <v>1165.47</v>
      </c>
      <c r="H30" s="81">
        <v>30335.0</v>
      </c>
    </row>
    <row r="31" ht="12.75" customHeight="1">
      <c r="A31" s="80" t="s">
        <v>245</v>
      </c>
      <c r="B31" s="80" t="s">
        <v>248</v>
      </c>
      <c r="C31" s="80" t="s">
        <v>216</v>
      </c>
      <c r="D31" s="80">
        <v>1.0</v>
      </c>
      <c r="E31" s="80">
        <v>600.0</v>
      </c>
      <c r="F31" s="81">
        <v>30240.0</v>
      </c>
      <c r="G31" s="81">
        <v>1179.36</v>
      </c>
      <c r="H31" s="81">
        <v>29061.0</v>
      </c>
    </row>
    <row r="32" ht="12.75" customHeight="1">
      <c r="A32" s="80" t="s">
        <v>245</v>
      </c>
      <c r="B32" s="80" t="s">
        <v>249</v>
      </c>
      <c r="C32" s="80" t="s">
        <v>216</v>
      </c>
      <c r="D32" s="80">
        <v>1.0</v>
      </c>
      <c r="E32" s="80">
        <v>600.0</v>
      </c>
      <c r="F32" s="81">
        <v>30870.0</v>
      </c>
      <c r="G32" s="81">
        <v>1219.37</v>
      </c>
      <c r="H32" s="81">
        <v>29651.0</v>
      </c>
    </row>
    <row r="33" ht="12.75" customHeight="1">
      <c r="A33" s="80" t="s">
        <v>245</v>
      </c>
      <c r="B33" s="80" t="s">
        <v>250</v>
      </c>
      <c r="C33" s="80" t="s">
        <v>216</v>
      </c>
      <c r="D33" s="80">
        <v>1.0</v>
      </c>
      <c r="E33" s="80">
        <v>600.0</v>
      </c>
      <c r="F33" s="81">
        <v>30040.0</v>
      </c>
      <c r="G33" s="81">
        <v>1216.62</v>
      </c>
      <c r="H33" s="81">
        <v>28823.0</v>
      </c>
    </row>
    <row r="34" ht="12.75" customHeight="1">
      <c r="A34" s="80" t="s">
        <v>245</v>
      </c>
      <c r="B34" s="80" t="s">
        <v>251</v>
      </c>
      <c r="C34" s="80" t="s">
        <v>216</v>
      </c>
      <c r="D34" s="80">
        <v>1.0</v>
      </c>
      <c r="E34" s="80">
        <v>356.0</v>
      </c>
      <c r="F34" s="81">
        <v>28040.0</v>
      </c>
      <c r="G34" s="81">
        <v>1065.48</v>
      </c>
      <c r="H34" s="81">
        <v>26975.0</v>
      </c>
    </row>
    <row r="35" ht="12.75" customHeight="1">
      <c r="A35" s="80" t="s">
        <v>252</v>
      </c>
      <c r="B35" s="80" t="s">
        <v>253</v>
      </c>
      <c r="C35" s="80" t="s">
        <v>216</v>
      </c>
      <c r="D35" s="80">
        <v>1.0</v>
      </c>
      <c r="E35" s="80">
        <v>600.0</v>
      </c>
      <c r="F35" s="81">
        <v>32110.0</v>
      </c>
      <c r="G35" s="81">
        <v>1139.91</v>
      </c>
      <c r="H35" s="81">
        <v>30970.0</v>
      </c>
    </row>
    <row r="36" ht="12.75" customHeight="1">
      <c r="A36" s="80" t="s">
        <v>252</v>
      </c>
      <c r="B36" s="80" t="s">
        <v>254</v>
      </c>
      <c r="C36" s="80" t="s">
        <v>216</v>
      </c>
      <c r="D36" s="80">
        <v>1.0</v>
      </c>
      <c r="E36" s="80">
        <v>600.0</v>
      </c>
      <c r="F36" s="81">
        <v>30410.0</v>
      </c>
      <c r="G36" s="81">
        <v>842.36</v>
      </c>
      <c r="H36" s="81">
        <v>29568.0</v>
      </c>
    </row>
    <row r="37" ht="12.75" customHeight="1">
      <c r="A37" s="80" t="s">
        <v>252</v>
      </c>
      <c r="B37" s="80" t="s">
        <v>255</v>
      </c>
      <c r="C37" s="80" t="s">
        <v>216</v>
      </c>
      <c r="D37" s="80">
        <v>1.0</v>
      </c>
      <c r="E37" s="80">
        <v>600.0</v>
      </c>
      <c r="F37" s="81">
        <v>30550.0</v>
      </c>
      <c r="G37" s="81">
        <v>1108.93</v>
      </c>
      <c r="H37" s="81">
        <v>29441.0</v>
      </c>
    </row>
    <row r="38" ht="12.75" customHeight="1">
      <c r="A38" s="80" t="s">
        <v>256</v>
      </c>
      <c r="B38" s="80" t="s">
        <v>257</v>
      </c>
      <c r="C38" s="80" t="s">
        <v>216</v>
      </c>
      <c r="D38" s="80">
        <v>1.0</v>
      </c>
      <c r="E38" s="80">
        <v>168.0</v>
      </c>
      <c r="F38" s="81">
        <v>8320.0</v>
      </c>
      <c r="G38" s="81">
        <v>332.8</v>
      </c>
      <c r="H38" s="81">
        <v>7987.0</v>
      </c>
    </row>
    <row r="39" ht="12.75" customHeight="1">
      <c r="A39" s="80" t="s">
        <v>258</v>
      </c>
      <c r="B39" s="80" t="s">
        <v>259</v>
      </c>
      <c r="C39" s="80" t="s">
        <v>216</v>
      </c>
      <c r="D39" s="80">
        <v>1.0</v>
      </c>
      <c r="E39" s="80">
        <v>300.0</v>
      </c>
      <c r="F39" s="81">
        <v>15270.0</v>
      </c>
      <c r="G39" s="81">
        <v>442.83</v>
      </c>
      <c r="H39" s="81">
        <v>14827.0</v>
      </c>
    </row>
    <row r="40" ht="12.75" customHeight="1">
      <c r="A40" s="80" t="s">
        <v>258</v>
      </c>
      <c r="B40" s="80" t="s">
        <v>260</v>
      </c>
      <c r="C40" s="80" t="s">
        <v>216</v>
      </c>
      <c r="D40" s="80">
        <v>1.0</v>
      </c>
      <c r="E40" s="80">
        <v>600.0</v>
      </c>
      <c r="F40" s="81">
        <v>30610.0</v>
      </c>
      <c r="G40" s="81">
        <v>1255.01</v>
      </c>
      <c r="H40" s="81">
        <v>29355.0</v>
      </c>
    </row>
    <row r="41" ht="12.75" customHeight="1">
      <c r="A41" s="80" t="s">
        <v>261</v>
      </c>
      <c r="B41" s="80" t="s">
        <v>262</v>
      </c>
      <c r="C41" s="80" t="s">
        <v>216</v>
      </c>
      <c r="D41" s="80">
        <v>1.0</v>
      </c>
      <c r="E41" s="80">
        <v>354.0</v>
      </c>
      <c r="F41" s="81">
        <v>17790.0</v>
      </c>
      <c r="G41" s="81">
        <v>640.44</v>
      </c>
      <c r="H41" s="81">
        <v>17150.0</v>
      </c>
    </row>
    <row r="42" ht="12.75" customHeight="1">
      <c r="A42" s="80" t="s">
        <v>261</v>
      </c>
      <c r="B42" s="80" t="s">
        <v>263</v>
      </c>
      <c r="C42" s="80" t="s">
        <v>216</v>
      </c>
      <c r="D42" s="80">
        <v>1.0</v>
      </c>
      <c r="E42" s="80">
        <v>595.0</v>
      </c>
      <c r="F42" s="81">
        <v>30920.0</v>
      </c>
      <c r="G42" s="81">
        <v>1595.47</v>
      </c>
      <c r="H42" s="81">
        <v>29325.0</v>
      </c>
    </row>
    <row r="43" ht="12.75" customHeight="1">
      <c r="A43" s="80" t="s">
        <v>261</v>
      </c>
      <c r="B43" s="80" t="s">
        <v>264</v>
      </c>
      <c r="C43" s="80" t="s">
        <v>216</v>
      </c>
      <c r="D43" s="80">
        <v>1.0</v>
      </c>
      <c r="E43" s="80">
        <v>600.0</v>
      </c>
      <c r="F43" s="81">
        <v>29760.0</v>
      </c>
      <c r="G43" s="81">
        <v>925.56</v>
      </c>
      <c r="H43" s="81">
        <v>28834.0</v>
      </c>
    </row>
    <row r="44" ht="12.75" customHeight="1">
      <c r="A44" s="80" t="s">
        <v>261</v>
      </c>
      <c r="B44" s="80" t="s">
        <v>265</v>
      </c>
      <c r="C44" s="80" t="s">
        <v>216</v>
      </c>
      <c r="D44" s="80">
        <v>1.0</v>
      </c>
      <c r="E44" s="80">
        <v>600.0</v>
      </c>
      <c r="F44" s="81">
        <v>30430.0</v>
      </c>
      <c r="G44" s="81">
        <v>1351.05</v>
      </c>
      <c r="H44" s="81">
        <v>29079.0</v>
      </c>
    </row>
    <row r="45" ht="12.75" customHeight="1">
      <c r="A45" s="80" t="s">
        <v>261</v>
      </c>
      <c r="B45" s="80" t="s">
        <v>266</v>
      </c>
      <c r="C45" s="80" t="s">
        <v>216</v>
      </c>
      <c r="D45" s="80">
        <v>1.0</v>
      </c>
      <c r="E45" s="80">
        <v>272.0</v>
      </c>
      <c r="F45" s="81">
        <v>12800.0</v>
      </c>
      <c r="G45" s="81">
        <v>587.52</v>
      </c>
      <c r="H45" s="81">
        <v>12212.0</v>
      </c>
    </row>
    <row r="46" ht="12.75" customHeight="1">
      <c r="A46" s="80" t="s">
        <v>267</v>
      </c>
      <c r="B46" s="80" t="s">
        <v>268</v>
      </c>
      <c r="C46" s="80" t="s">
        <v>216</v>
      </c>
      <c r="D46" s="80">
        <v>1.0</v>
      </c>
      <c r="E46" s="80">
        <v>538.0</v>
      </c>
      <c r="F46" s="81">
        <v>27440.0</v>
      </c>
      <c r="G46" s="81">
        <v>532.3</v>
      </c>
      <c r="H46" s="81">
        <v>26908.0</v>
      </c>
    </row>
    <row r="47" ht="12.75" customHeight="1">
      <c r="A47" s="80" t="s">
        <v>267</v>
      </c>
      <c r="B47" s="80" t="s">
        <v>269</v>
      </c>
      <c r="C47" s="80" t="s">
        <v>216</v>
      </c>
      <c r="D47" s="80">
        <v>1.0</v>
      </c>
      <c r="E47" s="80">
        <v>600.0</v>
      </c>
      <c r="F47" s="81">
        <v>30990.0</v>
      </c>
      <c r="G47" s="81">
        <v>1723.0</v>
      </c>
      <c r="H47" s="81">
        <v>29267.0</v>
      </c>
    </row>
    <row r="48" ht="12.75" customHeight="1">
      <c r="A48" s="80" t="s">
        <v>267</v>
      </c>
      <c r="B48" s="80" t="s">
        <v>270</v>
      </c>
      <c r="C48" s="80" t="s">
        <v>216</v>
      </c>
      <c r="D48" s="80">
        <v>1.0</v>
      </c>
      <c r="E48" s="80">
        <v>600.0</v>
      </c>
      <c r="F48" s="81">
        <v>30690.0</v>
      </c>
      <c r="G48" s="81">
        <v>1212.2</v>
      </c>
      <c r="H48" s="81">
        <v>29478.0</v>
      </c>
    </row>
    <row r="49" ht="12.75" customHeight="1">
      <c r="A49" s="80" t="s">
        <v>267</v>
      </c>
      <c r="B49" s="80" t="s">
        <v>271</v>
      </c>
      <c r="C49" s="80" t="s">
        <v>216</v>
      </c>
      <c r="D49" s="80">
        <v>1.0</v>
      </c>
      <c r="E49" s="80">
        <v>600.0</v>
      </c>
      <c r="F49" s="81">
        <v>30470.0</v>
      </c>
      <c r="G49" s="81">
        <v>1249.28</v>
      </c>
      <c r="H49" s="81">
        <v>29221.0</v>
      </c>
    </row>
    <row r="50" ht="12.75" customHeight="1">
      <c r="A50" s="80" t="s">
        <v>272</v>
      </c>
      <c r="B50" s="80" t="s">
        <v>273</v>
      </c>
      <c r="C50" s="80" t="s">
        <v>216</v>
      </c>
      <c r="D50" s="80">
        <v>1.0</v>
      </c>
      <c r="E50" s="80">
        <v>600.0</v>
      </c>
      <c r="F50" s="81">
        <v>30590.0</v>
      </c>
      <c r="G50" s="81">
        <v>428.22</v>
      </c>
      <c r="H50" s="81">
        <v>30162.0</v>
      </c>
    </row>
    <row r="51" ht="12.75" customHeight="1">
      <c r="A51" s="80" t="s">
        <v>272</v>
      </c>
      <c r="B51" s="80" t="s">
        <v>274</v>
      </c>
      <c r="C51" s="80" t="s">
        <v>216</v>
      </c>
      <c r="D51" s="80">
        <v>1.0</v>
      </c>
      <c r="E51" s="80">
        <v>600.0</v>
      </c>
      <c r="F51" s="81">
        <v>31000.0</v>
      </c>
      <c r="G51" s="81">
        <v>759.45</v>
      </c>
      <c r="H51" s="81">
        <v>30241.0</v>
      </c>
    </row>
    <row r="52" ht="12.75" customHeight="1">
      <c r="A52" s="80" t="s">
        <v>272</v>
      </c>
      <c r="B52" s="80" t="s">
        <v>275</v>
      </c>
      <c r="C52" s="80" t="s">
        <v>216</v>
      </c>
      <c r="D52" s="80">
        <v>1.0</v>
      </c>
      <c r="E52" s="80">
        <v>600.0</v>
      </c>
      <c r="F52" s="81">
        <v>30950.0</v>
      </c>
      <c r="G52" s="81">
        <v>433.27</v>
      </c>
      <c r="H52" s="81">
        <v>30517.0</v>
      </c>
    </row>
    <row r="53" ht="12.75" customHeight="1">
      <c r="A53" s="80" t="s">
        <v>272</v>
      </c>
      <c r="B53" s="80" t="s">
        <v>276</v>
      </c>
      <c r="C53" s="80" t="s">
        <v>216</v>
      </c>
      <c r="D53" s="80">
        <v>1.0</v>
      </c>
      <c r="E53" s="80">
        <v>186.0</v>
      </c>
      <c r="F53" s="81">
        <v>9482.0</v>
      </c>
      <c r="G53" s="81">
        <v>379.15</v>
      </c>
      <c r="H53" s="81">
        <v>9103.0</v>
      </c>
    </row>
    <row r="54" ht="12.75" customHeight="1">
      <c r="A54" s="80" t="s">
        <v>272</v>
      </c>
      <c r="B54" s="80" t="s">
        <v>276</v>
      </c>
      <c r="C54" s="80" t="s">
        <v>216</v>
      </c>
      <c r="D54" s="80">
        <v>3.0</v>
      </c>
      <c r="E54" s="80">
        <v>414.0</v>
      </c>
      <c r="F54" s="81">
        <v>21108.0</v>
      </c>
      <c r="G54" s="81">
        <v>844.37</v>
      </c>
      <c r="H54" s="81">
        <v>20264.0</v>
      </c>
    </row>
    <row r="55" ht="12.75" customHeight="1">
      <c r="A55" s="80" t="s">
        <v>272</v>
      </c>
      <c r="B55" s="80" t="s">
        <v>277</v>
      </c>
      <c r="C55" s="80" t="s">
        <v>216</v>
      </c>
      <c r="D55" s="80">
        <v>3.0</v>
      </c>
      <c r="E55" s="80">
        <v>601.0</v>
      </c>
      <c r="F55" s="81">
        <v>30590.0</v>
      </c>
      <c r="G55" s="81">
        <v>847.34</v>
      </c>
      <c r="H55" s="81">
        <v>29743.0</v>
      </c>
    </row>
    <row r="56" ht="12.75" customHeight="1">
      <c r="A56" s="80" t="s">
        <v>272</v>
      </c>
      <c r="B56" s="80" t="s">
        <v>278</v>
      </c>
      <c r="C56" s="80" t="s">
        <v>216</v>
      </c>
      <c r="D56" s="80">
        <v>3.0</v>
      </c>
      <c r="E56" s="80">
        <v>523.0</v>
      </c>
      <c r="F56" s="81">
        <v>27220.0</v>
      </c>
      <c r="G56" s="81">
        <v>843.8</v>
      </c>
      <c r="H56" s="81">
        <v>26376.0</v>
      </c>
    </row>
    <row r="57" ht="12.75" customHeight="1">
      <c r="A57" s="80" t="s">
        <v>279</v>
      </c>
      <c r="B57" s="80" t="s">
        <v>280</v>
      </c>
      <c r="C57" s="80" t="s">
        <v>216</v>
      </c>
      <c r="D57" s="80">
        <v>3.0</v>
      </c>
      <c r="E57" s="80">
        <v>600.0</v>
      </c>
      <c r="F57" s="81">
        <v>31260.0</v>
      </c>
      <c r="G57" s="81">
        <v>1406.7</v>
      </c>
      <c r="H57" s="81">
        <v>29853.0</v>
      </c>
    </row>
    <row r="58" ht="12.75" customHeight="1">
      <c r="A58" s="80" t="s">
        <v>279</v>
      </c>
      <c r="B58" s="80" t="s">
        <v>281</v>
      </c>
      <c r="C58" s="80" t="s">
        <v>216</v>
      </c>
      <c r="D58" s="80">
        <v>3.0</v>
      </c>
      <c r="E58" s="80">
        <v>600.0</v>
      </c>
      <c r="F58" s="81">
        <v>31080.0</v>
      </c>
      <c r="G58" s="81">
        <v>248.64</v>
      </c>
      <c r="H58" s="81">
        <v>30831.0</v>
      </c>
    </row>
    <row r="59" ht="12.75" customHeight="1">
      <c r="A59" s="80" t="s">
        <v>279</v>
      </c>
      <c r="B59" s="80" t="s">
        <v>282</v>
      </c>
      <c r="C59" s="80" t="s">
        <v>216</v>
      </c>
      <c r="D59" s="80">
        <v>3.0</v>
      </c>
      <c r="E59" s="80">
        <v>569.0</v>
      </c>
      <c r="F59" s="81">
        <v>28920.0</v>
      </c>
      <c r="G59" s="81">
        <v>838.65</v>
      </c>
      <c r="H59" s="81">
        <v>28081.0</v>
      </c>
    </row>
    <row r="60" ht="12.75" customHeight="1">
      <c r="A60" s="80" t="s">
        <v>283</v>
      </c>
      <c r="B60" s="80" t="s">
        <v>284</v>
      </c>
      <c r="C60" s="80" t="s">
        <v>216</v>
      </c>
      <c r="D60" s="80">
        <v>3.0</v>
      </c>
      <c r="E60" s="80">
        <v>600.0</v>
      </c>
      <c r="F60" s="81">
        <v>31200.0</v>
      </c>
      <c r="G60" s="81">
        <v>842.38</v>
      </c>
      <c r="H60" s="81">
        <v>30358.0</v>
      </c>
    </row>
    <row r="61" ht="12.75" customHeight="1">
      <c r="A61" s="80" t="s">
        <v>283</v>
      </c>
      <c r="B61" s="80" t="s">
        <v>285</v>
      </c>
      <c r="C61" s="80" t="s">
        <v>216</v>
      </c>
      <c r="D61" s="80">
        <v>3.0</v>
      </c>
      <c r="E61" s="80">
        <v>600.0</v>
      </c>
      <c r="F61" s="81">
        <v>30800.0</v>
      </c>
      <c r="G61" s="81">
        <v>770.0</v>
      </c>
      <c r="H61" s="81">
        <v>30030.0</v>
      </c>
    </row>
    <row r="62" ht="12.75" customHeight="1">
      <c r="A62" s="80" t="s">
        <v>283</v>
      </c>
      <c r="B62" s="80" t="s">
        <v>286</v>
      </c>
      <c r="C62" s="80" t="s">
        <v>216</v>
      </c>
      <c r="D62" s="80">
        <v>3.0</v>
      </c>
      <c r="E62" s="80">
        <v>540.0</v>
      </c>
      <c r="F62" s="81">
        <v>27580.0</v>
      </c>
      <c r="G62" s="81">
        <v>1075.6</v>
      </c>
      <c r="H62" s="81">
        <v>26504.0</v>
      </c>
    </row>
    <row r="63" ht="12.75" customHeight="1">
      <c r="A63" s="80" t="s">
        <v>283</v>
      </c>
      <c r="B63" s="80" t="s">
        <v>287</v>
      </c>
      <c r="C63" s="80" t="s">
        <v>216</v>
      </c>
      <c r="D63" s="80">
        <v>3.0</v>
      </c>
      <c r="E63" s="80">
        <v>172.0</v>
      </c>
      <c r="F63" s="81">
        <v>8780.0</v>
      </c>
      <c r="G63" s="81">
        <v>359.98</v>
      </c>
      <c r="H63" s="81">
        <v>8420.0</v>
      </c>
    </row>
    <row r="64" ht="12.75" customHeight="1">
      <c r="A64" s="80" t="s">
        <v>288</v>
      </c>
      <c r="B64" s="80" t="s">
        <v>289</v>
      </c>
      <c r="C64" s="80" t="s">
        <v>216</v>
      </c>
      <c r="D64" s="80">
        <v>3.0</v>
      </c>
      <c r="E64" s="80">
        <v>603.0</v>
      </c>
      <c r="F64" s="81">
        <v>31300.0</v>
      </c>
      <c r="G64" s="81">
        <v>948.39</v>
      </c>
      <c r="H64" s="81">
        <v>30352.0</v>
      </c>
    </row>
    <row r="65" ht="12.75" customHeight="1">
      <c r="A65" s="80" t="s">
        <v>288</v>
      </c>
      <c r="B65" s="80" t="s">
        <v>290</v>
      </c>
      <c r="C65" s="80" t="s">
        <v>216</v>
      </c>
      <c r="D65" s="80">
        <v>3.0</v>
      </c>
      <c r="E65" s="80">
        <v>600.0</v>
      </c>
      <c r="F65" s="81">
        <v>30920.0</v>
      </c>
      <c r="G65" s="81">
        <v>578.2</v>
      </c>
      <c r="H65" s="81">
        <v>30342.0</v>
      </c>
    </row>
    <row r="66" ht="12.75" customHeight="1">
      <c r="A66" s="80" t="s">
        <v>288</v>
      </c>
      <c r="B66" s="80" t="s">
        <v>291</v>
      </c>
      <c r="C66" s="80" t="s">
        <v>216</v>
      </c>
      <c r="D66" s="80">
        <v>3.0</v>
      </c>
      <c r="E66" s="80">
        <v>600.0</v>
      </c>
      <c r="F66" s="81">
        <v>31380.0</v>
      </c>
      <c r="G66" s="81">
        <v>837.85</v>
      </c>
      <c r="H66" s="81">
        <v>30542.0</v>
      </c>
    </row>
    <row r="67" ht="12.75" customHeight="1">
      <c r="A67" s="80" t="s">
        <v>288</v>
      </c>
      <c r="B67" s="80" t="s">
        <v>292</v>
      </c>
      <c r="C67" s="80" t="s">
        <v>216</v>
      </c>
      <c r="D67" s="80">
        <v>3.0</v>
      </c>
      <c r="E67" s="80">
        <v>600.0</v>
      </c>
      <c r="F67" s="81">
        <v>31040.0</v>
      </c>
      <c r="G67" s="81">
        <v>512.12</v>
      </c>
      <c r="H67" s="81">
        <v>30528.0</v>
      </c>
    </row>
    <row r="68" ht="12.75" customHeight="1">
      <c r="A68" s="80" t="s">
        <v>288</v>
      </c>
      <c r="B68" s="80" t="s">
        <v>293</v>
      </c>
      <c r="C68" s="80" t="s">
        <v>216</v>
      </c>
      <c r="D68" s="80">
        <v>3.0</v>
      </c>
      <c r="E68" s="80">
        <v>604.0</v>
      </c>
      <c r="F68" s="81">
        <v>31270.0</v>
      </c>
      <c r="G68" s="81">
        <v>422.12</v>
      </c>
      <c r="H68" s="81">
        <v>30848.0</v>
      </c>
    </row>
    <row r="69" ht="12.75" customHeight="1">
      <c r="A69" s="80" t="s">
        <v>294</v>
      </c>
      <c r="B69" s="80" t="s">
        <v>295</v>
      </c>
      <c r="C69" s="80" t="s">
        <v>216</v>
      </c>
      <c r="D69" s="80">
        <v>3.0</v>
      </c>
      <c r="E69" s="80">
        <v>568.0</v>
      </c>
      <c r="F69" s="81">
        <v>29730.0</v>
      </c>
      <c r="G69" s="81">
        <v>481.58</v>
      </c>
      <c r="H69" s="81">
        <v>29248.0</v>
      </c>
    </row>
    <row r="70" ht="12.75" customHeight="1">
      <c r="A70" s="80" t="s">
        <v>294</v>
      </c>
      <c r="B70" s="80" t="s">
        <v>296</v>
      </c>
      <c r="C70" s="80" t="s">
        <v>216</v>
      </c>
      <c r="D70" s="80">
        <v>3.0</v>
      </c>
      <c r="E70" s="80">
        <v>600.0</v>
      </c>
      <c r="F70" s="81">
        <v>30820.0</v>
      </c>
      <c r="G70" s="81">
        <v>554.76</v>
      </c>
      <c r="H70" s="81">
        <v>30265.0</v>
      </c>
    </row>
    <row r="71" ht="12.75" customHeight="1">
      <c r="A71" s="80" t="s">
        <v>294</v>
      </c>
      <c r="B71" s="80" t="s">
        <v>297</v>
      </c>
      <c r="C71" s="80" t="s">
        <v>216</v>
      </c>
      <c r="D71" s="80">
        <v>3.0</v>
      </c>
      <c r="E71" s="80">
        <v>600.0</v>
      </c>
      <c r="F71" s="81">
        <v>31290.0</v>
      </c>
      <c r="G71" s="81">
        <v>528.75</v>
      </c>
      <c r="H71" s="81">
        <v>30761.0</v>
      </c>
    </row>
    <row r="72" ht="12.75" customHeight="1">
      <c r="A72" s="80" t="s">
        <v>294</v>
      </c>
      <c r="B72" s="80" t="s">
        <v>298</v>
      </c>
      <c r="C72" s="80" t="s">
        <v>216</v>
      </c>
      <c r="D72" s="80">
        <v>3.0</v>
      </c>
      <c r="E72" s="80">
        <v>600.0</v>
      </c>
      <c r="F72" s="81">
        <v>31160.0</v>
      </c>
      <c r="G72" s="81">
        <v>785.2</v>
      </c>
      <c r="H72" s="81">
        <v>30375.0</v>
      </c>
    </row>
    <row r="73" ht="12.75" customHeight="1">
      <c r="A73" s="80" t="s">
        <v>294</v>
      </c>
      <c r="B73" s="80" t="s">
        <v>299</v>
      </c>
      <c r="C73" s="80" t="s">
        <v>216</v>
      </c>
      <c r="D73" s="80">
        <v>3.0</v>
      </c>
      <c r="E73" s="80">
        <v>600.0</v>
      </c>
      <c r="F73" s="81">
        <v>31240.0</v>
      </c>
      <c r="G73" s="81">
        <v>218.66</v>
      </c>
      <c r="H73" s="81">
        <v>31021.0</v>
      </c>
    </row>
    <row r="74" ht="12.75" customHeight="1">
      <c r="A74" s="80" t="s">
        <v>294</v>
      </c>
      <c r="B74" s="80" t="s">
        <v>300</v>
      </c>
      <c r="C74" s="80" t="s">
        <v>216</v>
      </c>
      <c r="D74" s="80">
        <v>3.0</v>
      </c>
      <c r="E74" s="80">
        <v>600.0</v>
      </c>
      <c r="F74" s="81">
        <v>30790.0</v>
      </c>
      <c r="G74" s="81">
        <v>794.38</v>
      </c>
      <c r="H74" s="81">
        <v>29996.0</v>
      </c>
    </row>
    <row r="75" ht="12.75" customHeight="1">
      <c r="A75" s="80" t="s">
        <v>294</v>
      </c>
      <c r="B75" s="80" t="s">
        <v>301</v>
      </c>
      <c r="C75" s="80" t="s">
        <v>216</v>
      </c>
      <c r="D75" s="80">
        <v>3.0</v>
      </c>
      <c r="E75" s="80">
        <v>594.0</v>
      </c>
      <c r="F75" s="81">
        <v>30530.0</v>
      </c>
      <c r="G75" s="81">
        <v>222.82</v>
      </c>
      <c r="H75" s="81">
        <v>30307.0</v>
      </c>
    </row>
    <row r="76" ht="12.75" customHeight="1">
      <c r="A76" s="80" t="s">
        <v>302</v>
      </c>
      <c r="B76" s="80" t="s">
        <v>303</v>
      </c>
      <c r="C76" s="80" t="s">
        <v>216</v>
      </c>
      <c r="D76" s="80">
        <v>3.0</v>
      </c>
      <c r="E76" s="80">
        <v>587.0</v>
      </c>
      <c r="F76" s="81">
        <v>30030.0</v>
      </c>
      <c r="G76" s="81">
        <v>684.68</v>
      </c>
      <c r="H76" s="81">
        <v>29345.0</v>
      </c>
    </row>
    <row r="77" ht="12.75" customHeight="1">
      <c r="A77" s="80" t="s">
        <v>302</v>
      </c>
      <c r="B77" s="80" t="s">
        <v>304</v>
      </c>
      <c r="C77" s="80" t="s">
        <v>216</v>
      </c>
      <c r="D77" s="80">
        <v>3.0</v>
      </c>
      <c r="E77" s="80">
        <v>600.0</v>
      </c>
      <c r="F77" s="81">
        <v>30740.0</v>
      </c>
      <c r="G77" s="81">
        <v>1586.18</v>
      </c>
      <c r="H77" s="81">
        <v>29154.0</v>
      </c>
    </row>
    <row r="78" ht="12.75" customHeight="1">
      <c r="A78" s="80" t="s">
        <v>302</v>
      </c>
      <c r="B78" s="80" t="s">
        <v>305</v>
      </c>
      <c r="C78" s="80" t="s">
        <v>216</v>
      </c>
      <c r="D78" s="80">
        <v>3.0</v>
      </c>
      <c r="E78" s="80">
        <v>600.0</v>
      </c>
      <c r="F78" s="81">
        <v>30560.0</v>
      </c>
      <c r="G78" s="81">
        <v>2389.79</v>
      </c>
      <c r="H78" s="81">
        <v>28170.0</v>
      </c>
    </row>
    <row r="79" ht="12.75" customHeight="1">
      <c r="A79" s="80" t="s">
        <v>302</v>
      </c>
      <c r="B79" s="80" t="s">
        <v>306</v>
      </c>
      <c r="C79" s="80" t="s">
        <v>216</v>
      </c>
      <c r="D79" s="80">
        <v>3.0</v>
      </c>
      <c r="E79" s="80">
        <v>602.0</v>
      </c>
      <c r="F79" s="81">
        <v>30890.0</v>
      </c>
      <c r="G79" s="81">
        <v>1266.44</v>
      </c>
      <c r="H79" s="81">
        <v>29624.0</v>
      </c>
    </row>
    <row r="80" ht="12.75" customHeight="1">
      <c r="A80" s="80" t="s">
        <v>302</v>
      </c>
      <c r="B80" s="80" t="s">
        <v>307</v>
      </c>
      <c r="C80" s="80" t="s">
        <v>216</v>
      </c>
      <c r="D80" s="80">
        <v>3.0</v>
      </c>
      <c r="E80" s="80">
        <v>117.0</v>
      </c>
      <c r="F80" s="81">
        <v>6170.0</v>
      </c>
      <c r="G80" s="81">
        <v>193.08</v>
      </c>
      <c r="H80" s="81">
        <v>5977.0</v>
      </c>
    </row>
    <row r="81" ht="12.75" customHeight="1">
      <c r="A81" s="80" t="s">
        <v>302</v>
      </c>
      <c r="B81" s="80" t="s">
        <v>308</v>
      </c>
      <c r="C81" s="80" t="s">
        <v>216</v>
      </c>
      <c r="D81" s="80">
        <v>3.0</v>
      </c>
      <c r="E81" s="80">
        <v>167.0</v>
      </c>
      <c r="F81" s="81">
        <v>8480.0</v>
      </c>
      <c r="G81" s="81">
        <v>207.76</v>
      </c>
      <c r="H81" s="81">
        <v>8272.0</v>
      </c>
    </row>
    <row r="82" ht="12.75" customHeight="1">
      <c r="A82" s="82" t="s">
        <v>309</v>
      </c>
      <c r="B82" s="82"/>
      <c r="C82" s="82"/>
      <c r="D82" s="82"/>
      <c r="E82" s="82">
        <f t="shared" ref="E82:H82" si="1">SUM(E7:E81)</f>
        <v>40100</v>
      </c>
      <c r="F82" s="83">
        <f t="shared" si="1"/>
        <v>2057850</v>
      </c>
      <c r="G82" s="83">
        <f t="shared" si="1"/>
        <v>67737.88</v>
      </c>
      <c r="H82" s="83">
        <f t="shared" si="1"/>
        <v>1990114</v>
      </c>
    </row>
    <row r="83" ht="12.75" customHeight="1"/>
    <row r="84" ht="12.75" customHeight="1"/>
    <row r="85" ht="12.75" customHeight="1">
      <c r="A85" s="77" t="s">
        <v>310</v>
      </c>
      <c r="B85" s="84">
        <f>+H82</f>
        <v>1990114</v>
      </c>
    </row>
    <row r="86" ht="12.75" customHeight="1">
      <c r="A86" s="77" t="s">
        <v>311</v>
      </c>
      <c r="B86" s="84">
        <v>11.13</v>
      </c>
    </row>
    <row r="87" ht="12.75" customHeight="1">
      <c r="A87" s="77" t="s">
        <v>312</v>
      </c>
      <c r="B87" s="84">
        <f>B85*B86</f>
        <v>22149968.82</v>
      </c>
    </row>
    <row r="88" ht="12.75" customHeight="1">
      <c r="A88" s="77" t="s">
        <v>313</v>
      </c>
      <c r="B88" s="84">
        <f>B87*0.1</f>
        <v>2214996.882</v>
      </c>
    </row>
    <row r="89" ht="12.75" customHeight="1">
      <c r="A89" s="77" t="s">
        <v>314</v>
      </c>
      <c r="B89" s="85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