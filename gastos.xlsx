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4"/>
    <sheet state="visible" name="Datos" sheetId="2" r:id="rId5"/>
    <sheet state="visible" name="📉 Gráficos" sheetId="3" r:id="rId6"/>
    <sheet state="visible" name="📊 Resumen Ejecutivo" sheetId="4" r:id="rId7"/>
    <sheet state="visible" name="🗂️ Por Categoría" sheetId="5" r:id="rId8"/>
    <sheet state="visible" name="📈 Top 10 Gastos" sheetId="6" r:id="rId9"/>
    <sheet state="visible" name="⚠️ Pendiente por Pagar" sheetId="7" r:id="rId10"/>
    <sheet state="visible" name="🏭 Deuda Bodegas → Agrícola" sheetId="8" r:id="rId11"/>
  </sheets>
  <definedNames>
    <definedName hidden="1" localSheetId="6" name="_xlnm._FilterDatabase">'⚠️ Pendiente por Pagar'!$B$9:$G$47</definedName>
  </definedNames>
  <calcPr/>
  <extLst>
    <ext uri="GoogleSheetsCustomDataVersion2">
      <go:sheetsCustomData xmlns:go="http://customooxmlschemas.google.com/" r:id="rId12" roundtripDataChecksum="/sjqAIlggicZbyjJgcSZMk4uUdwh15JDk66wH/D5L8I="/>
    </ext>
  </extLst>
</workbook>
</file>

<file path=xl/sharedStrings.xml><?xml version="1.0" encoding="utf-8"?>
<sst xmlns="http://schemas.openxmlformats.org/spreadsheetml/2006/main" count="4959" uniqueCount="1218">
  <si>
    <t>⚙️  CONFIGURACIÓN DEL PROYECTO</t>
  </si>
  <si>
    <t>Edita las celdas en amarillo → todo el reporte se actualiza automáticamente</t>
  </si>
  <si>
    <t>Nombre del Proyecto</t>
  </si>
  <si>
    <t>Proyecto Papa 2025-2026</t>
  </si>
  <si>
    <t>Total de Hectáreas</t>
  </si>
  <si>
    <t>Área a Excluir del Reporte</t>
  </si>
  <si>
    <t>Inversiones</t>
  </si>
  <si>
    <t>💡 Celdas en amarillo = editables. Cambia el nombre del proyecto, hectáreas o el área a excluir y todas las hojas se recalcularán automáticamente.</t>
  </si>
  <si>
    <t>ÁREAS A INCLUIR EN EL REPORTE (actualiza si cambian los nombres)</t>
  </si>
  <si>
    <t>Nombre del Área</t>
  </si>
  <si>
    <t>Administracion</t>
  </si>
  <si>
    <t>Operación</t>
  </si>
  <si>
    <t>📋 INSTRUCCIONES PARA NUEVO PROYECTO:
1) Reemplaza los datos en la hoja "Datos"
2) Actualiza Categorías en "🗂️ Por Categoría"
3) Cambia los valores amarillos aquí y el reporte se actualiza solo</t>
  </si>
  <si>
    <t>Area</t>
  </si>
  <si>
    <t>Clasificacion</t>
  </si>
  <si>
    <t>Fecha</t>
  </si>
  <si>
    <t>Proveedor</t>
  </si>
  <si>
    <t>Concepto</t>
  </si>
  <si>
    <t>Importe</t>
  </si>
  <si>
    <t>Pago</t>
  </si>
  <si>
    <t>Pendiente</t>
  </si>
  <si>
    <t>Yarda</t>
  </si>
  <si>
    <t>13/01/2026</t>
  </si>
  <si>
    <t>YARDA</t>
  </si>
  <si>
    <t>DIESEL YARDA</t>
  </si>
  <si>
    <t>13/03/2026</t>
  </si>
  <si>
    <t>16/10/2025</t>
  </si>
  <si>
    <t>18/08/2025</t>
  </si>
  <si>
    <t>Finiquito</t>
  </si>
  <si>
    <t>08/12/2025</t>
  </si>
  <si>
    <t>Xitlali Marisela</t>
  </si>
  <si>
    <t>Nomina Administrativa</t>
  </si>
  <si>
    <t>13/06/2025</t>
  </si>
  <si>
    <t>Nomina Quincenal</t>
  </si>
  <si>
    <t>14/10/2025</t>
  </si>
  <si>
    <t>15/07/2025</t>
  </si>
  <si>
    <t>15/08/2025</t>
  </si>
  <si>
    <t>15/09/2025</t>
  </si>
  <si>
    <t>15/10/2025</t>
  </si>
  <si>
    <t>28/10/2025</t>
  </si>
  <si>
    <t>29/08/2025</t>
  </si>
  <si>
    <t>30/06/2025</t>
  </si>
  <si>
    <t>30/09/2025</t>
  </si>
  <si>
    <t>31/07/2025</t>
  </si>
  <si>
    <t>31/10/2025</t>
  </si>
  <si>
    <t>Cuadrillas Siembra</t>
  </si>
  <si>
    <t>07/11/2025</t>
  </si>
  <si>
    <t>Xeloma</t>
  </si>
  <si>
    <t>Cuadrilla Conexciones 45</t>
  </si>
  <si>
    <t>Uniformes</t>
  </si>
  <si>
    <t>25/09/2025</t>
  </si>
  <si>
    <t>VICTOR ROCHA RUIZ</t>
  </si>
  <si>
    <t>BORDADO BASICO (1-5)</t>
  </si>
  <si>
    <t>26/08/2025</t>
  </si>
  <si>
    <t>BORDADO BASICO (6-X)</t>
  </si>
  <si>
    <t>18/04/2026</t>
  </si>
  <si>
    <t>VBT</t>
  </si>
  <si>
    <t>Reservorio</t>
  </si>
  <si>
    <t>28/07/2025</t>
  </si>
  <si>
    <t>ERIC ABRAHAM HERNANDEZ RUBIO</t>
  </si>
  <si>
    <t>SISTEMA DE RIEGO AGRICOLA</t>
  </si>
  <si>
    <t>23/01/2026</t>
  </si>
  <si>
    <t>Cosecha</t>
  </si>
  <si>
    <t>03/03/2026</t>
  </si>
  <si>
    <t xml:space="preserve">UNION DE SOCIEDADES DE PRODUCCIÓN RURAL </t>
  </si>
  <si>
    <t xml:space="preserve">10 SERVICIO BASCULA </t>
  </si>
  <si>
    <t>Gasolina</t>
  </si>
  <si>
    <t>05/03/2026</t>
  </si>
  <si>
    <t xml:space="preserve">20 SERVICIO BASCULA </t>
  </si>
  <si>
    <t>09/03/2026</t>
  </si>
  <si>
    <t xml:space="preserve">UNION DE SOCIEDADES DE PRODUCCION RURAL </t>
  </si>
  <si>
    <t>20 SERVICIO (BASCULA)</t>
  </si>
  <si>
    <t>Cuadrillas Deshierbe</t>
  </si>
  <si>
    <t>05/12/2025</t>
  </si>
  <si>
    <t>Trini</t>
  </si>
  <si>
    <t>Cuadrilla Deshierbe 49</t>
  </si>
  <si>
    <t>12/12/2025</t>
  </si>
  <si>
    <t>Cuadrilla Deshierbe 50</t>
  </si>
  <si>
    <t>14/11/2025</t>
  </si>
  <si>
    <t>Cuadrilla Deshierbe 46</t>
  </si>
  <si>
    <t>17/10/2025</t>
  </si>
  <si>
    <t>Cuadrilla Banda 42</t>
  </si>
  <si>
    <t>21/11/2025</t>
  </si>
  <si>
    <t>Cuadrilla Deshierbe 47</t>
  </si>
  <si>
    <t>24/10/2025</t>
  </si>
  <si>
    <t>Cuadrilla Banda 43</t>
  </si>
  <si>
    <t>Cuadrilla Banda 44</t>
  </si>
  <si>
    <t>Equipo de Trabajos</t>
  </si>
  <si>
    <t>21/10/2025</t>
  </si>
  <si>
    <t>TIENDAS FIX</t>
  </si>
  <si>
    <t>CAJA DE HERRAMIENTAS DE 14 CON COMP.
LLAVE COMBINADA EXTRALARGA 3/4
LLAVE COMBIN</t>
  </si>
  <si>
    <t>Gastos de Oficina</t>
  </si>
  <si>
    <t>06/03/2026</t>
  </si>
  <si>
    <t xml:space="preserve">TELEFONOS DE MEXICO </t>
  </si>
  <si>
    <t>SERVICIOS DE TELECOMUNICACIONES</t>
  </si>
  <si>
    <t>13/02/2026</t>
  </si>
  <si>
    <t>14/03/2026</t>
  </si>
  <si>
    <t>02/02/2026</t>
  </si>
  <si>
    <t>TELEFONOS DE MEXICO</t>
  </si>
  <si>
    <t>02/09/2025</t>
  </si>
  <si>
    <t>SERVICIO DE TELECOMUNICACIONES</t>
  </si>
  <si>
    <t>02/10/2025</t>
  </si>
  <si>
    <t>02/11/2025</t>
  </si>
  <si>
    <t>03/08/2025</t>
  </si>
  <si>
    <t>03/12/2025</t>
  </si>
  <si>
    <t>SERVICIOS Y TELECOMUNICACIONES</t>
  </si>
  <si>
    <t>04/02/2026</t>
  </si>
  <si>
    <t>04/06/2025</t>
  </si>
  <si>
    <t>Telefonos de Mexico</t>
  </si>
  <si>
    <t>Internet</t>
  </si>
  <si>
    <t>04/09/2025</t>
  </si>
  <si>
    <t>04/12/2025</t>
  </si>
  <si>
    <t>05/06/2025</t>
  </si>
  <si>
    <t>05/08/2025</t>
  </si>
  <si>
    <t>05/10/2025</t>
  </si>
  <si>
    <t>14/09/2025</t>
  </si>
  <si>
    <t>SERVICIOS DE TELECOMUNICACIONE</t>
  </si>
  <si>
    <t>15/06/2025</t>
  </si>
  <si>
    <t>24/08/2025</t>
  </si>
  <si>
    <t>SONSET</t>
  </si>
  <si>
    <t>CAMISAS</t>
  </si>
  <si>
    <t>SONORA ENVASES</t>
  </si>
  <si>
    <t>480 KG RAFIA</t>
  </si>
  <si>
    <t>21/02/2026</t>
  </si>
  <si>
    <t>240 KG RAFIA No. 2</t>
  </si>
  <si>
    <t>Refacciones Maquinaria</t>
  </si>
  <si>
    <t>27/02/2026</t>
  </si>
  <si>
    <t>SISTEMAS ELECTRICOS DE OBREGON</t>
  </si>
  <si>
    <t>FOCO ELD ALTA POTENCIA</t>
  </si>
  <si>
    <t>Semilla</t>
  </si>
  <si>
    <t>30/10/2025</t>
  </si>
  <si>
    <t>SIEMBRAS CONSAN</t>
  </si>
  <si>
    <t>SEMILLA DE PAPA</t>
  </si>
  <si>
    <t>Refacciones y Servicios Vehiculos</t>
  </si>
  <si>
    <t>Shop Shop</t>
  </si>
  <si>
    <t>SHOP PLUS SINTETICO BALATAS DELANTERAS BALATAS TRASERAS CAJA DE FUSIBLES</t>
  </si>
  <si>
    <t>12/06/2025</t>
  </si>
  <si>
    <t xml:space="preserve">Soportes de motor, transmision, balatas traseras, torneado de discos delanteros </t>
  </si>
  <si>
    <t>19/06/2025</t>
  </si>
  <si>
    <t xml:space="preserve"> FILTRO DE CABINA  </t>
  </si>
  <si>
    <t>Fertilizantes y Agroquimicos</t>
  </si>
  <si>
    <t>01/12/2025</t>
  </si>
  <si>
    <t>SERVICIOS Y FERTILIZANTES DEL NOROESTE</t>
  </si>
  <si>
    <t>38 PZ CONTROL PLUS 1 LT</t>
  </si>
  <si>
    <t>02/01/2026</t>
  </si>
  <si>
    <t>ZANSER</t>
  </si>
  <si>
    <t>03/01/2026</t>
  </si>
  <si>
    <t>1 PZ VITAZUPER 20 LT</t>
  </si>
  <si>
    <t>03/02/2026</t>
  </si>
  <si>
    <t xml:space="preserve">20 HIBIO HI 20 WG </t>
  </si>
  <si>
    <t>19 LT CONTROL PLUS 1 LT</t>
  </si>
  <si>
    <t>01/07/2025</t>
  </si>
  <si>
    <t xml:space="preserve"> LUIS ENRIQUE PEÑA RODRIGO </t>
  </si>
  <si>
    <t xml:space="preserve"> PAGO POR CONCEPTO DE : CONSTRUCCION DE LAGUNA PARA CAPTACION DE AGUAINTITUCION </t>
  </si>
  <si>
    <t>06/08/2025</t>
  </si>
  <si>
    <t>EXTRAS EXCAVACION RESERVORIO</t>
  </si>
  <si>
    <t xml:space="preserve">19 VEMAK, 3 HIBIO HI 20 WG </t>
  </si>
  <si>
    <t>06/01/2026</t>
  </si>
  <si>
    <t>2 PZ PEAK 0.030 KG</t>
  </si>
  <si>
    <t>07/01/2026</t>
  </si>
  <si>
    <t>2 PZ CARBOXY MIN L 20 LT
24 PZ NAGATA 1 LT</t>
  </si>
  <si>
    <t>07/02/2026</t>
  </si>
  <si>
    <t>HIBIO HI 20WG 1KG</t>
  </si>
  <si>
    <t>09/01/2026</t>
  </si>
  <si>
    <t>3 PZ KELATEX MULTI 10 KG</t>
  </si>
  <si>
    <t>09/02/2026</t>
  </si>
  <si>
    <t>10/11/2025</t>
  </si>
  <si>
    <t>KELATEX MULTI</t>
  </si>
  <si>
    <t>BREAK THRU 1 LT
ZANSER 1 KG
BUFFEX 4 KG 
BUFFEX .44 KG
DEQUAT 20 LT</t>
  </si>
  <si>
    <t>11/02/2026</t>
  </si>
  <si>
    <t>6 TERRACROP 20LT</t>
  </si>
  <si>
    <t>4000000 VEMAK 1LT</t>
  </si>
  <si>
    <t>11/11/2025</t>
  </si>
  <si>
    <t>LORPAC 480 20 LT
BREAK-THRU 1 LT</t>
  </si>
  <si>
    <t>12/02/2026</t>
  </si>
  <si>
    <t>STRIKE 800 PH 1 KG</t>
  </si>
  <si>
    <t>14/01/2026</t>
  </si>
  <si>
    <t>20 LT VEMAK</t>
  </si>
  <si>
    <t>KELATEX-MULTI 1 KG</t>
  </si>
  <si>
    <t>16/01/2026</t>
  </si>
  <si>
    <t>1 LT VEMAK</t>
  </si>
  <si>
    <t>BORONAT</t>
  </si>
  <si>
    <t>16/02/2026</t>
  </si>
  <si>
    <t>2 TECNO K 20 LT</t>
  </si>
  <si>
    <t>6 TERRACROP 20 LT</t>
  </si>
  <si>
    <t>16/12/2025</t>
  </si>
  <si>
    <t>AGRIGROW NKS</t>
  </si>
  <si>
    <t>13 LT TILAM</t>
  </si>
  <si>
    <t>17/01/2026</t>
  </si>
  <si>
    <t>23/02/2026</t>
  </si>
  <si>
    <t>24 VEMAK
24 NAGATA</t>
  </si>
  <si>
    <t>24/11/2025</t>
  </si>
  <si>
    <t>BREAK THRU
VEMAK
ALLECTUS</t>
  </si>
  <si>
    <t>27/01/2026</t>
  </si>
  <si>
    <t>38 LT SHOGUN</t>
  </si>
  <si>
    <t>27/12/2025</t>
  </si>
  <si>
    <t>SERENATE ASO</t>
  </si>
  <si>
    <t>30/03/2026</t>
  </si>
  <si>
    <t>"12 METONATE 
5 DAR PLUS
5 PUSH "</t>
  </si>
  <si>
    <t>27/10/2025</t>
  </si>
  <si>
    <t>SERVICIOS VILLA JUAREZ</t>
  </si>
  <si>
    <t xml:space="preserve">REGULAR </t>
  </si>
  <si>
    <t>SERVICIOS OPERATIVOS LOGISTICOS DE CAJEM</t>
  </si>
  <si>
    <t>SUBARRENDAMIENTO DE LOCAL PARA OFICINA OCTUBRE 2025</t>
  </si>
  <si>
    <t>04/08/2025</t>
  </si>
  <si>
    <t>SUBARRENDAMIENTO DE LOCAL PARA OFICINA AGOSTO 2025</t>
  </si>
  <si>
    <t>SUBARRENDAMIENTO DE LOCAL PARA OFICINA SEPTIEMBRE 2025</t>
  </si>
  <si>
    <t>SUBARRENDAMIENTO DE LOCAL PARA OFICINA DICIEMBRE 2025</t>
  </si>
  <si>
    <t>SUBARRENDAMIENTO DE LOCAL PARA OFICINA JUNIO 2025</t>
  </si>
  <si>
    <t>SEBARRENDAMIENTO DE LOCAL PARA OFICINA NOV 2025</t>
  </si>
  <si>
    <t>SERVICIO JECOPACO</t>
  </si>
  <si>
    <t>20,833 LT MAGNA</t>
  </si>
  <si>
    <t>14/02/2026</t>
  </si>
  <si>
    <t>8,333 LT MAGNA</t>
  </si>
  <si>
    <t xml:space="preserve">8,336 LT REGULAR </t>
  </si>
  <si>
    <t>16/03/2026</t>
  </si>
  <si>
    <t>8,333 LT REGULAR</t>
  </si>
  <si>
    <t>17/02/2026</t>
  </si>
  <si>
    <t>8,33 LT REGULAR</t>
  </si>
  <si>
    <t>22/10/2025</t>
  </si>
  <si>
    <t>GASOLINA REGULAR MENOR A 91 OCTANOS</t>
  </si>
  <si>
    <t>8,407 LT REGULAR</t>
  </si>
  <si>
    <t>Diesel</t>
  </si>
  <si>
    <t>DIESEL AUTOMOTRIZ</t>
  </si>
  <si>
    <t>SERVI AEROPUERTO OBREGON</t>
  </si>
  <si>
    <t>Renta de Tierras</t>
  </si>
  <si>
    <t>01/08/2025</t>
  </si>
  <si>
    <t>SERGIO CURZ</t>
  </si>
  <si>
    <t>Block 405 50 Has</t>
  </si>
  <si>
    <t>Basculas</t>
  </si>
  <si>
    <t>19/03/2026</t>
  </si>
  <si>
    <t xml:space="preserve">SEMILLAS GARCIA DEL YAQUI </t>
  </si>
  <si>
    <t>40  SERV . BASCULA DE PLATAFORMA</t>
  </si>
  <si>
    <t>02/03/2026</t>
  </si>
  <si>
    <t>SEMILLAS GARCÍA DEL YAQUI</t>
  </si>
  <si>
    <t>10 SERV. BASCULA DE PLATAFORMA</t>
  </si>
  <si>
    <t>18/03/2026</t>
  </si>
  <si>
    <t>SERV.BASCULA DE PLATAFORMA</t>
  </si>
  <si>
    <t>08/04/2026</t>
  </si>
  <si>
    <t>SEMILLAS GARCIA DEL YAQUI</t>
  </si>
  <si>
    <t>23/10/2025</t>
  </si>
  <si>
    <t>SERV. BASCULA DE PLATAFORMA</t>
  </si>
  <si>
    <t>27/03/2026</t>
  </si>
  <si>
    <t>14 SERV. BASCULA DE PLATAFORMA</t>
  </si>
  <si>
    <t>SEGURIDAD INDUSTRIAL AMIGO</t>
  </si>
  <si>
    <t>BOTA ULTRALIGERA SIN CASCO TITAN PRO BLANCO ITA #28- #29</t>
  </si>
  <si>
    <t>Baños</t>
  </si>
  <si>
    <t>SANITIZADORA SONORA</t>
  </si>
  <si>
    <t>SANITARIOS PORTATILES 10NOV25-1FEB26, 
LAVAMANOS PORTATILES 10NOV25-1FEB26</t>
  </si>
  <si>
    <t>SANITIZADORA DE SONORA</t>
  </si>
  <si>
    <t>SANIT PORT Y LIMPIEZA 21- OCT-17 NOV</t>
  </si>
  <si>
    <t>05/09/2025</t>
  </si>
  <si>
    <t>SANITIARIOS PORTATILES Y SERVICIO PERIODO 31-27 DE AGO 2025
UBICADO 401</t>
  </si>
  <si>
    <t xml:space="preserve">SANITARIOS </t>
  </si>
  <si>
    <t>07/10/2025</t>
  </si>
  <si>
    <t>SANITARIOS Y LIMPIEZA DE SANITARIOS</t>
  </si>
  <si>
    <t>SANITARIOS PORTATILES 
LAVAMANOS PORTATILES</t>
  </si>
  <si>
    <t>20/08/2025</t>
  </si>
  <si>
    <t>SANITARIOS PORTATILES PER DEL 25 DE SEPTIEMBRE AL 22 DE OCTUBRE 
Y SERVICIO DE L</t>
  </si>
  <si>
    <t>27/11/2025</t>
  </si>
  <si>
    <t>SERVICIO DE DESAZOLVE DE FOSA DEL DÍA 24 DE NOV</t>
  </si>
  <si>
    <t>SANITARIOS PORTATILES PER 23 OCT-19 NOV  Y LIMPIEZA</t>
  </si>
  <si>
    <t>28/05/2025</t>
  </si>
  <si>
    <t>Rosa Maria Rochin</t>
  </si>
  <si>
    <t>Block 1928 40 Has</t>
  </si>
  <si>
    <t>Rommel Zamorano</t>
  </si>
  <si>
    <t>Sistema de Riego</t>
  </si>
  <si>
    <t>22/09/2025</t>
  </si>
  <si>
    <t>RICARDO GONZALEZ MARTINEZ</t>
  </si>
  <si>
    <t>MANGUERA 1 MALLA TEXTIL 1/2 410 PSI</t>
  </si>
  <si>
    <t>23/08/2025</t>
  </si>
  <si>
    <t>CONEXION SEGUN MUESTRA</t>
  </si>
  <si>
    <t>27/09/2025</t>
  </si>
  <si>
    <t>ABRAZADERA #6
MANGUERA 1 MALLA TEXTIL 3/8 410 PS</t>
  </si>
  <si>
    <t>REX IRRIGACION OBREGON</t>
  </si>
  <si>
    <t>COPLE REPARACION
ANILLO HID
TUBO HID
COPLE INS
MINI VALS
TUBIN 4/7
LUBRICANTE AM</t>
  </si>
  <si>
    <t>ARENA SILICA N°16 BULTO 100 LBS
COPLE HID CEM 100 MM</t>
  </si>
  <si>
    <t xml:space="preserve">MANGUERA GREENFIELDS 13.2
TORCEDORES
INICIAL INS 16
GOMA PARCIAL
CEMENTO WELDON
</t>
  </si>
  <si>
    <t>COPLE INS-INS 16 VERDE</t>
  </si>
  <si>
    <t>13/10/2025</t>
  </si>
  <si>
    <t>CINTA AQUATRAX 5/8 6 MIL 0.75 LPH</t>
  </si>
  <si>
    <t xml:space="preserve">ALAMBRE DE REPARACION 2500 PZS
MANGUERA GREENFIELDS 
COPLE INS-INS 16 VERDE
TEE </t>
  </si>
  <si>
    <t xml:space="preserve">MANGUERA GREENFIELDS 13.2
TEE INS INS
COPLE INS-INS 16 </t>
  </si>
  <si>
    <t>ALAMBRE REPARACION 2500 PZAS 
MANGUERA GRIENDIELDS 13.2
TEE IN INS 
COPLE VERDE</t>
  </si>
  <si>
    <t>TUBO HID S/I RD-26 100 MM (4") C/C</t>
  </si>
  <si>
    <t>06/02/2026</t>
  </si>
  <si>
    <t>REX IRRIGACION</t>
  </si>
  <si>
    <t>COPLE HID CEM 25 MM C-40</t>
  </si>
  <si>
    <t>19/02/2026</t>
  </si>
  <si>
    <t>OBRA ELECTRICA
CUADRILLA ESTANDAR
5 ARENA SILICA No. 16, BULTO 100 LBS</t>
  </si>
  <si>
    <t>Ana Lourdes Gomez Pompa</t>
  </si>
  <si>
    <t>Block 109 50 has</t>
  </si>
  <si>
    <t>24/02/2026</t>
  </si>
  <si>
    <t>REFACCIONES AUTOMOTRICES DEL VALLE</t>
  </si>
  <si>
    <t xml:space="preserve">TAPON DE TANQU DIESEL KENWORTH </t>
  </si>
  <si>
    <t>28/08/2025</t>
  </si>
  <si>
    <t>REFA GAS REFACCIONES DOMESTICAS</t>
  </si>
  <si>
    <t>LIQUIDO LIMPIEZA GALON ALQUIM</t>
  </si>
  <si>
    <t>Fletes</t>
  </si>
  <si>
    <t>RAUL ANTELO OROZ</t>
  </si>
  <si>
    <t>FLETE DE PAPA COSTA DE HERMOSILLO- CD OBREGON</t>
  </si>
  <si>
    <t>06/10/2025</t>
  </si>
  <si>
    <t>RAMSA DEL YAQUI</t>
  </si>
  <si>
    <t>GASOLINA 87 OCTANOS</t>
  </si>
  <si>
    <t>Ramsa Del Yaqui</t>
  </si>
  <si>
    <t>12.505 lts Regular 87</t>
  </si>
  <si>
    <t>18/11/2025</t>
  </si>
  <si>
    <t>DIESEL</t>
  </si>
  <si>
    <t>20/10/2025</t>
  </si>
  <si>
    <t>11/03/2026</t>
  </si>
  <si>
    <t>RADIOMOVIL DIPSA</t>
  </si>
  <si>
    <t>11/06/2025</t>
  </si>
  <si>
    <t>QUI LAB</t>
  </si>
  <si>
    <t>TERMOHIGROMETRO DIGITAL 0 A 50C, 20 A 95% HR</t>
  </si>
  <si>
    <t>Otros Gastos</t>
  </si>
  <si>
    <t>PROVEEDORA DE LABORATORIOS DEL NOROESTE</t>
  </si>
  <si>
    <t>SOLUCIÓN PH4,01 FRASCO 460 ML
SOLUCIÓN PH4,01 FRASCO 460 ML
VASO RECOLECTOR ESTE</t>
  </si>
  <si>
    <t>29/10/2025</t>
  </si>
  <si>
    <t>PLOMERIA MODERNA</t>
  </si>
  <si>
    <t>GUANTE PALMA NITRILO HIGH POWER MEDIANO GJ-1009</t>
  </si>
  <si>
    <t>Pilo</t>
  </si>
  <si>
    <t>PERMOR</t>
  </si>
  <si>
    <t>FARO REDONDO HIPER LED</t>
  </si>
  <si>
    <t>PAPELANDIA</t>
  </si>
  <si>
    <t>ARTICULOS VARIOS DE PAPELERIA</t>
  </si>
  <si>
    <t>Osmar</t>
  </si>
  <si>
    <t>Cuadrilla Deshierbe 02</t>
  </si>
  <si>
    <t>Cuadrilla Deshierbe 03</t>
  </si>
  <si>
    <t>24/01/2026</t>
  </si>
  <si>
    <t>Cuadrilla Deshierbe 04</t>
  </si>
  <si>
    <t>14/07/2025</t>
  </si>
  <si>
    <t>OFFICE DEPOT DE MEXICO</t>
  </si>
  <si>
    <t>CAJA LIGAS #18 AGUILA 100GR,SOBRE OXF COIN NO.5 AM 500PZ,LIBRETA IVORY BLACK 192</t>
  </si>
  <si>
    <t>OCTAVIO RODRIGUEZ GONZALEZ</t>
  </si>
  <si>
    <t xml:space="preserve">MATRACA CABEZA PERA CUADRO 1/2 
DADO PUNTA HEX CUADRADO
EXTENCION CUADRO DE 1/2 </t>
  </si>
  <si>
    <t>Nomina de Campo</t>
  </si>
  <si>
    <t>26/12/2025</t>
  </si>
  <si>
    <t>Norman Produce S52</t>
  </si>
  <si>
    <t>Nomina de Campo Semana 52</t>
  </si>
  <si>
    <t>19/12/2025</t>
  </si>
  <si>
    <t>Norman Produce S51</t>
  </si>
  <si>
    <t>Nomina de Campo Semana 51</t>
  </si>
  <si>
    <t>Norman Produce S50</t>
  </si>
  <si>
    <t>Nomina de Campo Semana 50</t>
  </si>
  <si>
    <t>Norman Produce S49</t>
  </si>
  <si>
    <t>Nomina de Campo Semana 49</t>
  </si>
  <si>
    <t>28/11/2025</t>
  </si>
  <si>
    <t>Norman Produce S48</t>
  </si>
  <si>
    <t>Nomina de Campo Semana 48</t>
  </si>
  <si>
    <t>Norman Produce S47</t>
  </si>
  <si>
    <t>Nomina de Campo Semana 47</t>
  </si>
  <si>
    <t>Norman Produce S46</t>
  </si>
  <si>
    <t>Nomina de Campo Semana 46</t>
  </si>
  <si>
    <t>Norman Produce S45</t>
  </si>
  <si>
    <t>Nomina de Campo Semana 45</t>
  </si>
  <si>
    <t>Norman Produce S44</t>
  </si>
  <si>
    <t>Nomina de Campo Semana 44</t>
  </si>
  <si>
    <t>Norman Produce S43</t>
  </si>
  <si>
    <t>Nomina de Campo Semana 43</t>
  </si>
  <si>
    <t>Norman Produce S42</t>
  </si>
  <si>
    <t>Nomina de Campo Semana 42</t>
  </si>
  <si>
    <t>10/10/2025</t>
  </si>
  <si>
    <t>Norman Produce S41</t>
  </si>
  <si>
    <t>Nomina de Campo Semana 41</t>
  </si>
  <si>
    <t>03/10/2025</t>
  </si>
  <si>
    <t>Norman Produce S40</t>
  </si>
  <si>
    <t>Nomina de Campo Semana 40</t>
  </si>
  <si>
    <t>26/09/2025</t>
  </si>
  <si>
    <t>Norman Produce S39</t>
  </si>
  <si>
    <t>Nomina de Campo Semana 39</t>
  </si>
  <si>
    <t>19/09/2025</t>
  </si>
  <si>
    <t>Norman Produce S38</t>
  </si>
  <si>
    <t>Nomina de Campo Semana 38</t>
  </si>
  <si>
    <t>12/09/2025</t>
  </si>
  <si>
    <t>Norman Produce S37</t>
  </si>
  <si>
    <t>Nomina de Campo Semana 37</t>
  </si>
  <si>
    <t>Norman Produce S36</t>
  </si>
  <si>
    <t>Nomina de Campo Semana 36</t>
  </si>
  <si>
    <t>Norman Produce S35</t>
  </si>
  <si>
    <t>Nomina de Campo Semana 35</t>
  </si>
  <si>
    <t>22/08/2025</t>
  </si>
  <si>
    <t>Norman Produce S34</t>
  </si>
  <si>
    <t>Nomina de Campo Semana 34</t>
  </si>
  <si>
    <t>Norman Produce S33</t>
  </si>
  <si>
    <t>Nomina de Campo Semana 33</t>
  </si>
  <si>
    <t>08/08/2025</t>
  </si>
  <si>
    <t>Norman Produce S32</t>
  </si>
  <si>
    <t>Nomina de Campo Semana 32</t>
  </si>
  <si>
    <t>25/07/2025</t>
  </si>
  <si>
    <t>Norman Produce S31</t>
  </si>
  <si>
    <t>Nomina de Campo Semana 31</t>
  </si>
  <si>
    <t>Norman Produce S30</t>
  </si>
  <si>
    <t>Nomina de Campo Semana 30</t>
  </si>
  <si>
    <t>18/07/2025</t>
  </si>
  <si>
    <t>Norman Produce S29</t>
  </si>
  <si>
    <t>Nomina de Campo Semana 29</t>
  </si>
  <si>
    <t>11/07/2025</t>
  </si>
  <si>
    <t>Norman Produce S28</t>
  </si>
  <si>
    <t>Nomina de Campo Semana 28</t>
  </si>
  <si>
    <t>04/07/2025</t>
  </si>
  <si>
    <t>Norman Produce S27</t>
  </si>
  <si>
    <t>Nomina de Campo Semana 27</t>
  </si>
  <si>
    <t>27/06/2025</t>
  </si>
  <si>
    <t>Norman Produce S26</t>
  </si>
  <si>
    <t>Nomina de Campo Semana 26</t>
  </si>
  <si>
    <t>20/06/2025</t>
  </si>
  <si>
    <t>Norman Produce S25</t>
  </si>
  <si>
    <t>Nomina de Campo Semana 25</t>
  </si>
  <si>
    <t>Norman Produce S24</t>
  </si>
  <si>
    <t>Nomina de Campo Semana 24</t>
  </si>
  <si>
    <t>20/03/2026</t>
  </si>
  <si>
    <t>Norman Produce S13</t>
  </si>
  <si>
    <t>Nomina de Campo Semana 13</t>
  </si>
  <si>
    <t>Norman Produce S12</t>
  </si>
  <si>
    <t>Nomina de Campo Semana 12</t>
  </si>
  <si>
    <t>Norman Produce S11</t>
  </si>
  <si>
    <t>Nomina de Campo Semana 11</t>
  </si>
  <si>
    <t>Norman Produce S10</t>
  </si>
  <si>
    <t>Nomina de Campo Semana 10</t>
  </si>
  <si>
    <t>Norman Produce S09</t>
  </si>
  <si>
    <t>Nomina de Campo Semana 09</t>
  </si>
  <si>
    <t>20/02/2026</t>
  </si>
  <si>
    <t>Norman Produce S08</t>
  </si>
  <si>
    <t>Nomina de Campo Semana 08</t>
  </si>
  <si>
    <t>Norman Produce S07</t>
  </si>
  <si>
    <t>Nomina de Campo Semana 07</t>
  </si>
  <si>
    <t>Norman Produce S06</t>
  </si>
  <si>
    <t>Nomina de Campo Semana 06</t>
  </si>
  <si>
    <t>30/01/2026</t>
  </si>
  <si>
    <t>Norman Produce S05</t>
  </si>
  <si>
    <t>Nomina de Campo Semana 05</t>
  </si>
  <si>
    <t>Norman Produce S04</t>
  </si>
  <si>
    <t>Nomina de Campo Semana 04</t>
  </si>
  <si>
    <t>Norman Produce S03</t>
  </si>
  <si>
    <t>Nomina de Campo Semana 03</t>
  </si>
  <si>
    <t>Norman Produce S02</t>
  </si>
  <si>
    <t>Nomina de Campo Semana 02</t>
  </si>
  <si>
    <t>Norman Produce S01</t>
  </si>
  <si>
    <t>Nomina de Campo Semana 01</t>
  </si>
  <si>
    <t>01/04/2026</t>
  </si>
  <si>
    <t>NORMAN</t>
  </si>
  <si>
    <t>KEVIN PAUL</t>
  </si>
  <si>
    <t>CONSULTA Y RADIOGRAFIA</t>
  </si>
  <si>
    <t>KEVIN PAUL, RADIO GRAFIA Y PASAJE Y CONSULTA</t>
  </si>
  <si>
    <t>20/12/2025</t>
  </si>
  <si>
    <t>RADIOGRAFIA</t>
  </si>
  <si>
    <t>22/12/2025</t>
  </si>
  <si>
    <t>CONSULTA</t>
  </si>
  <si>
    <t>Noria</t>
  </si>
  <si>
    <t>Cuadrilla Deshierbe 51</t>
  </si>
  <si>
    <t>Cuadrilla Deshierbe 52</t>
  </si>
  <si>
    <t>Cuadrilla Deshierbe 48</t>
  </si>
  <si>
    <t>Cuadrilla Conexciones 44</t>
  </si>
  <si>
    <t>NHORTICULTURA DEL NOROESTE</t>
  </si>
  <si>
    <t>EMESTO FUSION FS490</t>
  </si>
  <si>
    <t>ANTRACOL WP70 1 KG</t>
  </si>
  <si>
    <t>10/04/2026</t>
  </si>
  <si>
    <t>nan</t>
  </si>
  <si>
    <t>AGUA B 405</t>
  </si>
  <si>
    <t>MANO DE OBRA TROQUES</t>
  </si>
  <si>
    <t>09/10/2025</t>
  </si>
  <si>
    <t>Michelle Villegas</t>
  </si>
  <si>
    <t>Analisis</t>
  </si>
  <si>
    <t>MARIA DEL ROSARIO ZAMORA PEÑA</t>
  </si>
  <si>
    <t>ANALISIS DE FERTILIDAD FOL. LAB. 32,376 AL  32,379
ANALISIS DE EXTRACTO SATURADO</t>
  </si>
  <si>
    <t>ANALISIS DE FERTILIDAD FOL. LAB. 32, 587 AL 32,590
ANALISIS DE EXTRACTO SATURADO</t>
  </si>
  <si>
    <t>24/09/2025</t>
  </si>
  <si>
    <t>ANALISIS DE FERTILIDAD FOL
ANALISIS DE EXTRACTO SATURADO FOL LAB</t>
  </si>
  <si>
    <t>ANALISIS DE AGUA FOL. LAB 8483</t>
  </si>
  <si>
    <t>MAQUINARIA PARA PAPAS BLANCHET</t>
  </si>
  <si>
    <t xml:space="preserve">CHUMACERA PARED </t>
  </si>
  <si>
    <t>19/11/2025</t>
  </si>
  <si>
    <t>CHUMACERA PARED 4 BARRENOS 2" 1/4" BROWING</t>
  </si>
  <si>
    <t>26/03/2026</t>
  </si>
  <si>
    <t>CATARINA 60-14</t>
  </si>
  <si>
    <t>04/03/2026</t>
  </si>
  <si>
    <t xml:space="preserve">LUIS DURAN AVALOS </t>
  </si>
  <si>
    <t>REPARACIÓN DE MAQUINA COSECHADORA DE PAPA</t>
  </si>
  <si>
    <t>LUIS DURAN AVALOS</t>
  </si>
  <si>
    <t>CAMBIO DE CHUMACERAS A ROTATIL</t>
  </si>
  <si>
    <t>Luis Duran Avalos</t>
  </si>
  <si>
    <t>CAMBIO DE CHUMACERA A DOS MAQUINAS CORRUGADORAS DE PAPA</t>
  </si>
  <si>
    <t>FABRICACION DE ANGULOS (3) TORNILLOS Y MANO DE OBRA
FABRICACION DE 9 ZAPATOS PAR</t>
  </si>
  <si>
    <t>12/11/2025</t>
  </si>
  <si>
    <t>CAMBIO DE CHUMACERAS A ROTAIL</t>
  </si>
  <si>
    <t xml:space="preserve">LUIS ALVAREZ E HIJOS </t>
  </si>
  <si>
    <t>44,46 LT REGULAR 
BARDAHL F-1 SINTETICO GASOLINA 5W30 SQ 946 ML</t>
  </si>
  <si>
    <t>LUIS ALFONSO KNAPP NAVARRO</t>
  </si>
  <si>
    <t>19 PORROS ACUAGRO MG 20 LT</t>
  </si>
  <si>
    <t>03/11/2025</t>
  </si>
  <si>
    <t>ACUA SUELO SALZ
ACUAGRO
ACUA SUELO PHD</t>
  </si>
  <si>
    <t>15 ACUAGRO K (POTASIO 20LT)</t>
  </si>
  <si>
    <t>10 ACUAGRO CALCIO+PLUS (20LT)</t>
  </si>
  <si>
    <t>09/12/2025</t>
  </si>
  <si>
    <t>6 PHD 20 LT
8 AZUFRE 20 LT
8 SALZ 20 LT</t>
  </si>
  <si>
    <t>4 PHD 20 LT</t>
  </si>
  <si>
    <t>2 PHD 20 LT</t>
  </si>
  <si>
    <t>ACUAGRO CALCIO+PLUS 20LT</t>
  </si>
  <si>
    <t>MEZCLA PLATA 13-15-18+10SO4+2.3</t>
  </si>
  <si>
    <t xml:space="preserve">9 PORRO ACUAGRO K (POTASIO 20LT) </t>
  </si>
  <si>
    <t>ACUAGRO 8-24-00</t>
  </si>
  <si>
    <t>13 PORROS ACUAGRO CALCIO PLUS 20 LTS</t>
  </si>
  <si>
    <t>MEZCLA PLATA</t>
  </si>
  <si>
    <t>18/10/2025</t>
  </si>
  <si>
    <t>10 PORRO ACUAGRO K (POTASIO 20 LT)</t>
  </si>
  <si>
    <t>MEZCLA PLAA 12-16-18</t>
  </si>
  <si>
    <t>23/12/2025</t>
  </si>
  <si>
    <t>1 TÓTEM ACUAGRO K</t>
  </si>
  <si>
    <t>ACUAGRO CALCIO PLUS</t>
  </si>
  <si>
    <t>NITRATO DE CALCIO</t>
  </si>
  <si>
    <t>25/10/2025</t>
  </si>
  <si>
    <t xml:space="preserve">MEZCLA PLATA 13-15-18+3S+10S04+2.03 MG +1.08 </t>
  </si>
  <si>
    <t>ACUA-SUELO SALZ (20 LT)
ACUAGRO - S (20 LT) (AZUFRE)
ACUA-SUELO PHD</t>
  </si>
  <si>
    <t>ACUAGRO - S (20 LT) (AZUFRE)</t>
  </si>
  <si>
    <t xml:space="preserve">(23 DE 25 KG) NITRATO DE CALCIO </t>
  </si>
  <si>
    <t>28/01/2026</t>
  </si>
  <si>
    <t>29/11/2025</t>
  </si>
  <si>
    <t>(TOTEM) ACUAGRO 8-24-00</t>
  </si>
  <si>
    <t>31/12/2025</t>
  </si>
  <si>
    <t>12 PORROS ACASUELO SALZ 20 LT
5 PRROS ACASUELO PHD 20 LT</t>
  </si>
  <si>
    <t>23/07/2025</t>
  </si>
  <si>
    <t>LUBRIFILTROS</t>
  </si>
  <si>
    <t>BG ENGINE KIT
BG 245 PREMIUM DIESEL FUEL SYSTEM
BG PLATINUM 44 K</t>
  </si>
  <si>
    <t>08/09/2025</t>
  </si>
  <si>
    <t>LJB FERRETERA INDUSTRIAL DE CAJEME</t>
  </si>
  <si>
    <t>LUBRICANTE
LIMPIADOR DE FRENOS
LUBRICANTE 
BARDHAL ACEITE
SILICON
TARRO
CEPILLO</t>
  </si>
  <si>
    <t>ARE CHUMACERA TROQ</t>
  </si>
  <si>
    <t>JULIO CESAR ENCINAS CORDOVA</t>
  </si>
  <si>
    <t>ACUMULADOR LTH</t>
  </si>
  <si>
    <t>02/08/2025</t>
  </si>
  <si>
    <t>JUAN PEDRO HURTADO GOMEZ</t>
  </si>
  <si>
    <t xml:space="preserve">MONITOREO DEL MES DE AGOSTO 2025 </t>
  </si>
  <si>
    <t>MONITOREO DEL MES DE SEPT</t>
  </si>
  <si>
    <t>MONITOREO DEL MES DE OCTUBRE 2025</t>
  </si>
  <si>
    <t>02/12/2025</t>
  </si>
  <si>
    <t>MONITOREO DEL MES DE DIC 2025</t>
  </si>
  <si>
    <t>MONITOREO FEBRERO 2026 INCLUYE ADTOS GPRS</t>
  </si>
  <si>
    <t>03/06/2025</t>
  </si>
  <si>
    <t>Juan Pedro Hurtado Gomez</t>
  </si>
  <si>
    <t>Alarma</t>
  </si>
  <si>
    <t>MONITOREO DEL MES DE NOVIEMBRE 2025</t>
  </si>
  <si>
    <t>01/10/2025</t>
  </si>
  <si>
    <t>JUAN PEDRO HURTADO</t>
  </si>
  <si>
    <t>MONITOREO ALARMA OCTUBRE</t>
  </si>
  <si>
    <t>MONITOREO DEL MES DE MARZO 2026 INCLUYE DATOS GPRS</t>
  </si>
  <si>
    <t>17/06/2025</t>
  </si>
  <si>
    <t xml:space="preserve">JOSE SERGIO GIL SAMANIEGO GUTIERREZ </t>
  </si>
  <si>
    <t xml:space="preserve"> MANO DE OBRA </t>
  </si>
  <si>
    <t>Honorarios</t>
  </si>
  <si>
    <t>JOSE RUBEN GUTIERREZ MENDOZA</t>
  </si>
  <si>
    <t>HONORARIOS CONTABLES</t>
  </si>
  <si>
    <t>Nomina Operativa</t>
  </si>
  <si>
    <t>Jose Luis</t>
  </si>
  <si>
    <t>Nomina Semanal 10</t>
  </si>
  <si>
    <t>Nomina Semanal 11</t>
  </si>
  <si>
    <t>Nomina Semanal 08</t>
  </si>
  <si>
    <t>Nomina Semanal 12</t>
  </si>
  <si>
    <t>Nomina Semanal 09</t>
  </si>
  <si>
    <t>Nomina Semanal 13</t>
  </si>
  <si>
    <t>Jose Cargadores</t>
  </si>
  <si>
    <t>Cuadrilla Cargadores 45</t>
  </si>
  <si>
    <t>Cuadrilla Cargadores 42</t>
  </si>
  <si>
    <t>Cuadrilla Cargadores 43</t>
  </si>
  <si>
    <t>Cuadrilla Cargadores 44</t>
  </si>
  <si>
    <t>JORGE LUIS CASTELLANOS LUNA</t>
  </si>
  <si>
    <t>AFLOJA TODO</t>
  </si>
  <si>
    <t>10/02/2026</t>
  </si>
  <si>
    <t>VARIOS</t>
  </si>
  <si>
    <t>14/08/2025</t>
  </si>
  <si>
    <t>MARCADOR DE TEMPERATURA</t>
  </si>
  <si>
    <t>BOLA DE JALON</t>
  </si>
  <si>
    <t>JORGE HUMBERTO MENDIVIL ITURRIOS</t>
  </si>
  <si>
    <t>LIMPIA PLANA BASTARDA 6" CON MANGO 
PALA REDONDA TRU GLASS, MANGO LARGO DE FIBRA</t>
  </si>
  <si>
    <t>JORGE ESTEBAN LAGARDA LEYVA</t>
  </si>
  <si>
    <t>ESTOPA ALGODON 1 KG
AFLOJATODO WD-40 8 ONZAS MULTIUSOS
LIJA ESMERIL TELA NEGRA M</t>
  </si>
  <si>
    <t>Jorge Dominguez</t>
  </si>
  <si>
    <t>11/08/2024</t>
  </si>
  <si>
    <t>Elena Bours Encinas</t>
  </si>
  <si>
    <t>Block 1013 25 has</t>
  </si>
  <si>
    <t>14/08/2024</t>
  </si>
  <si>
    <t>15/02/2026</t>
  </si>
  <si>
    <t>15/11/2025</t>
  </si>
  <si>
    <t>15/12/2025</t>
  </si>
  <si>
    <t>30/11/2025</t>
  </si>
  <si>
    <t>06/11/2025</t>
  </si>
  <si>
    <t>JORGE BENJAMIN LOPEZ ROSAS</t>
  </si>
  <si>
    <t xml:space="preserve">SEMILLA DE PAPA </t>
  </si>
  <si>
    <t>Fumigacion Aerea</t>
  </si>
  <si>
    <t>JOEL BALDENEBRO ARREDONDO</t>
  </si>
  <si>
    <t>APLICACIÓN DE FUMIGACIÓN AEREA PM</t>
  </si>
  <si>
    <t>JESUS NIEBLAS LOPEZ</t>
  </si>
  <si>
    <t>FLETE DE PAPA</t>
  </si>
  <si>
    <t>JESUS ADRIAN AGUILAR LEYVA</t>
  </si>
  <si>
    <t>INSTALAR CRISTAL</t>
  </si>
  <si>
    <t>ISABEL CRISTINA ENCINAS SANCHEZ</t>
  </si>
  <si>
    <t>REPARACION DE RIN DE TRACTOR BICELAR Y SOLDAR</t>
  </si>
  <si>
    <t>INSTALACIION DE GUARDA EN ARO PARA PROTECCION DE CHUMASERA EN ROTATIL</t>
  </si>
  <si>
    <t xml:space="preserve">MODIFICACION DE CULTIVADORA ROTATI
QUITAR Y PONER OPRESORES NUEVOS A PICO RECTO
</t>
  </si>
  <si>
    <t>IRMA LUZ LOPEZ NOLASCO</t>
  </si>
  <si>
    <t>C26.- RECONSTRUCCIÓN DE TURBOCARGADOR PARA CAMIONETA FRISO N JAC, CAMBIO DE REPU</t>
  </si>
  <si>
    <t>10/06/2025</t>
  </si>
  <si>
    <t>Interllantas</t>
  </si>
  <si>
    <t>SERVICIO DE BALANCEL
MONTAJE AUTO
ALINEACION AUTO Y CAMIONETA</t>
  </si>
  <si>
    <t>IMSS e Infonavit</t>
  </si>
  <si>
    <t xml:space="preserve">INSTITUTO MEXICANO DEL SEGURO SOCIAL </t>
  </si>
  <si>
    <t>CUOTAS IMSS</t>
  </si>
  <si>
    <t>INSTITUTO MEXICANO DEL SEGURO SOCIAL</t>
  </si>
  <si>
    <t>17/07/2025</t>
  </si>
  <si>
    <t>17/12/2025</t>
  </si>
  <si>
    <t>19/01/2026</t>
  </si>
  <si>
    <t>23/11/2025</t>
  </si>
  <si>
    <t>25/08/2025</t>
  </si>
  <si>
    <t>CUOTAS RCV</t>
  </si>
  <si>
    <t>26/02/2026</t>
  </si>
  <si>
    <t>CUOTAS IMSS
CUOTAS RCV</t>
  </si>
  <si>
    <t>CUOTA IMSS</t>
  </si>
  <si>
    <t>18/06/2025</t>
  </si>
  <si>
    <t>ICRESON</t>
  </si>
  <si>
    <t>Busqueda de Propiedades Esparragos del valle</t>
  </si>
  <si>
    <t>Busqueda de propiedades Norman Produce</t>
  </si>
  <si>
    <t>24/06/2025</t>
  </si>
  <si>
    <t>Informacion registral 1 has Norman produce</t>
  </si>
  <si>
    <t>Informacion registral 2 has Norman produce</t>
  </si>
  <si>
    <t>HUMBERTO RODRIGUEZ BAEZ</t>
  </si>
  <si>
    <t>HILUX  CHECAR DEFENSA</t>
  </si>
  <si>
    <t>HOME DEPOT MEXICO</t>
  </si>
  <si>
    <t>LLAVE PARA TUBO 12
LLAVE AJUSTABLE DE VELOCIDAD DOBLE</t>
  </si>
  <si>
    <t>HERRAMIENTAS Y SERVICIOS DE OBREGON</t>
  </si>
  <si>
    <t>LATA DE GAS
CUCHILLO DE ACERO INOXIDABLE</t>
  </si>
  <si>
    <t>GUILLERMO MANJARREZ ECHAVARRIA</t>
  </si>
  <si>
    <t>COPIAS CERTIFICADAS, ROCA, GANMI HOT, PCAAR, AMI, MI PARCELA</t>
  </si>
  <si>
    <t>ELABORACIÓN DE ESCRITURAS Y COPIAS CERTIFICADAS</t>
  </si>
  <si>
    <t>Guadalupe Esmeralda</t>
  </si>
  <si>
    <t>GRUPO TECNO ELECTRONICS</t>
  </si>
  <si>
    <t xml:space="preserve">2 BASCULA DIGITAL DE MANO PARA EQUIPAJE </t>
  </si>
  <si>
    <t xml:space="preserve">2 RADIOS INTERCOMUNICADORES </t>
  </si>
  <si>
    <t>MOUSE INALAMBRICO BT MULTIEQUIPO TRANSP
MOUSEPAD ECONOMICO</t>
  </si>
  <si>
    <t>RADIOS INTERCOMUNICADORES
ANTENA PARA RADIO</t>
  </si>
  <si>
    <t xml:space="preserve">GRUPO AUTOELECTRICO PERMOR </t>
  </si>
  <si>
    <t>3 FARO CUADRADO 34 HIPER LED CON FUNSIONES DE ESTROBO</t>
  </si>
  <si>
    <t>GRUPO AUTOELECTRICO PERMOR</t>
  </si>
  <si>
    <t xml:space="preserve">FARO REDONDO CON 9 HIPER-LEDS </t>
  </si>
  <si>
    <t>REGULADOR ELVAC FORD</t>
  </si>
  <si>
    <t>30/08/2025</t>
  </si>
  <si>
    <t>PLAFON OVALADO LED 12/24 LUZ FIJA ESTROBO ROJO</t>
  </si>
  <si>
    <t>07/08/2025</t>
  </si>
  <si>
    <t>GOBIERNO DEL ESTADO DE SONORA</t>
  </si>
  <si>
    <t>EXP.FIRMA AUTÓG.O ELCTR. SELLO O CONST.REG.DOC.
COSTO AD. 50% POR SERV. URGENTES</t>
  </si>
  <si>
    <t>GILBERTO SANCHEZ MUÑOZ</t>
  </si>
  <si>
    <t>TRABAJO DE CARROCERIA Y PINTURA</t>
  </si>
  <si>
    <t>GERMAN PABLO RIVERA GONZALEZ</t>
  </si>
  <si>
    <t>GASOLINA MAGNA</t>
  </si>
  <si>
    <t>GERMAN DUMAS FELIX, SA DE CV</t>
  </si>
  <si>
    <t>21.017 lts Regular 87</t>
  </si>
  <si>
    <t>14/06/2025</t>
  </si>
  <si>
    <t>Gasolinera Fornes</t>
  </si>
  <si>
    <t>GASOLINERA BORJA</t>
  </si>
  <si>
    <t>MAGNA</t>
  </si>
  <si>
    <t>6,25 LT MAGNA</t>
  </si>
  <si>
    <t xml:space="preserve">8,33 LT MAGNA </t>
  </si>
  <si>
    <t>05/02/2026</t>
  </si>
  <si>
    <t>4 LT MAGNA</t>
  </si>
  <si>
    <t>8,337 LT MAGNA</t>
  </si>
  <si>
    <t>17/03/2026</t>
  </si>
  <si>
    <t>20,845 LT MAGNA</t>
  </si>
  <si>
    <t xml:space="preserve">20,842 LT MAGNA </t>
  </si>
  <si>
    <t xml:space="preserve">8,337 LT MAGNA </t>
  </si>
  <si>
    <t>FUERZA REFACCIONARIA DE AUTOPARTES ELECT</t>
  </si>
  <si>
    <t xml:space="preserve">CONECTORES, CINTA AISLANTE, 
CABLES, CARBON, REGULADOR,
 TERMINALES, RELEVADOR, </t>
  </si>
  <si>
    <t>FUERZA REFACCIONARIA</t>
  </si>
  <si>
    <t xml:space="preserve">CONECTOR DE UNIDAD CON CABLE, CONETCOR RELEVADOR, CINTA AISLANTE, CABLE ROJO 8, </t>
  </si>
  <si>
    <t>FRANCISCO JAVIER LOPEZ SOTO</t>
  </si>
  <si>
    <t>11 VIAJES DE TRAILER DE PAPAS EN ARPIAS DE VALLE A BODEGA</t>
  </si>
  <si>
    <t>06/06/2025</t>
  </si>
  <si>
    <t>Francisco Cesareo Zamora</t>
  </si>
  <si>
    <t>ANALISIS FITOPATOLOGICO DE NEMATODOS, HONGOS Y BACTERIAS</t>
  </si>
  <si>
    <t>FERTILIZANTES TEPEYAC</t>
  </si>
  <si>
    <t>MEDAL</t>
  </si>
  <si>
    <t>AGRIGROW NKS Y MAGNIFT</t>
  </si>
  <si>
    <t>FOSFONITRATO ENVASADO (TOTEM)</t>
  </si>
  <si>
    <t>(1,250) FOSFONITRATO ENVASADO</t>
  </si>
  <si>
    <t>VEMAK BENEFIT Y MEDAL</t>
  </si>
  <si>
    <t>20 AGRYGENT PLUS 5000</t>
  </si>
  <si>
    <t>LIFE PK 4LT, CARBOXIL 10 LT</t>
  </si>
  <si>
    <t>(8 PZ)CARBOXY MIN 10 LT</t>
  </si>
  <si>
    <t>(950 KG) AGRIGROW NKS
(400 KG) AGRIGROW MAGNIT FLAKES 25 KG</t>
  </si>
  <si>
    <t xml:space="preserve">23,000000 NAGATA 25 SC, 1,00000 CARBOXYL </t>
  </si>
  <si>
    <t>05/11/2025</t>
  </si>
  <si>
    <t>SENCOR 480 SC 1 LT</t>
  </si>
  <si>
    <t>(50 )AGRYGENT PLUS 800 
(13) ZORVEC</t>
  </si>
  <si>
    <t>FINAL BACTER, QUEL Y DISPERSENT</t>
  </si>
  <si>
    <t>QUEL 3% MG 3% FE 2% ZN</t>
  </si>
  <si>
    <t>24 VEMAK</t>
  </si>
  <si>
    <t>19 VEMAK</t>
  </si>
  <si>
    <t>LUNA SENSATION</t>
  </si>
  <si>
    <t>QUEL 3% MG 3% FE 2% ZN 5 LT</t>
  </si>
  <si>
    <t>QUEL 3% MG 3% FE 2% ZN 5 LT BALOX 20 LT DISPERSENT 1 LT.</t>
  </si>
  <si>
    <t>AGRIGROW MAGNIT FLAKES 25KG</t>
  </si>
  <si>
    <t>08/01/2026</t>
  </si>
  <si>
    <t>NUTRIDRIP SOP STD ENV 25KS</t>
  </si>
  <si>
    <t>MANZATE PROSTICK 25 KG INFINITO SC 687 1 LT</t>
  </si>
  <si>
    <t>475 AGRIGROW NKS</t>
  </si>
  <si>
    <t>10/09/2025</t>
  </si>
  <si>
    <t>FAENA FUERTE 10 LT</t>
  </si>
  <si>
    <t xml:space="preserve">TITUS </t>
  </si>
  <si>
    <t>TITUS .050 KG 
BUFFEX .44 KG</t>
  </si>
  <si>
    <t>AGRIGROW CALCIO GRANULADO 25KG</t>
  </si>
  <si>
    <t>47 CUPRAVIT HIDRO 1KG
79 KUSAMIN 1LT
5 CARBOXY K 20 LT</t>
  </si>
  <si>
    <t>BUFFEX .44 KG 
CANDELA SUPER 5 LT
DEQUAT 5 LT</t>
  </si>
  <si>
    <t>INTS NORMALES S/ FACTURA</t>
  </si>
  <si>
    <t xml:space="preserve">13 KASUMIN </t>
  </si>
  <si>
    <t xml:space="preserve">AGRIGROW MKS, SULFATO DE COBRE </t>
  </si>
  <si>
    <t>BUFFEX .44 KG 
INEX A
VIGOLD 480 
REGENTX
ORKESTA</t>
  </si>
  <si>
    <t>BANK SC 5 LT
NH-ROOT 20 LT</t>
  </si>
  <si>
    <t>FOSFONITRATO ENVASADO</t>
  </si>
  <si>
    <t>SERENADE SOIL 
MANZATE
SELECTO 
BREAK THRU</t>
  </si>
  <si>
    <t>AZUFRE 93%</t>
  </si>
  <si>
    <t>20/11/2025</t>
  </si>
  <si>
    <t>BREAK THRU</t>
  </si>
  <si>
    <t>21/01/2026</t>
  </si>
  <si>
    <t>70 LT SERENADE SOIL
19 KG ROVRAL
19 KG LANATE</t>
  </si>
  <si>
    <t>10 LT SERENADE SOIL</t>
  </si>
  <si>
    <t>PROWL H2O
ALLECTUS
BUFFEX</t>
  </si>
  <si>
    <t>BUFFEX .44
INEX A 1 LT
KASUMIN 5 LT
REGENT 4 SC 1 LT
VIGOLD 480 1 LT
ROOTEX 10 K</t>
  </si>
  <si>
    <t>FAENA FUERRTE 10 LT</t>
  </si>
  <si>
    <t>BARRIER 20 LT
TITUS .050 KG</t>
  </si>
  <si>
    <t>26/01/2026</t>
  </si>
  <si>
    <t>114 KG ZANZER</t>
  </si>
  <si>
    <t>375000000 NUTRIDIP SOP STD ENV 25 KG</t>
  </si>
  <si>
    <t>BANK SC 5 LT</t>
  </si>
  <si>
    <t>KASUMIN 5 LT
ORKESTRA 1 LT
ORKESTRA 1 LT
REGENT 4 SC 1 LT
VIGOLD 480 1 LT 
ROOTE</t>
  </si>
  <si>
    <t xml:space="preserve">(6 LT) ALLECTUS 300 
(3 LT) BREAK THRU </t>
  </si>
  <si>
    <t>29/01/2026</t>
  </si>
  <si>
    <t>475000000 NUTRIDIP SOP 25 KGS</t>
  </si>
  <si>
    <t>(45 KG) KELATEX FIERRO FORTE
(20 LT) STYMULATOR</t>
  </si>
  <si>
    <t>FERTILIDAD DE SUELOS</t>
  </si>
  <si>
    <t>FERTILIDAD DEL SUELO
ANALISIS DE EXTRACTO DE PASTA</t>
  </si>
  <si>
    <t>FERRETERIA H NOROESTE</t>
  </si>
  <si>
    <t>JUEGO PRETUL HERRAMIENTAS 3/8 DE 21 PZAS STD
DESARMADOR URREA AMBAR PALETA 1/4 X</t>
  </si>
  <si>
    <t>GUANTE DERMA</t>
  </si>
  <si>
    <t>ARTICULOS FERRETERIA</t>
  </si>
  <si>
    <t>FERRET REFCNS VILL JUAREZ</t>
  </si>
  <si>
    <t>PINZA PUNTA P/ABRIR ANILLOS A 90°</t>
  </si>
  <si>
    <t>18/02/2026</t>
  </si>
  <si>
    <t>CRUCETA AGRICOLA AMB1756 35 X106MM
ACEITE GONHER SAE 50 946 ML
ACEITE SAE 50 OBR</t>
  </si>
  <si>
    <t>2 CRUCETA AGRICOLA AMB 1756 35X106MM</t>
  </si>
  <si>
    <t xml:space="preserve">4 TOR G5 
4 TUERCA PRESION Y PLANA 
CRUCETA </t>
  </si>
  <si>
    <t xml:space="preserve">2 MT CABLE ELECT 
TERMINAL OJO ESTEÑADA
TERMINAL BATERIA </t>
  </si>
  <si>
    <t>FBJ FUMIGACIONES</t>
  </si>
  <si>
    <t>BLOCK 1928 38 HAS</t>
  </si>
  <si>
    <t>BLOCK 405 47 HAS</t>
  </si>
  <si>
    <t>06/12/2025</t>
  </si>
  <si>
    <t>FAUSTINO IÑIGUEZ GUTIERREZ</t>
  </si>
  <si>
    <t>861,72 FLETE DE PAPA 
VIAJE DE TORTON DE BLOCK 1928</t>
  </si>
  <si>
    <t>04/11/2025</t>
  </si>
  <si>
    <t>25/03/2026</t>
  </si>
  <si>
    <t>FARMACIAS DE SIMILARES</t>
  </si>
  <si>
    <t>CLINADAMICINA 300 MG</t>
  </si>
  <si>
    <t>AGUA E PURA
PARACETAMOL
CLIND
JABON NEUTRO
CELECO
MICRODACYN
CFEALEXINA
VENDA EL</t>
  </si>
  <si>
    <t>Eyasa</t>
  </si>
  <si>
    <t>ACEITE MULT 15W40 19 LT
FILTRO DE AIRE SECUNDARIO 6603
FILTRO DE AIRE PRIMARIO
F</t>
  </si>
  <si>
    <t>07/06/2025</t>
  </si>
  <si>
    <t>COOL-GARD 20/80</t>
  </si>
  <si>
    <t>SERVICIO DE 1150 HORAS, ESTOPA BLANCA (PARED IZQ),ACEITE PLUS 50 19 LTS (BODEGA)</t>
  </si>
  <si>
    <t>EVANGELINA VILLA CARDENAS</t>
  </si>
  <si>
    <t>19 PIOLA DE IXTLE</t>
  </si>
  <si>
    <t>ESTACION PIRU</t>
  </si>
  <si>
    <t>12/08/2025</t>
  </si>
  <si>
    <t>ESTACION DE SERVICIO LOS SILOS</t>
  </si>
  <si>
    <t>03/09/2025</t>
  </si>
  <si>
    <t>EQUIPOS AGRICOLAS DEL YAQUI</t>
  </si>
  <si>
    <t>SERVICIO DE 1500 HORAS,ESTOPA BLANCA (PARED IZQ),ACEITE PLUS 50 19 LTS (BODEGA),</t>
  </si>
  <si>
    <t>POLEA SOLIDA 6603</t>
  </si>
  <si>
    <t>11/09/2025</t>
  </si>
  <si>
    <t>TIRA DE FELPA PARA COMATON
PISTA EXT. RUEDA GUIA
PISTA EXT. DE RODAMIENTO
CONO D</t>
  </si>
  <si>
    <t>SERVICIO DE 1500
ESTOPA BLANCA
ACEITE PLUS
FILTRO HCO
ACEITE PLUS
ACEITE HCO
FIL</t>
  </si>
  <si>
    <t>GPS</t>
  </si>
  <si>
    <t>LICENCIA DE SEÑAL SF3 POR UN AÑO, PARA RECEPTOR SF6000 CON NUMERO DE SERIE: PCS1</t>
  </si>
  <si>
    <t>PINTURA AMARILLA CONSTRUCCION EN SPRAY 
PINTURA VERDE EN SPRAY
PINTURA NEGRA BM</t>
  </si>
  <si>
    <t>VIAJE AL CAMPO DEL CLIENTE
CALIBRACIONES, AJUSTES Y VIAJE DE CAMPO</t>
  </si>
  <si>
    <t>FILTRO AIRE PRIMARIO 6603T
ACEITE PLUS 50 5LTS
ACEITE PLUS 50 19 LTS
FILTRO DE A</t>
  </si>
  <si>
    <t xml:space="preserve">ENI NETWORKS </t>
  </si>
  <si>
    <t xml:space="preserve"> LINK AVANZADO  </t>
  </si>
  <si>
    <t>Eni Networks</t>
  </si>
  <si>
    <t>01/02/2026</t>
  </si>
  <si>
    <t>ENI NETWORKS</t>
  </si>
  <si>
    <t xml:space="preserve">LINK AVANZADO 2024 30 MBPS - 5 MBPS </t>
  </si>
  <si>
    <t>01/03/2026</t>
  </si>
  <si>
    <t>CARGO POR RECONEXIÓN
LINK AVANZADO</t>
  </si>
  <si>
    <t>CARGO POR RECONEXIÓN LINK AVANZADO</t>
  </si>
  <si>
    <t>01/09/2025</t>
  </si>
  <si>
    <t>CARGO POR RECONEXION
LINK AVANZADO (2024) 30 MBPS- 5</t>
  </si>
  <si>
    <t>CARGO POR RECONEXIÓN 
LINK AVANZADO</t>
  </si>
  <si>
    <t>LINK AVANZADO</t>
  </si>
  <si>
    <t>16/08/2025</t>
  </si>
  <si>
    <t>EMPRESAS PONCE</t>
  </si>
  <si>
    <t>MANGUERA DE MALLAS N.- 10
HFF-AC2 FS ORFS-H -10-10
CONEXIO 5/8" HEMBRA GIR</t>
  </si>
  <si>
    <t>Emmanuel Buitimea</t>
  </si>
  <si>
    <t>Nomina Semanal 31</t>
  </si>
  <si>
    <t>Nomina Semanal 40</t>
  </si>
  <si>
    <t>Nomina Semanal 27</t>
  </si>
  <si>
    <t>Nomina Semanal 36</t>
  </si>
  <si>
    <t>Nomina Semanal 45</t>
  </si>
  <si>
    <t>Nomina Semanal 32</t>
  </si>
  <si>
    <t>Nomina Semanal 41</t>
  </si>
  <si>
    <t>Nomina Semanal 28</t>
  </si>
  <si>
    <t>Nomina Semanal 37</t>
  </si>
  <si>
    <t>Nomina Semanal 24</t>
  </si>
  <si>
    <t>Nomina Semanal 46</t>
  </si>
  <si>
    <t>Nomina Semanal 33</t>
  </si>
  <si>
    <t>Nomina Semanal 42</t>
  </si>
  <si>
    <t>Nomina Semanal 29</t>
  </si>
  <si>
    <t>Nomina Semanal 38</t>
  </si>
  <si>
    <t>Nomina Semanal 25</t>
  </si>
  <si>
    <t>Nomina Semanal 47</t>
  </si>
  <si>
    <t>Nomina Semanal 34</t>
  </si>
  <si>
    <t>Nomina Semanal 43</t>
  </si>
  <si>
    <t>Nomina Semanal 30</t>
  </si>
  <si>
    <t>Nomina Semanal 39</t>
  </si>
  <si>
    <t>Nomina Semanal 26</t>
  </si>
  <si>
    <t>Nomina Semanal 35</t>
  </si>
  <si>
    <t>Nomina Semanal 44</t>
  </si>
  <si>
    <t>Eduardo Maldonado</t>
  </si>
  <si>
    <t>Nomina Semanal 01</t>
  </si>
  <si>
    <t>Nomina Semanal 49</t>
  </si>
  <si>
    <t>Nomina Semanal 06</t>
  </si>
  <si>
    <t>Nomina Semanal 02</t>
  </si>
  <si>
    <t>Nomina Semanal 50</t>
  </si>
  <si>
    <t>Nomina Semanal 07</t>
  </si>
  <si>
    <t>Nomina Semanal 03</t>
  </si>
  <si>
    <t>Nomina Semanal 51</t>
  </si>
  <si>
    <t>Nomina Semanal 04</t>
  </si>
  <si>
    <t>Nomina Semanal 52</t>
  </si>
  <si>
    <t>Nomina Semanal 48</t>
  </si>
  <si>
    <t>Nomina Semanal 05</t>
  </si>
  <si>
    <t>Permisos</t>
  </si>
  <si>
    <t>DISTRITO DE RIEGO DEL RIO YAQUI 41</t>
  </si>
  <si>
    <t>PERMISO DE SIEMBRA 20 HAS PAPA</t>
  </si>
  <si>
    <t>DIEGO ALBERTO ALVAREZ CAMPOY</t>
  </si>
  <si>
    <t>INSTALACION PCERAMIC AUTOMOTRIZ</t>
  </si>
  <si>
    <t>Liquidacion</t>
  </si>
  <si>
    <t>Daniel Eduardo</t>
  </si>
  <si>
    <t>Cuadrillas Cosecha</t>
  </si>
  <si>
    <t>Cuadrilla Xeloma</t>
  </si>
  <si>
    <t>Semana 12</t>
  </si>
  <si>
    <t>Semana 13</t>
  </si>
  <si>
    <t>Cuadrilla Padilla</t>
  </si>
  <si>
    <t>Cuadrilla Osmar</t>
  </si>
  <si>
    <t>Cuadrilla Martin Chihuahua</t>
  </si>
  <si>
    <t>Cuadrilla Mario Osuna</t>
  </si>
  <si>
    <t>Cuadrilla Luis Pellegaud</t>
  </si>
  <si>
    <t>Cuadrilla Jose Cargadores</t>
  </si>
  <si>
    <t>Semana 10</t>
  </si>
  <si>
    <t>Semana 11</t>
  </si>
  <si>
    <t>Cuadrilla Javier Xeloma</t>
  </si>
  <si>
    <t>Cuadrilla Chayo Yaqui</t>
  </si>
  <si>
    <t>Cuadrilla Cargadores P Yaqui</t>
  </si>
  <si>
    <t>Cuadrilla Arturo Griegos</t>
  </si>
  <si>
    <t xml:space="preserve">Cuadrilla Angel </t>
  </si>
  <si>
    <t>Cuadrilla Alberto Ibarra</t>
  </si>
  <si>
    <t>COMITE DE SANIDAD FITOPECUARIA DEL ESTAD</t>
  </si>
  <si>
    <t xml:space="preserve">VIGILANCIA DE LA CALIDAD FITOSANITARIA DE PAPA PARA SIEMBRA </t>
  </si>
  <si>
    <t>COMERCIALIZADORA FREYMAN</t>
  </si>
  <si>
    <t>VENDA ELASTICA 
ALGODON PAQUETE C/50 GR</t>
  </si>
  <si>
    <t>CFE</t>
  </si>
  <si>
    <t>B405 DIC</t>
  </si>
  <si>
    <t>B405 FEB</t>
  </si>
  <si>
    <t>B405 MAR</t>
  </si>
  <si>
    <t>B405 OCT</t>
  </si>
  <si>
    <t>B1928 FEB</t>
  </si>
  <si>
    <t>23/03/2026</t>
  </si>
  <si>
    <t>B1928 MAR</t>
  </si>
  <si>
    <t>B1928 SEP</t>
  </si>
  <si>
    <t>25/11/2025</t>
  </si>
  <si>
    <t>B1928 NOV</t>
  </si>
  <si>
    <t>B1928 ENE</t>
  </si>
  <si>
    <t>B1928 OCT</t>
  </si>
  <si>
    <t>B405 NOV</t>
  </si>
  <si>
    <t>29/12/2025</t>
  </si>
  <si>
    <t>B1928 DIC</t>
  </si>
  <si>
    <t>B405 SEP</t>
  </si>
  <si>
    <t>31/01/2026</t>
  </si>
  <si>
    <t>B405 ENE</t>
  </si>
  <si>
    <t>CENTRO MEDICO SALUS</t>
  </si>
  <si>
    <t>CIRUGIA JORNAL RAFI DE CUBITO CON PLACA LCP 3.5+ RAFI DISTAL CON PLACA VOLAR 2.7</t>
  </si>
  <si>
    <t>Carlos Robles</t>
  </si>
  <si>
    <t>09/08/2025</t>
  </si>
  <si>
    <t>CARLOS GERARDO LAMAS BRISEÑO</t>
  </si>
  <si>
    <t>SERVICIO GENERAL Y SOLDAR TANQUE A COMPRESOR A GASOLINA</t>
  </si>
  <si>
    <t>SERVICIO A COMPRESOR A GAOLINA</t>
  </si>
  <si>
    <t>08/10/2025</t>
  </si>
  <si>
    <t>CARLOS ARTURO NAVA HIGUERA</t>
  </si>
  <si>
    <t>MANIJA DE TAPA MT L200 SOLO REPUESTO CROMADA PLASTICO</t>
  </si>
  <si>
    <t xml:space="preserve"> TOLVA SALPICADERA DELANTERA VW JETTA 15-17 DER
TOLVA SALPICADERA DELANTERA VW J</t>
  </si>
  <si>
    <t>Campo 60</t>
  </si>
  <si>
    <t>CALHAN INTERNATIONAL</t>
  </si>
  <si>
    <t xml:space="preserve">CALAVERA C/LED MITSUBICHI </t>
  </si>
  <si>
    <t>Bridgestone</t>
  </si>
  <si>
    <t>4 Llantas Bridgestone Bueler</t>
  </si>
  <si>
    <t xml:space="preserve">BIBIANA BALLESTEROS LEON </t>
  </si>
  <si>
    <t xml:space="preserve">TANK &amp; EQUIPMENT CLEANER </t>
  </si>
  <si>
    <t>05/07/2025</t>
  </si>
  <si>
    <t xml:space="preserve"> FILTRO HASTA 113 LMP GPI </t>
  </si>
  <si>
    <t>NAVAJA PARA FRENO DE 7 PIES
TORNILLO ARADO 5/8 X 2 ALTA RESISTENCIA</t>
  </si>
  <si>
    <t>FILTRO HASTA 113 LPM GPI</t>
  </si>
  <si>
    <t>REJAS PARA TRABAJO PESADO KEER</t>
  </si>
  <si>
    <t>SURCADORES TRABAJO PESADO KEER 12X250</t>
  </si>
  <si>
    <t>MANGUERA PARA ASPERSORA DE 1/2 AMARILLA</t>
  </si>
  <si>
    <t>MUELLE 5 HOJAS NORMAL
TORNILLO DE 9/16 PARA MUELLES Y BALANCINES 3 TON
GRAMPAS D</t>
  </si>
  <si>
    <t>TANK &amp; EQUIPMENT CLEANER</t>
  </si>
  <si>
    <t>FILTRO P/BOQUILLA 50 MALLAS NYLON</t>
  </si>
  <si>
    <t>BIBIANA BALLESTEROS LEON</t>
  </si>
  <si>
    <t>REFLECTOR LED 100 W 
CANDADO DE HIERRO HERMEX 45 MM</t>
  </si>
  <si>
    <t xml:space="preserve">CAMPANA PROTECTORA 220
CAMPANA PROTECTORA 400
BJIA NGK
TANK &amp; EQUIPMENT CLEANER
</t>
  </si>
  <si>
    <t>LT ACEITE
BUJIA
FILTRO DE AIRE
BARBURADOR
TAPON
MANGUERA
TAPON</t>
  </si>
  <si>
    <t>MTS MANGUERA TRANSPARENTE 1"
CASQUILLO REDUCTOR MPT 1"
ROSCA MACHO 1/2 X CONEX A</t>
  </si>
  <si>
    <t>BOQUILLA LATON SWISSMEX
CUERDA DE ARRANQUE</t>
  </si>
  <si>
    <t>CONECTOR 
VALCULA
PISTOLA MECANICA</t>
  </si>
  <si>
    <t>CRUCETA 22.0X54.0 MMLS CARDAN,
 LT ACEITE 10W-30 GASOLINA, 
LT ACEITE 85W-140 TR</t>
  </si>
  <si>
    <t>CRUCETA 22.0X54.0 MMLS CARDAN</t>
  </si>
  <si>
    <t>FILTRO DE AIRE,
 BUJIA, LT ACEITE, 
PATA PARA GATO, 
PASADOR PARA GATO</t>
  </si>
  <si>
    <t>FILTRO HASTA 113 LPM GPI
MEDIDOR DE COMBUSTIBLE PIUSI K-44
CINTA DE AISLAR
CANDA</t>
  </si>
  <si>
    <t>TAPAROSCA
FILTRO 
BOQUILLA</t>
  </si>
  <si>
    <t>PILAS, EMPAQUES, SERVICIO TERMONEBULIZADOR, CUERDA, VALVULA, BUJIA</t>
  </si>
  <si>
    <t>BERNARDO BALDENEGRO SOTO</t>
  </si>
  <si>
    <t>LAVADO DE CARROCERIA Y CHASSIS</t>
  </si>
  <si>
    <t>LAVADO DE ASIENTOS A DETALLE</t>
  </si>
  <si>
    <t>Asesoria</t>
  </si>
  <si>
    <t>BEDAIN SANTIAGO HERNANDEZ</t>
  </si>
  <si>
    <t>ASESORIA TECNICA FITOSANITARIA</t>
  </si>
  <si>
    <t xml:space="preserve">ASESORIA TECNICA FITOSANITARIA </t>
  </si>
  <si>
    <t>BEATRIZ ADRIANA GARCIA VARGAS</t>
  </si>
  <si>
    <t>205 GALONES DE AGUA DE 19 LTS</t>
  </si>
  <si>
    <t xml:space="preserve">BANDAS Y TORNILLOS </t>
  </si>
  <si>
    <t>HULE POLIETILENO NEGRO DE 3 MTS</t>
  </si>
  <si>
    <t>TORNILLO CABEZA DE COCHE
ARANDELA
TUERCA</t>
  </si>
  <si>
    <t>07/03/2026</t>
  </si>
  <si>
    <t>TORNILLO 
TUERCA
ARANDELA
ACEITE REPSOL</t>
  </si>
  <si>
    <t>TORNILLOS
TUERCAS
ARANDELAS</t>
  </si>
  <si>
    <t>BANDAS Y TORNILLOS</t>
  </si>
  <si>
    <t>TORNILLO GRADO 5 STD 7/16X3, TUERCA STD 7/16, 
ARANDELA PRESION 7/16, ARANDELA P</t>
  </si>
  <si>
    <t>BANDA MICRO V</t>
  </si>
  <si>
    <t>TORNILLO GRADO 5 STANDRAD
TUERCA STANDARDARANDELA
ARANDELA PRESION
ARANDELA PLAN</t>
  </si>
  <si>
    <t>BOTA DE RIEGO NEGRA #9</t>
  </si>
  <si>
    <t>TORNILLO GRADO 5 STANDARD
ARANDELA PRESION 7/16 
TUERCA STND
ARANDELA PLANA 
AFL</t>
  </si>
  <si>
    <t>TORNILLO GRADO 5 STANDARD 7/8
TUERCA DE SEG NYLON STD 7/8
ARANDELA PRESION</t>
  </si>
  <si>
    <t>CLAVO PARA MADERA DE 7"</t>
  </si>
  <si>
    <t xml:space="preserve">DISCO PARA CORTE PRECISO 4-12
DISCO P/CORTE METAL 14 
DISCO ABRASIVO DESBASTE 4 </t>
  </si>
  <si>
    <t>TORNILLO GRADO 5
TUERCA DE SEG 
TORNILLO GRADO 5
ARANDELA
TUERCA STANDARD
ARANDE</t>
  </si>
  <si>
    <t>AFLOJATODO WB-50</t>
  </si>
  <si>
    <t>LIQUIDO P/FRENOS BARDHAL</t>
  </si>
  <si>
    <t>ARANDELA PLANA 7/16
TUERCA STANDARD 7/6
ARANDELA PRESION 
TORNILLO CABEZA ARADO</t>
  </si>
  <si>
    <t>TORNILLO GRADO 5
ARANDELA PRESION
TUERCA STANDARD
ARANDELA PLANA</t>
  </si>
  <si>
    <t>19/08/2025</t>
  </si>
  <si>
    <t>CADENA GALV</t>
  </si>
  <si>
    <t>TORNILLO GRADO 8 STANDARD 7/16 
TUERCA STANDARD 7/16
ARANDELA PRESION 7/16
ARAND</t>
  </si>
  <si>
    <t>GRASA BARDAHL CHASIS CUBETAS 16 KGS
AFLOJATODO WB-50</t>
  </si>
  <si>
    <t>ANTICONGELANTE BOGAMAR GALON LISTO USO</t>
  </si>
  <si>
    <t>25/02/2026</t>
  </si>
  <si>
    <t>ACEITE MEXLUB
TORNILLO GRADO
TUERCA STANDARD
ARANDELAPLANA
BANDOLA DE ZINC</t>
  </si>
  <si>
    <t xml:space="preserve">GRASA BARDAHL CHASIS CUBETA16 KGS
AFLOJATODO </t>
  </si>
  <si>
    <t>ARANDELA PRESION 7/8
TUERCA DE SEG. NYLON STD 7/8
TORNILLO C/HEX GRADO 5 STD 7/8</t>
  </si>
  <si>
    <t>TORNILLOACERADO
TUERCA FINA
ARANDELA PRESION</t>
  </si>
  <si>
    <t>GRASA BARDAHL CHASIS CUBETA 16 KG</t>
  </si>
  <si>
    <t xml:space="preserve">ARANDELA PLANA 7/16 GALVANIZADA
ARANDELA PRESION 7/16
TORNILLO GRADO 8 STANDARD </t>
  </si>
  <si>
    <t>CUÑA CUADRADA DE  1/2
ACEITE REPSOL LEADER NEO SEMI 15W40</t>
  </si>
  <si>
    <t>ACEITE MEXLUB CUBETA HIDRAULICO 32</t>
  </si>
  <si>
    <t>ANTICONGELANTE BOFAMAR GALON LISTO USO</t>
  </si>
  <si>
    <t>ABRAZADERA 3/4 A 2 1/2
ABRAZADERA 2 3/4 A 3 1/2
ANTIGONGELANTE GALON LISTO USO</t>
  </si>
  <si>
    <t>SILICON BLANCO P/PISTOLA 280 ML
ACEITE QUAKER STATE LITRO XTR PRO 20W50</t>
  </si>
  <si>
    <t>BALEROS BANDAS Y TORNILLOS</t>
  </si>
  <si>
    <t>SKF CADENA PHC 50-1X10FT
SKF CANDADO PHC 50-1-C/L</t>
  </si>
  <si>
    <t>SKF BAL. BB1-0625 BF</t>
  </si>
  <si>
    <t xml:space="preserve">RETEN 22422 </t>
  </si>
  <si>
    <t>VAR CRUCETA</t>
  </si>
  <si>
    <t>GON.ACE.HIDRAULICO FH300A 8065/1005504 CUBETA</t>
  </si>
  <si>
    <t>AUTOS Y TRACTORES DE SINALOA</t>
  </si>
  <si>
    <t>SERVICIO 40000 KM
FILTRO DE ACEITE MOTOR 5.7 Y 4 CIL
ENGINE OIL</t>
  </si>
  <si>
    <t>ASOCIACIÓN AGRICOLA LOCAL DE PRODUCTORES</t>
  </si>
  <si>
    <t>PAGO CUOTAS APHYM</t>
  </si>
  <si>
    <t>Conduccion de Agua</t>
  </si>
  <si>
    <t>ASOC USUARIOS PRODUC AGRIC SEC RIEG 2 CA</t>
  </si>
  <si>
    <t>SERVICIO DE CONDUCCIÓN DE AGUA AGRICOLA</t>
  </si>
  <si>
    <t xml:space="preserve">ASOC USUAR PRODUCT AGRIC SECC RIEGO K91 </t>
  </si>
  <si>
    <t>CONDUCCION DE AGUA
CUOTAS POR REHABILITACION
CUOTAS POR ADMINISTRACION
REVESTIMI</t>
  </si>
  <si>
    <t>08/11/2025</t>
  </si>
  <si>
    <t>ARTURO ERUVEY GARCIA CUEVAS</t>
  </si>
  <si>
    <t>SERVICIOS DE DESPONCHES</t>
  </si>
  <si>
    <t>ANA PAULA VEGA NAVARRO</t>
  </si>
  <si>
    <t>3 POLYSEAL MM PU95, SELLO U ASIMETRICO MM PU94</t>
  </si>
  <si>
    <t>ANA MARIA BUJANDA TOVAR</t>
  </si>
  <si>
    <t>MATRACA 1/2 CABEZA PERA
SERRUCHO DE PODA 14
SERRUCHO DE PODA 14</t>
  </si>
  <si>
    <t>CUBETA ACEITE HIDRAULICO RALOY 303B</t>
  </si>
  <si>
    <t xml:space="preserve"> ABRAZADERA SINFIN  AB32
 7501206679180 38.09 PZA 1 38.09 CINTA MASKIN TAPE 1" X</t>
  </si>
  <si>
    <t xml:space="preserve">ABRAZADERA SINFIN AB48
TIJERA PARA PODAR 8" CUCHILLA DE PASO FORJADA
ABRAZADERA </t>
  </si>
  <si>
    <t>18/09/2025</t>
  </si>
  <si>
    <t>TUERCA STD
RONDANA PLANA 5/8
TORNILLO GRADO 5/8 X 2 1/2
GRASERA H-200
TORNILLO G</t>
  </si>
  <si>
    <t>30/07/2025</t>
  </si>
  <si>
    <t>AFLOJATODO WD-40 OZ FLEXITAPA
BALERO CONJUNTO SKF 12649/10</t>
  </si>
  <si>
    <t>Practicantes</t>
  </si>
  <si>
    <t>Ana Leon</t>
  </si>
  <si>
    <t>Beca Norman</t>
  </si>
  <si>
    <t>15/03/2026</t>
  </si>
  <si>
    <t>28/02/2026</t>
  </si>
  <si>
    <t>Allan Uriel</t>
  </si>
  <si>
    <t>13/11/2025</t>
  </si>
  <si>
    <t>ALFONSO R BOURS</t>
  </si>
  <si>
    <t>MULTIGRADO 134 19 LTS</t>
  </si>
  <si>
    <t xml:space="preserve">Alberto Ibarra </t>
  </si>
  <si>
    <t>Cuadrilla Siembra</t>
  </si>
  <si>
    <t>ALBA MARIA JESUS DEL RAZO MIRANDA</t>
  </si>
  <si>
    <t>CUBETA ACEITE HDCO JHON DEERE</t>
  </si>
  <si>
    <t xml:space="preserve">FILTRO AIRE CHICO </t>
  </si>
  <si>
    <t>Alamo</t>
  </si>
  <si>
    <t xml:space="preserve">AGROQUIMICOS JAM </t>
  </si>
  <si>
    <t>HIBIO HI20WG, COPERNICO SAC/10KG, FUNGICIDA</t>
  </si>
  <si>
    <t>AGROQUIMICOS JAM</t>
  </si>
  <si>
    <t>5 LT BENEFIT</t>
  </si>
  <si>
    <t>12 PZ DUMATH 5% 600 GRS</t>
  </si>
  <si>
    <t>54 LT FLONEX MZ-400</t>
  </si>
  <si>
    <t>ZORVEC ENCANTIA 12X1 LT</t>
  </si>
  <si>
    <t>10 LT LUNA SENSATION</t>
  </si>
  <si>
    <t>KASUMIN 12 X1</t>
  </si>
  <si>
    <t xml:space="preserve">(10 LT) MASSADA </t>
  </si>
  <si>
    <t>AGROPECUARIA JAHUER</t>
  </si>
  <si>
    <t>AGROEQUIPOS DEL VALLE</t>
  </si>
  <si>
    <t>ACEITE GOTEO R/O 32 19 LTS</t>
  </si>
  <si>
    <t>JUNTA
FILTRO DE ACEITE
ACEITE MOTOR
SILICON GRIS
RETEN ANT
ANILLO TORICO
SELLO E</t>
  </si>
  <si>
    <t>CARTUCHOS DE FILTRO</t>
  </si>
  <si>
    <t>AGROEMPAQUES DE SINALOA</t>
  </si>
  <si>
    <t>50 CHISMOGRAFO DELTATRAK</t>
  </si>
  <si>
    <t>AGRICOLA EL MORON</t>
  </si>
  <si>
    <t>80 TARGET
47 CIPERMETRINA
80 POLAR
24 MORGAN CE
70 MONOCRON</t>
  </si>
  <si>
    <t>60 LT TARGET 480 
33 ARRIVO
16 LT MORGAN CE
60 LT MONOCRON 600
60 LT POLAR</t>
  </si>
  <si>
    <t xml:space="preserve">80 CARBOXYL 
70 MONOCRON 600
70 AGRO K </t>
  </si>
  <si>
    <t>12/03/2026</t>
  </si>
  <si>
    <t xml:space="preserve">200 LT REGLONE </t>
  </si>
  <si>
    <t>135 CIPERMETRINA
12 ARRIVO</t>
  </si>
  <si>
    <t>80 LT REGLONE</t>
  </si>
  <si>
    <t xml:space="preserve">100 CARBOXY POTASIO </t>
  </si>
  <si>
    <t xml:space="preserve">45 REGLONE </t>
  </si>
  <si>
    <t>80 LT HUMINARE (GARRAFA 20 LT)</t>
  </si>
  <si>
    <t>40 REGLONE</t>
  </si>
  <si>
    <t>Camaras</t>
  </si>
  <si>
    <t>SETTEQ</t>
  </si>
  <si>
    <t>CAMARAS CAMPOS 405 Y 1928 EN SISTEMAS DE RIEGO</t>
  </si>
  <si>
    <t>80 LT CARBOXYL, 19 ARRIVO 200CE</t>
  </si>
  <si>
    <t>36 LT FLONEX 400 MZ
40 LT CARBOXY POTASIO (GARRAFA 20 LT)</t>
  </si>
  <si>
    <t>72 FLONEX 400 MZ</t>
  </si>
  <si>
    <t>20 LT POLAR (GARRAFA 20 LT)</t>
  </si>
  <si>
    <t>100 KG FRUTEX (SACO 10 KG)</t>
  </si>
  <si>
    <t>18/12/2025</t>
  </si>
  <si>
    <t>60 LT BARRIER
10 PZ H-85 (SACO 10 KG)</t>
  </si>
  <si>
    <t>60 LT ROLLING 720 
20 LT POLAR (GARRAFA 20 LT)
19 ARRIVO 200CE</t>
  </si>
  <si>
    <t>100 KG MANZATE PROSTICK
16 PZ BUFFEX 440 GRS
20 LT INEX A
25 LT BIONARE
25 LT MA</t>
  </si>
  <si>
    <t>5 PZ TITUS</t>
  </si>
  <si>
    <t>1 TITEM ACUAGRO 8-24-0</t>
  </si>
  <si>
    <t>72 LT FLONEX MZ</t>
  </si>
  <si>
    <t>144 LT FLONEX MZ
48 PZ MURALLA MAX 500 ML
100 LT ATP UP</t>
  </si>
  <si>
    <t>200 LT HUMNARE
45 KG KELATEX FE</t>
  </si>
  <si>
    <t>20 LT MAXIGROW EXCEL</t>
  </si>
  <si>
    <t>126 LT FLONEX MZ</t>
  </si>
  <si>
    <t>50 CEMENTO GRIS</t>
  </si>
  <si>
    <t>5 PZ TITUS
2 LT BREAKTHRU
20 LT INEX A</t>
  </si>
  <si>
    <t>22/01/2026</t>
  </si>
  <si>
    <t>SHOGUN (CAJA 12 X 1 LT)</t>
  </si>
  <si>
    <t>200 LT PROMESOL 5X</t>
  </si>
  <si>
    <t>12000 CANTUS ( CAJA 10 X 1 KG), 38000 ARRICO 200CE (CAJA 12 X 960 ML), 38000 MED</t>
  </si>
  <si>
    <t>1 KG CUPRAVIT HIDRO</t>
  </si>
  <si>
    <t>"80 LT POLAR
144 LT FLONEX MZ
95 LT HUMIFERT
20 LT SURFARE"</t>
  </si>
  <si>
    <t>180000 CIPERMETRINA 200, 10000 ARRIVO 200CE, 400000 POLAR 20LT, 20000MEDAL 20LT</t>
  </si>
  <si>
    <t xml:space="preserve">60 LT FERTIGRO ZN
32 PZ MURALLA MAX </t>
  </si>
  <si>
    <t xml:space="preserve">360000 AGRYGENT PLUS 800 </t>
  </si>
  <si>
    <t>126 LT FLONEX MZ
40 LT POLAR</t>
  </si>
  <si>
    <t xml:space="preserve">ARRIVO 200 CE, BREAK THRU </t>
  </si>
  <si>
    <t>25 KG MANZATE PRO STICK</t>
  </si>
  <si>
    <t>36 LT FLONEX MZ
22 PZ MURALLA MAX</t>
  </si>
  <si>
    <t>40 LT TARGET</t>
  </si>
  <si>
    <t>35 REGLONE</t>
  </si>
  <si>
    <t xml:space="preserve">3 LT MORGAN CE </t>
  </si>
  <si>
    <t>120 LT SERENADE ASO</t>
  </si>
  <si>
    <t>5 PZ TITUS
1 LT BREAK THRU</t>
  </si>
  <si>
    <t>40 KG H85
126 LT FLONEX
80 LT CARBOXY MIN L</t>
  </si>
  <si>
    <t>38 LT BIONARE</t>
  </si>
  <si>
    <t>CIPERMETRINA 200</t>
  </si>
  <si>
    <t>SENCOR 480
CIPERMETRINA 200</t>
  </si>
  <si>
    <t>H-85 
BUFFEX</t>
  </si>
  <si>
    <t xml:space="preserve">40 LT REGLONE </t>
  </si>
  <si>
    <t>20 LT REGLONE</t>
  </si>
  <si>
    <t>52 KG KELATEX FE
3 LT ALLECTUS 300 
4 PZ BUFFEX</t>
  </si>
  <si>
    <t xml:space="preserve">144 LT FLONEX MZ
40 LT ATP UP
23 PZ DECIS FORTE 450 ML
24 KG AMINOCEL 500
20 LT </t>
  </si>
  <si>
    <t>80 LT RADIGROW
54 LT FLONEX MZ
16 LT ALLECTUS 300
13 KG CANTUS
1 PZ BUFFEX</t>
  </si>
  <si>
    <t>1 LT ALLECTUS 300</t>
  </si>
  <si>
    <t>144 LT FLONEX MZ
80 LT POLAR
80 LT ATP UP
50 LT HUMIFERT
20 LT INEX
32 PZ BUFFEX</t>
  </si>
  <si>
    <t>Victor Bours Encinas</t>
  </si>
  <si>
    <t>AGRICOLA ADELAP</t>
  </si>
  <si>
    <t>ADRIANA IRIS VAZQUEZ ARESTEGUI</t>
  </si>
  <si>
    <t>PASTEL RED VELVET GRANDE</t>
  </si>
  <si>
    <t>ADAN LOPEZ VILLA</t>
  </si>
  <si>
    <t>REPARACION TAPADERA TRASERA DE TOYOTA HILUX MOD 2024</t>
  </si>
  <si>
    <t>INSTALACION Y NIVELACION DE CHAPA TRASERA DE MITSUBICHI</t>
  </si>
  <si>
    <t>ABRAHAM PEREZ SAMANIEGO</t>
  </si>
  <si>
    <t>ABEL OCHOA SOTO</t>
  </si>
  <si>
    <t>MEDIDOR DE PRESION NEGRO
PARCHE TIPO TAQUETE + PEGAMETO</t>
  </si>
  <si>
    <t>02/07/2025</t>
  </si>
  <si>
    <t xml:space="preserve"> TELEFONOS DE MEXICO </t>
  </si>
  <si>
    <t xml:space="preserve"> SERVICIOS DE TELECOMUNICACIONES </t>
  </si>
  <si>
    <t>03/07/2025</t>
  </si>
  <si>
    <t xml:space="preserve"> SERVICIOSO DE TELECOMUNICACIONES </t>
  </si>
  <si>
    <t xml:space="preserve"> SERVICIOS OPERATIVOS LOGISTICOS DE CAJE</t>
  </si>
  <si>
    <t xml:space="preserve"> SUBARRENDAMIENTO DE LOCAL PARA OFICINA JULIO 2025 </t>
  </si>
  <si>
    <t xml:space="preserve"> JUAN PEDRO HURTADO GOMEZ </t>
  </si>
  <si>
    <t xml:space="preserve"> MONITOREO DEL MES DE JULIO 2025 </t>
  </si>
  <si>
    <t xml:space="preserve"> JOSE SERGIO GIL SAMANIEGO GUTIERREZ </t>
  </si>
  <si>
    <t xml:space="preserve"> BALATAS DELANTERAS
TORNEADO DE ROTOR
MANO DE OBRA </t>
  </si>
  <si>
    <t>12/07/2025</t>
  </si>
  <si>
    <t xml:space="preserve"> GUILLERMO MANJARREZ ECHAVARRIA </t>
  </si>
  <si>
    <t xml:space="preserve"> PROTOCOLIZACION ACTA DE ASAMBLEA GANMI HORTICOLA CAMBIO DOMICILIO
COPIA CERTIFI</t>
  </si>
  <si>
    <t xml:space="preserve"> PROTOCOLIZACION ACTA DE ASAMBLEA ROCA FARMS  </t>
  </si>
  <si>
    <t xml:space="preserve"> ESC 6980 PROTO ASAMBLEA MI PARCELA DEL VALLE DEL YAQUI
PROTOCOLIZACION ACTA DE </t>
  </si>
  <si>
    <t xml:space="preserve"> PROTOCOLIZACIÓN ACTA DE ASAMBLE AGRICOLA MICABELLA CAMBIO DOMICLIO 
COPIA CERTI</t>
  </si>
  <si>
    <t>09/07/2025</t>
  </si>
  <si>
    <t xml:space="preserve"> EVANGELINA VILLA CARDENAS </t>
  </si>
  <si>
    <t xml:space="preserve"> MATERIAL FERRETERIA  </t>
  </si>
  <si>
    <t>⚠️ INSTRUCCIONES: Para un nuevo proyecto, borra las filas de datos (mantén fila 1 de encabezados) y pega los nuevos datos. La columna H "Pendiente" es fórmula automática — NO la edites manualmente.</t>
  </si>
  <si>
    <t>📉  DASHBOARD DE GRÁFICOS — PROYECTO AGRÍCOLA DE PAPA</t>
  </si>
  <si>
    <t>Estatus</t>
  </si>
  <si>
    <t>Monto</t>
  </si>
  <si>
    <t>Todos los gráficos se actualizan automáticamente al cambiar los datos. Fuente: hoja "Datos" vía fórmulas SUMIFS.</t>
  </si>
  <si>
    <t>Ya Pagado</t>
  </si>
  <si>
    <t xml:space="preserve">  📊 GRÁFICO 1 — Distribución del Gasto por Área</t>
  </si>
  <si>
    <t xml:space="preserve">  💰 GRÁFICO 2 — Estatus de Pagos: Pagado vs Pendiente</t>
  </si>
  <si>
    <t>Categoría</t>
  </si>
  <si>
    <t>Área</t>
  </si>
  <si>
    <t xml:space="preserve">  🏆 GRÁFICO 3 — Top 10 Categorías de Gasto (mayor a menor)</t>
  </si>
  <si>
    <t>💡 El ranking se recalcula automáticamente — si cambian los montos, el orden se actualiza solo.</t>
  </si>
  <si>
    <t xml:space="preserve">  📊 GRÁFICO 4 — Pagado vs Pendiente por Categoría (Top 10)</t>
  </si>
  <si>
    <t>💡 Verde = ya liquidado. Naranja = aún pendiente de pago. Categorías sin barra naranja están 100% pagadas.</t>
  </si>
  <si>
    <t xml:space="preserve">  ⚠️ GRÁFICO 5 — Rubros con Pagos Pendientes (ordenados por monto)</t>
  </si>
  <si>
    <t>💡 Solo se muestran las categorías que tienen adeudo activo. Si un rubro se liquida, desaparece automáticamente del gráfico.</t>
  </si>
  <si>
    <t>🌱 PROYECTO AGRÍCOLA DE PAPA — REPORTE FINANCIERO</t>
  </si>
  <si>
    <t>GASTO TOTAL (Op+Adm)</t>
  </si>
  <si>
    <t>TOTAL PAGADO</t>
  </si>
  <si>
    <t>PENDIENTE DE PAGO</t>
  </si>
  <si>
    <t>COSTO / HECTÁREA</t>
  </si>
  <si>
    <t>GASTOS OPERATIVOS</t>
  </si>
  <si>
    <t>Ya pagado + pendiente de pago</t>
  </si>
  <si>
    <t>"Gastos directos del cultivo"</t>
  </si>
  <si>
    <t xml:space="preserve">  ¿EN QUÉ SE USÓ EL DINERO? — DESGLOSE POR TIPO DE GASTO</t>
  </si>
  <si>
    <t>Tipo de Gasto</t>
  </si>
  <si>
    <t>Descripción</t>
  </si>
  <si>
    <t>Total Invertido</t>
  </si>
  <si>
    <t>Total Pagado</t>
  </si>
  <si>
    <t>Pendiente de Pago</t>
  </si>
  <si>
    <t>% del Total</t>
  </si>
  <si>
    <t>🏢  Nómina administrativa, oficina y gastos generales</t>
  </si>
  <si>
    <t>🌿  Producción, insumos, mano de obra y operación del cultivo</t>
  </si>
  <si>
    <t>TOTAL GENERAL</t>
  </si>
  <si>
    <t>💡 GUÍA: Celdas en amarillo son editables. Los totales se calculan automáticamente con fórmulas SUMIFS desde la hoja "Datos". Naranja = monto pendiente de pago.</t>
  </si>
  <si>
    <t>🗂️  GASTO POR CATEGORÍA (SIN INVERSIONES) — BASE DE CÁLCULO</t>
  </si>
  <si>
    <t>Para agregar una categoría nueva: inserta una fila y escribe el nombre exacto en col C — las fórmulas SUMIFS calculan automáticamente desde "Datos"</t>
  </si>
  <si>
    <t>🏆  TOP 10 GASTOS MÁS IMPORTANTES DEL PROYECTO</t>
  </si>
  <si>
    <t>Categoría (de Por Categoría)</t>
  </si>
  <si>
    <t>Total SUMIFS</t>
  </si>
  <si>
    <t>Ranking único</t>
  </si>
  <si>
    <t>Se actualiza automáticamente con LARGE/INDEX — el ranking cambia solo cuando cambias los datos en "Datos"</t>
  </si>
  <si>
    <t>#</t>
  </si>
  <si>
    <t>Categoría de Gasto</t>
  </si>
  <si>
    <t>SUBTOTAL TOP 10</t>
  </si>
  <si>
    <t>✅ El ranking se recalcula automáticamente. La columna oculta de ayuda (K-M) calcula los totales por categoría. Si hay empate exacto en montos, el orden puede variar.</t>
  </si>
  <si>
    <t>⚠️  PAGOS PENDIENTES — COMPROMISOS A LIQUIDAR</t>
  </si>
  <si>
    <t>TOTAL PENDIENTE</t>
  </si>
  <si>
    <t>TOTAL YA PAGADO</t>
  </si>
  <si>
    <t>TRANSACCIONES</t>
  </si>
  <si>
    <t>Monto comprometido sin pagar</t>
  </si>
  <si>
    <t>Del gasto operativo/administrativo</t>
  </si>
  <si>
    <t>Con saldo pendiente de pago</t>
  </si>
  <si>
    <t>% Pendiente/Total</t>
  </si>
  <si>
    <t>💡 USA EL FILTRO: Haz clic en ▼ de la columna "Pendiente" → Filtros de número → Mayor que → 0  para ver sólo los rubros con adeudo activo. Todos los valores se actualizan solos al cambiar los datos.</t>
  </si>
  <si>
    <t>🏭  DEUDA DE BODEGAS CON AGRÍCOLA</t>
  </si>
  <si>
    <t>Gastos que el negocio de Bodegas generó y que la Agrícola cubrió — pendientes de reembolso</t>
  </si>
  <si>
    <t>TOTAL ADEUDADO</t>
  </si>
  <si>
    <t>EXCLUIDO</t>
  </si>
  <si>
    <t>ESTATUS</t>
  </si>
  <si>
    <t>BOLSA FISCAL MA</t>
  </si>
  <si>
    <t>4 conceptos</t>
  </si>
  <si>
    <t>Monto que Bodegas debe a Agrícola</t>
  </si>
  <si>
    <t>$800,000.00 — No forma parte del adeudo</t>
  </si>
  <si>
    <t>⏳ Pendiente de reembolso</t>
  </si>
  <si>
    <t>Concepto / Proveedor</t>
  </si>
  <si>
    <t>ROGELIO ESTRADA</t>
  </si>
  <si>
    <t>Pago a proveedor / mano de obra</t>
  </si>
  <si>
    <t>RAMICO</t>
  </si>
  <si>
    <t>Proveedor materiales y servicios</t>
  </si>
  <si>
    <t>KN MATERIALES BODEGA</t>
  </si>
  <si>
    <t>Materiales para bodega</t>
  </si>
  <si>
    <t>22/02/2026</t>
  </si>
  <si>
    <t>SERVICIOS DE EQ DE REFRIGERACION</t>
  </si>
  <si>
    <t>Servicios equipo de refrigeración</t>
  </si>
  <si>
    <t>MENSUALIDAD CAT</t>
  </si>
  <si>
    <t>Mensualidad CAT (marzo)</t>
  </si>
  <si>
    <t>MATERIAL BODEGAS</t>
  </si>
  <si>
    <t>Material para bodegas</t>
  </si>
  <si>
    <t>ISMAEL ELECTRICO BODEGAS</t>
  </si>
  <si>
    <t>Servicios eléctricos en bodegas</t>
  </si>
  <si>
    <t>PINTURA Y SELLADOR OSEL</t>
  </si>
  <si>
    <t>Pintura y sellador</t>
  </si>
  <si>
    <t>SELLADOR PARA PISO BODEGA 5</t>
  </si>
  <si>
    <t>Sellador para piso bodega 5</t>
  </si>
  <si>
    <t>Mensualidad CAT (abril)</t>
  </si>
  <si>
    <t>13/04/2026</t>
  </si>
  <si>
    <t>POLIZA DE SEGUROS BODEGAS</t>
  </si>
  <si>
    <t>Póliza de seguros bodegas</t>
  </si>
  <si>
    <t>NOMINAS OPERATIVAS</t>
  </si>
  <si>
    <t>Nóminas del personal operativo</t>
  </si>
  <si>
    <t>TOTAL ADEUDADO — BODEGAS A AGRÍCOLA</t>
  </si>
  <si>
    <t>⚠️  CONCEPTO EXCLUIDO: "PAGO ROGELIO ESTRADA MANO DE OBRA" $800,000.00 — Pertenece a BOLSA FISCAL MA y NO es parte del adeudo de Bodegas con Agrícola. El total bruto de la relación era $4,561,458.36; el adeudo real es el SUM de la tabla (E11:E22).</t>
  </si>
  <si>
    <t>📋 INSTRUCCIONES: Las celdas en amarillo (columna E) son editables. Agrega o elimina filas entre los datos y el total — actualiza la fórmula SUM en el total para incluir las nuevas filas. El total de la tarjeta superior (B6) se recalcula automáticamente.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</si>
</sst>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&quot;#,##0\&quot;"/>
    <numFmt numFmtId="165" formatCode="D/M/YYYY"/>
    <numFmt numFmtId="166" formatCode="_-&quot;$&quot;* #,##0.00_-;\-&quot;$&quot;* #,##0.00_-;_-&quot;$&quot;* &quot;-&quot;??_-;_-@"/>
    <numFmt numFmtId="167" formatCode="\$#,##0.00"/>
    <numFmt numFmtId="168" formatCode="\$#,##0"/>
    <numFmt numFmtId="169" formatCode="0.0%"/>
  </numFmts>
  <fonts count="41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FFFFFF"/>
      <name val="Calibri"/>
    </font>
    <font>
      <b/>
      <sz val="10.0"/>
      <color rgb="FF1A5276"/>
      <name val="Calibri"/>
    </font>
    <font>
      <b/>
      <sz val="11.0"/>
      <color rgb="FF17202A"/>
      <name val="Calibri"/>
    </font>
    <font>
      <i/>
      <sz val="9.0"/>
      <color rgb="FF7D6608"/>
      <name val="Calibri"/>
    </font>
    <font>
      <b/>
      <sz val="9.0"/>
      <color rgb="FFFFFFFF"/>
      <name val="Calibri"/>
    </font>
    <font>
      <i/>
      <sz val="9.0"/>
      <color rgb="FF555555"/>
      <name val="Calibri"/>
    </font>
    <font>
      <sz val="9.0"/>
      <color rgb="FF1A5276"/>
      <name val="Calibri"/>
    </font>
    <font>
      <b/>
      <sz val="10.0"/>
      <color rgb="FF000000"/>
      <name val="Calibri"/>
    </font>
    <font>
      <sz val="11.0"/>
      <color theme="1"/>
      <name val="Calibri"/>
    </font>
    <font>
      <sz val="8.0"/>
      <color rgb="FF17202A"/>
      <name val="Calibri"/>
    </font>
    <font>
      <sz val="8.0"/>
      <color theme="1"/>
      <name val="Calibri"/>
    </font>
    <font>
      <i/>
      <sz val="8.0"/>
      <color rgb="FF7D6608"/>
      <name val="Calibri"/>
    </font>
    <font>
      <i/>
      <sz val="8.0"/>
      <color rgb="FF17202A"/>
      <name val="Calibri"/>
    </font>
    <font>
      <sz val="8.0"/>
      <color rgb="FFF39C12"/>
      <name val="Calibri"/>
    </font>
    <font>
      <b/>
      <sz val="18.0"/>
      <color rgb="FFFFFFFF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b/>
      <sz val="17.0"/>
      <color rgb="FFFFFFFF"/>
      <name val="Calibri"/>
    </font>
    <font>
      <b/>
      <sz val="14.0"/>
      <color rgb="FFFFFFFF"/>
      <name val="Calibri"/>
    </font>
    <font>
      <i/>
      <sz val="9.0"/>
      <color rgb="FFFFFFFF"/>
      <name val="Calibri"/>
    </font>
    <font>
      <b/>
      <sz val="11.0"/>
      <color rgb="FFFFFFFF"/>
      <name val="Calibri"/>
    </font>
    <font>
      <i/>
      <sz val="9.0"/>
      <color rgb="FF17202A"/>
      <name val="Calibri"/>
    </font>
    <font>
      <sz val="10.0"/>
      <color theme="1"/>
      <name val="Calibri"/>
    </font>
    <font>
      <b/>
      <sz val="10.0"/>
      <color rgb="FFF39C12"/>
      <name val="Calibri"/>
    </font>
    <font>
      <b/>
      <sz val="9.0"/>
      <color rgb="FF1A5276"/>
      <name val="Calibri"/>
    </font>
    <font>
      <sz val="9.0"/>
      <color rgb="FF17202A"/>
      <name val="Calibri"/>
    </font>
    <font>
      <sz val="9.0"/>
      <color theme="1"/>
      <name val="Calibri"/>
    </font>
    <font>
      <b/>
      <sz val="9.0"/>
      <color rgb="FFF39C12"/>
      <name val="Calibri"/>
    </font>
    <font>
      <i/>
      <sz val="8.0"/>
      <color rgb="FF888888"/>
      <name val="Calibri"/>
    </font>
    <font>
      <sz val="8.0"/>
      <color rgb="FF666666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i/>
      <sz val="9.0"/>
      <color rgb="FF1A5276"/>
      <name val="Calibri"/>
    </font>
    <font>
      <b/>
      <sz val="15.0"/>
      <color rgb="FFFFFFFF"/>
      <name val="Calibri"/>
    </font>
    <font>
      <b/>
      <sz val="9.0"/>
      <color rgb="FF922B21"/>
      <name val="Calibri"/>
    </font>
    <font>
      <sz val="10.0"/>
      <color rgb="FF17202A"/>
      <name val="Calibri"/>
    </font>
    <font>
      <b/>
      <sz val="10.0"/>
      <color rgb="FF6C3483"/>
      <name val="Calibri"/>
    </font>
    <font>
      <b/>
      <sz val="10.0"/>
      <color rgb="FF17202A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1F618D"/>
        <bgColor rgb="FF1F618D"/>
      </patternFill>
    </fill>
    <fill>
      <patternFill patternType="solid">
        <fgColor rgb="FFD6EAF8"/>
        <bgColor rgb="FFD6EAF8"/>
      </patternFill>
    </fill>
    <fill>
      <patternFill patternType="solid">
        <fgColor rgb="FFFFFDE7"/>
        <bgColor rgb="FFFFFDE7"/>
      </patternFill>
    </fill>
    <fill>
      <patternFill patternType="solid">
        <fgColor rgb="FFFEF9E7"/>
        <bgColor rgb="FFFEF9E7"/>
      </patternFill>
    </fill>
    <fill>
      <patternFill patternType="solid">
        <fgColor rgb="FFEBF5FB"/>
        <bgColor rgb="FFEBF5FB"/>
      </patternFill>
    </fill>
    <fill>
      <patternFill patternType="solid">
        <fgColor rgb="FFFF0000"/>
        <bgColor rgb="FFFF0000"/>
      </patternFill>
    </fill>
    <fill>
      <patternFill patternType="solid">
        <fgColor rgb="FF117A65"/>
        <bgColor rgb="FF117A65"/>
      </patternFill>
    </fill>
    <fill>
      <patternFill patternType="solid">
        <fgColor rgb="FF922B21"/>
        <bgColor rgb="FF922B21"/>
      </patternFill>
    </fill>
    <fill>
      <patternFill patternType="solid">
        <fgColor rgb="FFF39C12"/>
        <bgColor rgb="FFF39C12"/>
      </patternFill>
    </fill>
    <fill>
      <patternFill patternType="solid">
        <fgColor rgb="FF6E2F6E"/>
        <bgColor rgb="FF6E2F6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0392B"/>
        <bgColor rgb="FFC0392B"/>
      </patternFill>
    </fill>
    <fill>
      <patternFill patternType="solid">
        <fgColor rgb="FFFADBD8"/>
        <bgColor rgb="FFFADBD8"/>
      </patternFill>
    </fill>
    <fill>
      <patternFill patternType="solid">
        <fgColor rgb="FF6C3483"/>
        <bgColor rgb="FF6C3483"/>
      </patternFill>
    </fill>
    <fill>
      <patternFill patternType="solid">
        <fgColor rgb="FF7D3C98"/>
        <bgColor rgb="FF7D3C98"/>
      </patternFill>
    </fill>
    <fill>
      <patternFill patternType="solid">
        <fgColor rgb="FFEAD9F5"/>
        <bgColor rgb="FFEAD9F5"/>
      </patternFill>
    </fill>
  </fills>
  <borders count="10">
    <border/>
    <border>
      <left/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right style="thin">
        <color rgb="FFBFC9CA"/>
      </right>
      <top style="thin">
        <color rgb="FFBFC9CA"/>
      </top>
    </border>
    <border>
      <top/>
      <bottom/>
    </border>
    <border>
      <left/>
      <right/>
      <top/>
      <bottom/>
    </border>
    <border>
      <top style="thin">
        <color rgb="FFBFC9CA"/>
      </top>
      <bottom style="thin">
        <color rgb="FFBFC9CA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center" vertical="center"/>
    </xf>
    <xf borderId="3" fillId="5" fontId="5" numFmtId="164" xfId="0" applyAlignment="1" applyBorder="1" applyFont="1" applyNumberFormat="1">
      <alignment horizontal="center" vertical="center"/>
    </xf>
    <xf borderId="1" fillId="6" fontId="6" numFmtId="0" xfId="0" applyAlignment="1" applyBorder="1" applyFill="1" applyFont="1">
      <alignment horizontal="left" shrinkToFit="0" vertical="center" wrapText="1"/>
    </xf>
    <xf borderId="4" fillId="2" fontId="7" numFmtId="0" xfId="0" applyAlignment="1" applyBorder="1" applyFont="1">
      <alignment horizontal="center" vertical="center"/>
    </xf>
    <xf borderId="5" fillId="0" fontId="2" numFmtId="0" xfId="0" applyBorder="1" applyFont="1"/>
    <xf borderId="3" fillId="7" fontId="8" numFmtId="0" xfId="0" applyAlignment="1" applyBorder="1" applyFill="1" applyFont="1">
      <alignment horizontal="left" vertical="center"/>
    </xf>
    <xf borderId="3" fillId="5" fontId="4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left" shrinkToFit="0" vertical="center" wrapText="1"/>
    </xf>
    <xf borderId="3" fillId="2" fontId="10" numFmtId="0" xfId="0" applyAlignment="1" applyBorder="1" applyFont="1">
      <alignment horizontal="center" vertical="center"/>
    </xf>
    <xf borderId="3" fillId="2" fontId="10" numFmtId="165" xfId="0" applyAlignment="1" applyBorder="1" applyFont="1" applyNumberFormat="1">
      <alignment horizontal="center" vertical="center"/>
    </xf>
    <xf borderId="0" fillId="0" fontId="11" numFmtId="166" xfId="0" applyFont="1" applyNumberFormat="1"/>
    <xf borderId="3" fillId="0" fontId="12" numFmtId="0" xfId="0" applyBorder="1" applyFont="1"/>
    <xf borderId="3" fillId="0" fontId="12" numFmtId="0" xfId="0" applyAlignment="1" applyBorder="1" applyFont="1">
      <alignment horizontal="center"/>
    </xf>
    <xf borderId="3" fillId="0" fontId="12" numFmtId="167" xfId="0" applyAlignment="1" applyBorder="1" applyFont="1" applyNumberFormat="1">
      <alignment horizontal="right"/>
    </xf>
    <xf borderId="3" fillId="0" fontId="13" numFmtId="167" xfId="0" applyAlignment="1" applyBorder="1" applyFont="1" applyNumberFormat="1">
      <alignment horizontal="right"/>
    </xf>
    <xf borderId="3" fillId="0" fontId="14" numFmtId="0" xfId="0" applyBorder="1" applyFont="1"/>
    <xf borderId="3" fillId="0" fontId="15" numFmtId="0" xfId="0" applyBorder="1" applyFont="1"/>
    <xf borderId="3" fillId="0" fontId="15" numFmtId="0" xfId="0" applyAlignment="1" applyBorder="1" applyFont="1">
      <alignment horizontal="center"/>
    </xf>
    <xf borderId="3" fillId="0" fontId="15" numFmtId="167" xfId="0" applyAlignment="1" applyBorder="1" applyFont="1" applyNumberFormat="1">
      <alignment horizontal="right"/>
    </xf>
    <xf borderId="3" fillId="0" fontId="12" numFmtId="0" xfId="0" applyAlignment="1" applyBorder="1" applyFont="1">
      <alignment shrinkToFit="0" wrapText="1"/>
    </xf>
    <xf borderId="3" fillId="0" fontId="16" numFmtId="167" xfId="0" applyAlignment="1" applyBorder="1" applyFont="1" applyNumberFormat="1">
      <alignment horizontal="right"/>
    </xf>
    <xf borderId="3" fillId="8" fontId="12" numFmtId="0" xfId="0" applyAlignment="1" applyBorder="1" applyFill="1" applyFont="1">
      <alignment horizontal="center"/>
    </xf>
    <xf borderId="3" fillId="8" fontId="12" numFmtId="0" xfId="0" applyBorder="1" applyFont="1"/>
    <xf borderId="3" fillId="8" fontId="12" numFmtId="0" xfId="0" applyAlignment="1" applyBorder="1" applyFont="1">
      <alignment shrinkToFit="0" wrapText="1"/>
    </xf>
    <xf borderId="3" fillId="0" fontId="12" numFmtId="165" xfId="0" applyAlignment="1" applyBorder="1" applyFont="1" applyNumberFormat="1">
      <alignment horizontal="center"/>
    </xf>
    <xf borderId="3" fillId="0" fontId="12" numFmtId="167" xfId="0" applyAlignment="1" applyBorder="1" applyFont="1" applyNumberFormat="1">
      <alignment horizontal="right" readingOrder="0"/>
    </xf>
    <xf borderId="6" fillId="0" fontId="12" numFmtId="0" xfId="0" applyAlignment="1" applyBorder="1" applyFont="1">
      <alignment horizontal="center"/>
    </xf>
    <xf borderId="0" fillId="0" fontId="11" numFmtId="165" xfId="0" applyFont="1" applyNumberFormat="1"/>
    <xf borderId="1" fillId="6" fontId="14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1" fillId="2" fontId="17" numFmtId="0" xfId="0" applyAlignment="1" applyBorder="1" applyFont="1">
      <alignment horizontal="center" vertical="center"/>
    </xf>
    <xf borderId="0" fillId="0" fontId="18" numFmtId="0" xfId="0" applyFont="1"/>
    <xf borderId="1" fillId="2" fontId="19" numFmtId="0" xfId="0" applyAlignment="1" applyBorder="1" applyFont="1">
      <alignment horizontal="left" vertical="center"/>
    </xf>
    <xf borderId="1" fillId="3" fontId="19" numFmtId="0" xfId="0" applyAlignment="1" applyBorder="1" applyFont="1">
      <alignment horizontal="center" vertical="center"/>
    </xf>
    <xf borderId="0" fillId="0" fontId="11" numFmtId="168" xfId="0" applyFont="1" applyNumberFormat="1"/>
    <xf borderId="1" fillId="4" fontId="8" numFmtId="0" xfId="0" applyAlignment="1" applyBorder="1" applyFont="1">
      <alignment horizontal="left" shrinkToFit="0" vertical="center" wrapText="1"/>
    </xf>
    <xf borderId="1" fillId="9" fontId="19" numFmtId="0" xfId="0" applyAlignment="1" applyBorder="1" applyFill="1" applyFont="1">
      <alignment horizontal="left" vertical="center"/>
    </xf>
    <xf borderId="1" fillId="10" fontId="19" numFmtId="0" xfId="0" applyAlignment="1" applyBorder="1" applyFill="1" applyFont="1">
      <alignment horizontal="left" vertical="center"/>
    </xf>
    <xf borderId="1" fillId="2" fontId="20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8" fillId="11" fontId="7" numFmtId="0" xfId="0" applyAlignment="1" applyBorder="1" applyFill="1" applyFont="1">
      <alignment horizontal="center" vertical="center"/>
    </xf>
    <xf borderId="8" fillId="9" fontId="7" numFmtId="0" xfId="0" applyAlignment="1" applyBorder="1" applyFont="1">
      <alignment horizontal="center" vertical="center"/>
    </xf>
    <xf borderId="8" fillId="12" fontId="7" numFmtId="0" xfId="0" applyAlignment="1" applyBorder="1" applyFill="1" applyFont="1">
      <alignment horizontal="center" vertical="center"/>
    </xf>
    <xf borderId="8" fillId="2" fontId="21" numFmtId="168" xfId="0" applyAlignment="1" applyBorder="1" applyFont="1" applyNumberFormat="1">
      <alignment horizontal="center" vertical="center"/>
    </xf>
    <xf borderId="8" fillId="3" fontId="21" numFmtId="168" xfId="0" applyAlignment="1" applyBorder="1" applyFont="1" applyNumberFormat="1">
      <alignment horizontal="center" vertical="center"/>
    </xf>
    <xf borderId="8" fillId="11" fontId="21" numFmtId="168" xfId="0" applyAlignment="1" applyBorder="1" applyFont="1" applyNumberFormat="1">
      <alignment horizontal="center" vertical="center"/>
    </xf>
    <xf borderId="8" fillId="9" fontId="21" numFmtId="168" xfId="0" applyAlignment="1" applyBorder="1" applyFont="1" applyNumberFormat="1">
      <alignment horizontal="center" vertical="center"/>
    </xf>
    <xf borderId="8" fillId="12" fontId="21" numFmtId="168" xfId="0" applyAlignment="1" applyBorder="1" applyFont="1" applyNumberFormat="1">
      <alignment horizontal="center" vertical="center"/>
    </xf>
    <xf borderId="8" fillId="2" fontId="22" numFmtId="0" xfId="0" applyAlignment="1" applyBorder="1" applyFont="1">
      <alignment horizontal="center" shrinkToFit="0" vertical="center" wrapText="1"/>
    </xf>
    <xf borderId="8" fillId="3" fontId="22" numFmtId="0" xfId="0" applyAlignment="1" applyBorder="1" applyFont="1">
      <alignment horizontal="center" shrinkToFit="0" vertical="center" wrapText="1"/>
    </xf>
    <xf borderId="8" fillId="11" fontId="22" numFmtId="0" xfId="0" applyAlignment="1" applyBorder="1" applyFont="1">
      <alignment horizontal="center" shrinkToFit="0" vertical="center" wrapText="1"/>
    </xf>
    <xf borderId="8" fillId="9" fontId="22" numFmtId="0" xfId="0" applyAlignment="1" applyBorder="1" applyFont="1">
      <alignment horizontal="center" shrinkToFit="0" vertical="center" wrapText="1"/>
    </xf>
    <xf borderId="8" fillId="12" fontId="22" numFmtId="0" xfId="0" applyAlignment="1" applyBorder="1" applyFont="1">
      <alignment horizontal="center" shrinkToFit="0" vertical="center" wrapText="1"/>
    </xf>
    <xf borderId="8" fillId="2" fontId="11" numFmtId="0" xfId="0" applyBorder="1" applyFont="1"/>
    <xf borderId="8" fillId="3" fontId="11" numFmtId="0" xfId="0" applyBorder="1" applyFont="1"/>
    <xf borderId="8" fillId="11" fontId="11" numFmtId="0" xfId="0" applyBorder="1" applyFont="1"/>
    <xf borderId="8" fillId="9" fontId="11" numFmtId="0" xfId="0" applyBorder="1" applyFont="1"/>
    <xf borderId="8" fillId="12" fontId="11" numFmtId="0" xfId="0" applyBorder="1" applyFont="1"/>
    <xf borderId="1" fillId="2" fontId="23" numFmtId="0" xfId="0" applyAlignment="1" applyBorder="1" applyFont="1">
      <alignment horizontal="left" vertical="center"/>
    </xf>
    <xf borderId="3" fillId="3" fontId="7" numFmtId="0" xfId="0" applyAlignment="1" applyBorder="1" applyFont="1">
      <alignment horizontal="center" vertical="center"/>
    </xf>
    <xf borderId="3" fillId="7" fontId="24" numFmtId="0" xfId="0" applyAlignment="1" applyBorder="1" applyFont="1">
      <alignment horizontal="left" shrinkToFit="0" vertical="center" wrapText="1"/>
    </xf>
    <xf borderId="3" fillId="7" fontId="25" numFmtId="168" xfId="0" applyAlignment="1" applyBorder="1" applyFont="1" applyNumberFormat="1">
      <alignment horizontal="right" vertical="center"/>
    </xf>
    <xf borderId="3" fillId="6" fontId="26" numFmtId="168" xfId="0" applyAlignment="1" applyBorder="1" applyFont="1" applyNumberFormat="1">
      <alignment horizontal="right" vertical="center"/>
    </xf>
    <xf borderId="3" fillId="7" fontId="11" numFmtId="169" xfId="0" applyAlignment="1" applyBorder="1" applyFont="1" applyNumberFormat="1">
      <alignment horizontal="center" vertical="center"/>
    </xf>
    <xf borderId="3" fillId="13" fontId="24" numFmtId="0" xfId="0" applyAlignment="1" applyBorder="1" applyFill="1" applyFont="1">
      <alignment horizontal="left" shrinkToFit="0" vertical="center" wrapText="1"/>
    </xf>
    <xf borderId="3" fillId="13" fontId="25" numFmtId="168" xfId="0" applyAlignment="1" applyBorder="1" applyFont="1" applyNumberFormat="1">
      <alignment horizontal="right" vertical="center"/>
    </xf>
    <xf borderId="3" fillId="13" fontId="11" numFmtId="169" xfId="0" applyAlignment="1" applyBorder="1" applyFont="1" applyNumberFormat="1">
      <alignment horizontal="center" vertical="center"/>
    </xf>
    <xf borderId="3" fillId="2" fontId="23" numFmtId="0" xfId="0" applyAlignment="1" applyBorder="1" applyFont="1">
      <alignment horizontal="center" vertical="center"/>
    </xf>
    <xf borderId="3" fillId="2" fontId="11" numFmtId="0" xfId="0" applyBorder="1" applyFont="1"/>
    <xf borderId="3" fillId="2" fontId="23" numFmtId="168" xfId="0" applyAlignment="1" applyBorder="1" applyFont="1" applyNumberFormat="1">
      <alignment horizontal="right" vertical="center"/>
    </xf>
    <xf borderId="3" fillId="2" fontId="23" numFmtId="169" xfId="0" applyAlignment="1" applyBorder="1" applyFont="1" applyNumberFormat="1">
      <alignment horizontal="center" vertical="center"/>
    </xf>
    <xf borderId="1" fillId="2" fontId="21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center" shrinkToFit="0" vertical="center" wrapText="1"/>
    </xf>
    <xf borderId="3" fillId="6" fontId="27" numFmtId="0" xfId="0" applyAlignment="1" applyBorder="1" applyFont="1">
      <alignment horizontal="left" vertical="center"/>
    </xf>
    <xf borderId="3" fillId="5" fontId="28" numFmtId="0" xfId="0" applyAlignment="1" applyBorder="1" applyFont="1">
      <alignment horizontal="left" vertical="center"/>
    </xf>
    <xf borderId="3" fillId="6" fontId="29" numFmtId="168" xfId="0" applyAlignment="1" applyBorder="1" applyFont="1" applyNumberFormat="1">
      <alignment horizontal="right" vertical="center"/>
    </xf>
    <xf borderId="3" fillId="6" fontId="30" numFmtId="168" xfId="0" applyAlignment="1" applyBorder="1" applyFont="1" applyNumberFormat="1">
      <alignment horizontal="right" vertical="center"/>
    </xf>
    <xf borderId="3" fillId="6" fontId="11" numFmtId="169" xfId="0" applyAlignment="1" applyBorder="1" applyFont="1" applyNumberFormat="1">
      <alignment horizontal="center" vertical="center"/>
    </xf>
    <xf borderId="3" fillId="13" fontId="27" numFmtId="0" xfId="0" applyAlignment="1" applyBorder="1" applyFont="1">
      <alignment horizontal="left" vertical="center"/>
    </xf>
    <xf borderId="3" fillId="13" fontId="29" numFmtId="168" xfId="0" applyAlignment="1" applyBorder="1" applyFont="1" applyNumberFormat="1">
      <alignment horizontal="right" vertical="center"/>
    </xf>
    <xf borderId="3" fillId="13" fontId="30" numFmtId="168" xfId="0" applyAlignment="1" applyBorder="1" applyFont="1" applyNumberFormat="1">
      <alignment horizontal="right" vertical="center"/>
    </xf>
    <xf borderId="8" fillId="14" fontId="31" numFmtId="0" xfId="0" applyBorder="1" applyFill="1" applyFont="1"/>
    <xf borderId="1" fillId="3" fontId="22" numFmtId="0" xfId="0" applyAlignment="1" applyBorder="1" applyFont="1">
      <alignment horizontal="center" vertical="center"/>
    </xf>
    <xf borderId="0" fillId="0" fontId="32" numFmtId="0" xfId="0" applyFont="1"/>
    <xf borderId="0" fillId="0" fontId="32" numFmtId="168" xfId="0" applyFont="1" applyNumberFormat="1"/>
    <xf borderId="3" fillId="3" fontId="33" numFmtId="0" xfId="0" applyAlignment="1" applyBorder="1" applyFont="1">
      <alignment horizontal="center" vertical="center"/>
    </xf>
    <xf borderId="3" fillId="2" fontId="19" numFmtId="0" xfId="0" applyAlignment="1" applyBorder="1" applyFont="1">
      <alignment horizontal="center" vertical="center"/>
    </xf>
    <xf borderId="3" fillId="13" fontId="4" numFmtId="0" xfId="0" applyAlignment="1" applyBorder="1" applyFont="1">
      <alignment horizontal="left" vertical="center"/>
    </xf>
    <xf borderId="3" fillId="13" fontId="34" numFmtId="168" xfId="0" applyAlignment="1" applyBorder="1" applyFont="1" applyNumberFormat="1">
      <alignment horizontal="right" vertical="center"/>
    </xf>
    <xf borderId="3" fillId="13" fontId="25" numFmtId="169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left" vertical="center"/>
    </xf>
    <xf borderId="3" fillId="7" fontId="34" numFmtId="168" xfId="0" applyAlignment="1" applyBorder="1" applyFont="1" applyNumberFormat="1">
      <alignment horizontal="right" vertical="center"/>
    </xf>
    <xf borderId="3" fillId="7" fontId="25" numFmtId="169" xfId="0" applyAlignment="1" applyBorder="1" applyFont="1" applyNumberFormat="1">
      <alignment horizontal="center" vertical="center"/>
    </xf>
    <xf borderId="1" fillId="4" fontId="35" numFmtId="0" xfId="0" applyAlignment="1" applyBorder="1" applyFont="1">
      <alignment horizontal="left" shrinkToFit="0" vertical="center" wrapText="1"/>
    </xf>
    <xf borderId="1" fillId="10" fontId="36" numFmtId="0" xfId="0" applyAlignment="1" applyBorder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8" fillId="10" fontId="7" numFmtId="0" xfId="0" applyAlignment="1" applyBorder="1" applyFont="1">
      <alignment horizontal="center" vertical="center"/>
    </xf>
    <xf borderId="8" fillId="10" fontId="21" numFmtId="168" xfId="0" applyAlignment="1" applyBorder="1" applyFont="1" applyNumberFormat="1">
      <alignment horizontal="center" vertical="center"/>
    </xf>
    <xf borderId="8" fillId="11" fontId="21" numFmtId="0" xfId="0" applyAlignment="1" applyBorder="1" applyFont="1">
      <alignment horizontal="center" vertical="center"/>
    </xf>
    <xf borderId="8" fillId="10" fontId="22" numFmtId="0" xfId="0" applyAlignment="1" applyBorder="1" applyFont="1">
      <alignment horizontal="center" shrinkToFit="0" vertical="center" wrapText="1"/>
    </xf>
    <xf borderId="8" fillId="10" fontId="11" numFmtId="0" xfId="0" applyAlignment="1" applyBorder="1" applyFont="1">
      <alignment horizontal="center" vertical="center"/>
    </xf>
    <xf borderId="8" fillId="9" fontId="11" numFmtId="0" xfId="0" applyAlignment="1" applyBorder="1" applyFont="1">
      <alignment horizontal="center" vertical="center"/>
    </xf>
    <xf borderId="8" fillId="11" fontId="11" numFmtId="0" xfId="0" applyAlignment="1" applyBorder="1" applyFont="1">
      <alignment horizontal="center" vertical="center"/>
    </xf>
    <xf borderId="3" fillId="10" fontId="7" numFmtId="0" xfId="0" applyAlignment="1" applyBorder="1" applyFont="1">
      <alignment horizontal="center" vertical="center"/>
    </xf>
    <xf borderId="3" fillId="16" fontId="37" numFmtId="0" xfId="0" applyAlignment="1" applyBorder="1" applyFill="1" applyFont="1">
      <alignment horizontal="left" vertical="center"/>
    </xf>
    <xf borderId="3" fillId="16" fontId="28" numFmtId="0" xfId="0" applyAlignment="1" applyBorder="1" applyFont="1">
      <alignment horizontal="left" vertical="center"/>
    </xf>
    <xf borderId="3" fillId="16" fontId="28" numFmtId="168" xfId="0" applyAlignment="1" applyBorder="1" applyFont="1" applyNumberFormat="1">
      <alignment horizontal="right" vertical="center"/>
    </xf>
    <xf borderId="3" fillId="6" fontId="37" numFmtId="168" xfId="0" applyAlignment="1" applyBorder="1" applyFont="1" applyNumberFormat="1">
      <alignment horizontal="right" vertical="center"/>
    </xf>
    <xf borderId="3" fillId="16" fontId="29" numFmtId="169" xfId="0" applyAlignment="1" applyBorder="1" applyFont="1" applyNumberFormat="1">
      <alignment horizontal="center" vertical="center"/>
    </xf>
    <xf borderId="3" fillId="13" fontId="37" numFmtId="0" xfId="0" applyAlignment="1" applyBorder="1" applyFont="1">
      <alignment horizontal="left" vertical="center"/>
    </xf>
    <xf borderId="3" fillId="13" fontId="28" numFmtId="0" xfId="0" applyAlignment="1" applyBorder="1" applyFont="1">
      <alignment horizontal="left" vertical="center"/>
    </xf>
    <xf borderId="3" fillId="13" fontId="28" numFmtId="168" xfId="0" applyAlignment="1" applyBorder="1" applyFont="1" applyNumberFormat="1">
      <alignment horizontal="right" vertical="center"/>
    </xf>
    <xf borderId="3" fillId="13" fontId="29" numFmtId="169" xfId="0" applyAlignment="1" applyBorder="1" applyFont="1" applyNumberFormat="1">
      <alignment horizontal="center" vertical="center"/>
    </xf>
    <xf borderId="3" fillId="10" fontId="23" numFmtId="0" xfId="0" applyAlignment="1" applyBorder="1" applyFont="1">
      <alignment horizontal="center" vertical="center"/>
    </xf>
    <xf borderId="3" fillId="10" fontId="11" numFmtId="0" xfId="0" applyBorder="1" applyFont="1"/>
    <xf borderId="3" fillId="10" fontId="23" numFmtId="168" xfId="0" applyAlignment="1" applyBorder="1" applyFont="1" applyNumberFormat="1">
      <alignment horizontal="right" vertical="center"/>
    </xf>
    <xf borderId="3" fillId="10" fontId="23" numFmtId="169" xfId="0" applyAlignment="1" applyBorder="1" applyFont="1" applyNumberFormat="1">
      <alignment horizontal="center" vertical="center"/>
    </xf>
    <xf borderId="1" fillId="17" fontId="17" numFmtId="0" xfId="0" applyAlignment="1" applyBorder="1" applyFill="1" applyFont="1">
      <alignment horizontal="center" vertical="center"/>
    </xf>
    <xf borderId="1" fillId="18" fontId="3" numFmtId="0" xfId="0" applyAlignment="1" applyBorder="1" applyFill="1" applyFont="1">
      <alignment horizontal="center" vertical="center"/>
    </xf>
    <xf borderId="8" fillId="17" fontId="7" numFmtId="0" xfId="0" applyAlignment="1" applyBorder="1" applyFont="1">
      <alignment horizontal="center" vertical="center"/>
    </xf>
    <xf borderId="8" fillId="17" fontId="36" numFmtId="167" xfId="0" applyAlignment="1" applyBorder="1" applyFont="1" applyNumberFormat="1">
      <alignment horizontal="center" vertical="center"/>
    </xf>
    <xf borderId="8" fillId="10" fontId="23" numFmtId="0" xfId="0" applyAlignment="1" applyBorder="1" applyFont="1">
      <alignment horizontal="center" vertical="center"/>
    </xf>
    <xf borderId="8" fillId="11" fontId="23" numFmtId="0" xfId="0" applyAlignment="1" applyBorder="1" applyFont="1">
      <alignment horizontal="center" vertical="center"/>
    </xf>
    <xf borderId="8" fillId="17" fontId="22" numFmtId="0" xfId="0" applyAlignment="1" applyBorder="1" applyFont="1">
      <alignment horizontal="center" shrinkToFit="0" vertical="center" wrapText="1"/>
    </xf>
    <xf borderId="8" fillId="11" fontId="22" numFmtId="0" xfId="0" applyAlignment="1" applyBorder="1" applyFont="1">
      <alignment horizontal="center" vertical="center"/>
    </xf>
    <xf borderId="8" fillId="17" fontId="11" numFmtId="0" xfId="0" applyBorder="1" applyFont="1"/>
    <xf borderId="8" fillId="10" fontId="11" numFmtId="0" xfId="0" applyBorder="1" applyFont="1"/>
    <xf borderId="3" fillId="18" fontId="33" numFmtId="0" xfId="0" applyAlignment="1" applyBorder="1" applyFont="1">
      <alignment horizontal="left" vertical="center"/>
    </xf>
    <xf borderId="3" fillId="18" fontId="33" numFmtId="0" xfId="0" applyAlignment="1" applyBorder="1" applyFont="1">
      <alignment horizontal="right" vertical="center"/>
    </xf>
    <xf borderId="3" fillId="19" fontId="38" numFmtId="0" xfId="0" applyAlignment="1" applyBorder="1" applyFill="1" applyFont="1">
      <alignment horizontal="center" vertical="center"/>
    </xf>
    <xf borderId="3" fillId="19" fontId="39" numFmtId="0" xfId="0" applyAlignment="1" applyBorder="1" applyFont="1">
      <alignment horizontal="left" vertical="center"/>
    </xf>
    <xf borderId="3" fillId="19" fontId="8" numFmtId="0" xfId="0" applyAlignment="1" applyBorder="1" applyFont="1">
      <alignment horizontal="left" vertical="center"/>
    </xf>
    <xf borderId="3" fillId="5" fontId="40" numFmtId="167" xfId="0" applyAlignment="1" applyBorder="1" applyFont="1" applyNumberFormat="1">
      <alignment horizontal="right" vertical="center"/>
    </xf>
    <xf borderId="3" fillId="13" fontId="38" numFmtId="0" xfId="0" applyAlignment="1" applyBorder="1" applyFont="1">
      <alignment horizontal="center" vertical="center"/>
    </xf>
    <xf borderId="3" fillId="13" fontId="39" numFmtId="0" xfId="0" applyAlignment="1" applyBorder="1" applyFont="1">
      <alignment horizontal="left" vertical="center"/>
    </xf>
    <xf borderId="3" fillId="13" fontId="8" numFmtId="0" xfId="0" applyAlignment="1" applyBorder="1" applyFont="1">
      <alignment horizontal="left" vertical="center"/>
    </xf>
    <xf borderId="4" fillId="17" fontId="23" numFmtId="0" xfId="0" applyAlignment="1" applyBorder="1" applyFont="1">
      <alignment horizontal="center" vertical="center"/>
    </xf>
    <xf borderId="9" fillId="0" fontId="2" numFmtId="0" xfId="0" applyBorder="1" applyFont="1"/>
    <xf borderId="3" fillId="17" fontId="19" numFmtId="167" xfId="0" applyAlignment="1" applyBorder="1" applyFont="1" applyNumberForma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</dxfs>
  <tableStyles count="1">
    <tableStyle count="3" pivot="0" name="Dato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Distribución del Gasto por Área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'📉 Gráficos'!$Q$17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'📉 Gráficos'!$P$18:$P$19</c:f>
            </c:strRef>
          </c:cat>
          <c:val>
            <c:numRef>
              <c:f>'📉 Gráficos'!$Q$18:$Q$19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Estatus de Pagos del Proyecto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'📉 Gráficos'!$Q$2</c:f>
            </c:strRef>
          </c:tx>
          <c:dPt>
            <c:idx val="0"/>
            <c:spPr>
              <a:solidFill>
                <a:srgbClr val="117A65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'📉 Gráficos'!$P$3:$P$4</c:f>
            </c:strRef>
          </c:cat>
          <c:val>
            <c:numRef>
              <c:f>'📉 Gráficos'!$Q$3:$Q$4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Categorías de Gasto del Proyecto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Invertido</c:v>
          </c:tx>
          <c:spPr>
            <a:solidFill>
              <a:srgbClr val="1F618D"/>
            </a:solidFill>
            <a:ln cmpd="sng">
              <a:solidFill>
                <a:srgbClr val="000000"/>
              </a:solidFill>
            </a:ln>
          </c:spPr>
          <c:cat>
            <c:strRef>
              <c:f>'📈 Top 10 Gastos'!$C$6:$C$15</c:f>
            </c:strRef>
          </c:cat>
          <c:val>
            <c:numRef>
              <c:f>'📈 Top 10 Gastos'!$D$6:$D$15</c:f>
              <c:numCache/>
            </c:numRef>
          </c:val>
        </c:ser>
        <c:axId val="1887586359"/>
        <c:axId val="1024873133"/>
      </c:barChart>
      <c:catAx>
        <c:axId val="18875863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4873133"/>
      </c:catAx>
      <c:valAx>
        <c:axId val="10248731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7586359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Pagado vs Pendiente — Top 10 Categorías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Ya Pagado</c:v>
          </c:tx>
          <c:spPr>
            <a:solidFill>
              <a:srgbClr val="117A65"/>
            </a:solidFill>
            <a:ln cmpd="sng">
              <a:solidFill>
                <a:srgbClr val="000000"/>
              </a:solidFill>
            </a:ln>
          </c:spPr>
          <c:cat>
            <c:strRef>
              <c:f>'📈 Top 10 Gastos'!$C$6:$C$15</c:f>
            </c:strRef>
          </c:cat>
          <c:val>
            <c:numRef>
              <c:f>'📈 Top 10 Gastos'!$E$6:$E$15</c:f>
              <c:numCache/>
            </c:numRef>
          </c:val>
        </c:ser>
        <c:ser>
          <c:idx val="1"/>
          <c:order val="1"/>
          <c:tx>
            <c:v>Pendiente de Pago</c:v>
          </c:tx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Top 10 Gastos'!$C$6:$C$15</c:f>
            </c:strRef>
          </c:cat>
          <c:val>
            <c:numRef>
              <c:f>'📈 Top 10 Gastos'!$F$6:$F$15</c:f>
              <c:numCache/>
            </c:numRef>
          </c:val>
        </c:ser>
        <c:overlap val="100"/>
        <c:axId val="595358330"/>
        <c:axId val="46818277"/>
      </c:barChart>
      <c:catAx>
        <c:axId val="5953583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818277"/>
      </c:catAx>
      <c:valAx>
        <c:axId val="468182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5358330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Categorías con Pagos Pendientes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Pendiente</c:v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cat>
            <c:strRef>
              <c:f>'📉 Gráficos'!$Q$8:$Q$13</c:f>
            </c:strRef>
          </c:cat>
          <c:val>
            <c:numRef>
              <c:f>'📉 Gráficos'!$P$8:$P$13</c:f>
              <c:numCache/>
            </c:numRef>
          </c:val>
        </c:ser>
        <c:axId val="1036517400"/>
        <c:axId val="1100623748"/>
      </c:barChart>
      <c:catAx>
        <c:axId val="10365174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00623748"/>
      </c:catAx>
      <c:valAx>
        <c:axId val="11006237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6517400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Gastos del Proyecto (MXN)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Invertido</c:v>
          </c:tx>
          <c:spPr>
            <a:solidFill>
              <a:srgbClr val="1F618D"/>
            </a:solidFill>
            <a:ln cmpd="sng">
              <a:solidFill>
                <a:srgbClr val="000000"/>
              </a:solidFill>
            </a:ln>
          </c:spPr>
          <c:cat>
            <c:strRef>
              <c:f>'📈 Top 10 Gastos'!$C$6:$C$15</c:f>
            </c:strRef>
          </c:cat>
          <c:val>
            <c:numRef>
              <c:f>'📈 Top 10 Gastos'!$D$6:$D$15</c:f>
              <c:numCache/>
            </c:numRef>
          </c:val>
        </c:ser>
        <c:axId val="573757196"/>
        <c:axId val="580320995"/>
      </c:barChart>
      <c:catAx>
        <c:axId val="5737571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80320995"/>
      </c:catAx>
      <c:valAx>
        <c:axId val="5803209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3757196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4152900" cy="4476750"/>
    <xdr:graphicFrame>
      <xdr:nvGraphicFramePr>
        <xdr:cNvPr id="19582613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4105275" cy="4371975"/>
    <xdr:graphicFrame>
      <xdr:nvGraphicFramePr>
        <xdr:cNvPr id="202383930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31</xdr:row>
      <xdr:rowOff>76200</xdr:rowOff>
    </xdr:from>
    <xdr:ext cx="7886700" cy="4524375"/>
    <xdr:graphicFrame>
      <xdr:nvGraphicFramePr>
        <xdr:cNvPr id="133379906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57</xdr:row>
      <xdr:rowOff>0</xdr:rowOff>
    </xdr:from>
    <xdr:ext cx="7172325" cy="4657725"/>
    <xdr:graphicFrame>
      <xdr:nvGraphicFramePr>
        <xdr:cNvPr id="174200534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83</xdr:row>
      <xdr:rowOff>0</xdr:rowOff>
    </xdr:from>
    <xdr:ext cx="7115175" cy="4210050"/>
    <xdr:graphicFrame>
      <xdr:nvGraphicFramePr>
        <xdr:cNvPr id="95296233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7496175" cy="4705350"/>
    <xdr:graphicFrame>
      <xdr:nvGraphicFramePr>
        <xdr:cNvPr id="84490297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27" displayName="Table_1" name="Table_1" id="1">
  <tableColumns count="8">
    <tableColumn name="Area" id="1"/>
    <tableColumn name="Clasificacion" id="2"/>
    <tableColumn name="Fecha" id="3"/>
    <tableColumn name="Proveedor" id="4"/>
    <tableColumn name="Concepto" id="5"/>
    <tableColumn name="Importe" id="6"/>
    <tableColumn name="Pago" id="7"/>
    <tableColumn name="Pendiente" id="8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30.0"/>
    <col customWidth="1" min="4" max="4" width="3.0"/>
    <col customWidth="1" min="5" max="26" width="8.71"/>
  </cols>
  <sheetData>
    <row r="2" ht="45.75" customHeight="1">
      <c r="B2" s="1" t="s">
        <v>0</v>
      </c>
      <c r="C2" s="2"/>
    </row>
    <row r="3" ht="19.5" customHeight="1">
      <c r="B3" s="3" t="s">
        <v>1</v>
      </c>
      <c r="C3" s="2"/>
    </row>
    <row r="4" ht="9.75" customHeight="1"/>
    <row r="5" ht="19.5" customHeight="1">
      <c r="B5" s="4" t="s">
        <v>2</v>
      </c>
      <c r="C5" s="5" t="s">
        <v>3</v>
      </c>
    </row>
    <row r="6" ht="4.5" customHeight="1"/>
    <row r="7" ht="19.5" customHeight="1">
      <c r="B7" s="4" t="s">
        <v>4</v>
      </c>
      <c r="C7" s="6">
        <v>90.0</v>
      </c>
    </row>
    <row r="8" ht="4.5" customHeight="1"/>
    <row r="9" ht="19.5" customHeight="1">
      <c r="B9" s="4" t="s">
        <v>5</v>
      </c>
      <c r="C9" s="5" t="s">
        <v>6</v>
      </c>
    </row>
    <row r="10" ht="4.5" customHeight="1"/>
    <row r="12" ht="30.0" customHeight="1">
      <c r="B12" s="7" t="s">
        <v>7</v>
      </c>
      <c r="C12" s="2"/>
    </row>
    <row r="14" ht="19.5" customHeight="1">
      <c r="B14" s="8" t="s">
        <v>8</v>
      </c>
      <c r="C14" s="9"/>
    </row>
    <row r="15" ht="18.0" customHeight="1">
      <c r="B15" s="10" t="s">
        <v>9</v>
      </c>
      <c r="C15" s="11" t="s">
        <v>10</v>
      </c>
    </row>
    <row r="16" ht="18.0" customHeight="1">
      <c r="B16" s="10" t="s">
        <v>9</v>
      </c>
      <c r="C16" s="11" t="s">
        <v>11</v>
      </c>
    </row>
    <row r="18" ht="57.75" customHeight="1">
      <c r="B18" s="12" t="s">
        <v>12</v>
      </c>
      <c r="C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3:C3"/>
    <mergeCell ref="B12:C12"/>
    <mergeCell ref="B14:C14"/>
    <mergeCell ref="B18:C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0.0"/>
    <col customWidth="1" min="3" max="3" width="13.0"/>
    <col customWidth="1" min="4" max="4" width="28.0"/>
    <col customWidth="1" min="5" max="5" width="42.0"/>
    <col customWidth="1" min="6" max="8" width="14.0"/>
    <col customWidth="1" min="9" max="26" width="8.71"/>
  </cols>
  <sheetData>
    <row r="1" ht="21.75" customHeight="1">
      <c r="A1" s="13" t="s">
        <v>13</v>
      </c>
      <c r="B1" s="13" t="s">
        <v>14</v>
      </c>
      <c r="C1" s="14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J1" s="15"/>
    </row>
    <row r="2" ht="13.5" customHeight="1">
      <c r="A2" s="16" t="s">
        <v>11</v>
      </c>
      <c r="B2" s="16" t="s">
        <v>21</v>
      </c>
      <c r="C2" s="17" t="s">
        <v>22</v>
      </c>
      <c r="D2" s="16" t="s">
        <v>23</v>
      </c>
      <c r="E2" s="16" t="s">
        <v>24</v>
      </c>
      <c r="F2" s="18">
        <v>188761.59</v>
      </c>
      <c r="G2" s="18">
        <v>188761.59</v>
      </c>
      <c r="H2" s="18">
        <f t="shared" ref="H2:H274" si="1">MAX(F2-G2,0)</f>
        <v>0</v>
      </c>
      <c r="J2" s="15"/>
    </row>
    <row r="3" ht="13.5" customHeight="1">
      <c r="A3" s="16" t="s">
        <v>11</v>
      </c>
      <c r="B3" s="16" t="s">
        <v>21</v>
      </c>
      <c r="C3" s="17" t="s">
        <v>25</v>
      </c>
      <c r="D3" s="16" t="s">
        <v>23</v>
      </c>
      <c r="E3" s="16" t="s">
        <v>24</v>
      </c>
      <c r="F3" s="18">
        <v>296648.6</v>
      </c>
      <c r="G3" s="18">
        <v>296648.6</v>
      </c>
      <c r="H3" s="18">
        <f t="shared" si="1"/>
        <v>0</v>
      </c>
      <c r="J3" s="15"/>
    </row>
    <row r="4" ht="13.5" customHeight="1">
      <c r="A4" s="16" t="s">
        <v>11</v>
      </c>
      <c r="B4" s="16" t="s">
        <v>21</v>
      </c>
      <c r="C4" s="17" t="s">
        <v>26</v>
      </c>
      <c r="D4" s="16" t="s">
        <v>23</v>
      </c>
      <c r="E4" s="16" t="s">
        <v>24</v>
      </c>
      <c r="F4" s="18">
        <v>248711.93</v>
      </c>
      <c r="G4" s="18">
        <v>248711.93</v>
      </c>
      <c r="H4" s="18">
        <f t="shared" si="1"/>
        <v>0</v>
      </c>
      <c r="J4" s="15"/>
    </row>
    <row r="5" ht="13.5" customHeight="1">
      <c r="A5" s="16" t="s">
        <v>11</v>
      </c>
      <c r="B5" s="16" t="s">
        <v>21</v>
      </c>
      <c r="C5" s="17" t="s">
        <v>27</v>
      </c>
      <c r="D5" s="16" t="s">
        <v>23</v>
      </c>
      <c r="E5" s="16" t="s">
        <v>24</v>
      </c>
      <c r="F5" s="18">
        <v>277829.1</v>
      </c>
      <c r="G5" s="18">
        <v>277829.1</v>
      </c>
      <c r="H5" s="18">
        <f t="shared" si="1"/>
        <v>0</v>
      </c>
      <c r="J5" s="15"/>
    </row>
    <row r="6" ht="13.5" customHeight="1">
      <c r="A6" s="16" t="s">
        <v>10</v>
      </c>
      <c r="B6" s="16" t="s">
        <v>28</v>
      </c>
      <c r="C6" s="17" t="s">
        <v>29</v>
      </c>
      <c r="D6" s="16" t="s">
        <v>30</v>
      </c>
      <c r="E6" s="16" t="s">
        <v>28</v>
      </c>
      <c r="F6" s="18">
        <v>9543.32</v>
      </c>
      <c r="G6" s="18">
        <v>9543.32</v>
      </c>
      <c r="H6" s="18">
        <f t="shared" si="1"/>
        <v>0</v>
      </c>
      <c r="J6" s="15"/>
    </row>
    <row r="7" ht="13.5" customHeight="1">
      <c r="A7" s="16" t="s">
        <v>10</v>
      </c>
      <c r="B7" s="16" t="s">
        <v>31</v>
      </c>
      <c r="C7" s="17" t="s">
        <v>32</v>
      </c>
      <c r="D7" s="16" t="s">
        <v>30</v>
      </c>
      <c r="E7" s="16" t="s">
        <v>33</v>
      </c>
      <c r="F7" s="18">
        <v>4240.55</v>
      </c>
      <c r="G7" s="18">
        <v>4240.55</v>
      </c>
      <c r="H7" s="18">
        <f t="shared" si="1"/>
        <v>0</v>
      </c>
      <c r="J7" s="15"/>
    </row>
    <row r="8" ht="13.5" customHeight="1">
      <c r="A8" s="16" t="s">
        <v>10</v>
      </c>
      <c r="B8" s="16" t="s">
        <v>31</v>
      </c>
      <c r="C8" s="17" t="s">
        <v>34</v>
      </c>
      <c r="D8" s="16" t="s">
        <v>30</v>
      </c>
      <c r="E8" s="16" t="s">
        <v>33</v>
      </c>
      <c r="F8" s="18">
        <v>4240.55</v>
      </c>
      <c r="G8" s="18">
        <v>4240.55</v>
      </c>
      <c r="H8" s="19">
        <f t="shared" si="1"/>
        <v>0</v>
      </c>
      <c r="J8" s="15"/>
    </row>
    <row r="9" ht="13.5" customHeight="1">
      <c r="A9" s="16" t="s">
        <v>10</v>
      </c>
      <c r="B9" s="16" t="s">
        <v>31</v>
      </c>
      <c r="C9" s="17" t="s">
        <v>35</v>
      </c>
      <c r="D9" s="16" t="s">
        <v>30</v>
      </c>
      <c r="E9" s="16" t="s">
        <v>33</v>
      </c>
      <c r="F9" s="18">
        <v>4240.55</v>
      </c>
      <c r="G9" s="18">
        <v>4240.55</v>
      </c>
      <c r="H9" s="19">
        <f t="shared" si="1"/>
        <v>0</v>
      </c>
      <c r="J9" s="15"/>
    </row>
    <row r="10" ht="13.5" customHeight="1">
      <c r="A10" s="16" t="s">
        <v>10</v>
      </c>
      <c r="B10" s="16" t="s">
        <v>31</v>
      </c>
      <c r="C10" s="17" t="s">
        <v>36</v>
      </c>
      <c r="D10" s="16" t="s">
        <v>30</v>
      </c>
      <c r="E10" s="16" t="s">
        <v>33</v>
      </c>
      <c r="F10" s="18">
        <v>4240.55</v>
      </c>
      <c r="G10" s="18">
        <v>4240.55</v>
      </c>
      <c r="H10" s="19">
        <f t="shared" si="1"/>
        <v>0</v>
      </c>
      <c r="J10" s="15"/>
    </row>
    <row r="11" ht="13.5" customHeight="1">
      <c r="A11" s="16" t="s">
        <v>10</v>
      </c>
      <c r="B11" s="16" t="s">
        <v>31</v>
      </c>
      <c r="C11" s="17" t="s">
        <v>37</v>
      </c>
      <c r="D11" s="16" t="s">
        <v>30</v>
      </c>
      <c r="E11" s="16" t="s">
        <v>33</v>
      </c>
      <c r="F11" s="18">
        <v>4240.55</v>
      </c>
      <c r="G11" s="18">
        <f>+Datos!$F11</f>
        <v>4240.55</v>
      </c>
      <c r="H11" s="19">
        <f t="shared" si="1"/>
        <v>0</v>
      </c>
      <c r="J11" s="15"/>
    </row>
    <row r="12" ht="13.5" customHeight="1">
      <c r="A12" s="16" t="s">
        <v>10</v>
      </c>
      <c r="B12" s="16" t="s">
        <v>31</v>
      </c>
      <c r="C12" s="17" t="s">
        <v>38</v>
      </c>
      <c r="D12" s="16" t="s">
        <v>30</v>
      </c>
      <c r="E12" s="16" t="s">
        <v>33</v>
      </c>
      <c r="F12" s="18">
        <v>4240.55</v>
      </c>
      <c r="G12" s="18">
        <v>4240.55</v>
      </c>
      <c r="H12" s="19">
        <f t="shared" si="1"/>
        <v>0</v>
      </c>
      <c r="J12" s="15"/>
    </row>
    <row r="13" ht="13.5" customHeight="1">
      <c r="A13" s="16" t="s">
        <v>10</v>
      </c>
      <c r="B13" s="16" t="s">
        <v>31</v>
      </c>
      <c r="C13" s="17" t="s">
        <v>39</v>
      </c>
      <c r="D13" s="16" t="s">
        <v>30</v>
      </c>
      <c r="E13" s="16" t="s">
        <v>33</v>
      </c>
      <c r="F13" s="18">
        <v>4240.55</v>
      </c>
      <c r="G13" s="18">
        <v>4240.55</v>
      </c>
      <c r="H13" s="19">
        <f t="shared" si="1"/>
        <v>0</v>
      </c>
      <c r="J13" s="15"/>
    </row>
    <row r="14" ht="13.5" customHeight="1">
      <c r="A14" s="16" t="s">
        <v>10</v>
      </c>
      <c r="B14" s="16" t="s">
        <v>31</v>
      </c>
      <c r="C14" s="17" t="s">
        <v>40</v>
      </c>
      <c r="D14" s="16" t="s">
        <v>30</v>
      </c>
      <c r="E14" s="16" t="s">
        <v>33</v>
      </c>
      <c r="F14" s="18">
        <v>4240.55</v>
      </c>
      <c r="G14" s="18">
        <v>4240.55</v>
      </c>
      <c r="H14" s="19">
        <f t="shared" si="1"/>
        <v>0</v>
      </c>
      <c r="J14" s="15"/>
    </row>
    <row r="15" ht="13.5" customHeight="1">
      <c r="A15" s="16" t="s">
        <v>10</v>
      </c>
      <c r="B15" s="16" t="s">
        <v>31</v>
      </c>
      <c r="C15" s="17" t="s">
        <v>41</v>
      </c>
      <c r="D15" s="16" t="s">
        <v>30</v>
      </c>
      <c r="E15" s="16" t="s">
        <v>33</v>
      </c>
      <c r="F15" s="18">
        <v>4240.55</v>
      </c>
      <c r="G15" s="18">
        <v>4240.55</v>
      </c>
      <c r="H15" s="19">
        <f t="shared" si="1"/>
        <v>0</v>
      </c>
      <c r="J15" s="15"/>
    </row>
    <row r="16" ht="13.5" customHeight="1">
      <c r="A16" s="16" t="s">
        <v>10</v>
      </c>
      <c r="B16" s="16" t="s">
        <v>31</v>
      </c>
      <c r="C16" s="17" t="s">
        <v>42</v>
      </c>
      <c r="D16" s="16" t="s">
        <v>30</v>
      </c>
      <c r="E16" s="16" t="s">
        <v>33</v>
      </c>
      <c r="F16" s="18">
        <v>4240.55</v>
      </c>
      <c r="G16" s="18">
        <v>4240.55</v>
      </c>
      <c r="H16" s="19">
        <f t="shared" si="1"/>
        <v>0</v>
      </c>
      <c r="J16" s="15"/>
    </row>
    <row r="17" ht="13.5" customHeight="1">
      <c r="A17" s="16" t="s">
        <v>10</v>
      </c>
      <c r="B17" s="16" t="s">
        <v>31</v>
      </c>
      <c r="C17" s="17" t="s">
        <v>43</v>
      </c>
      <c r="D17" s="16" t="s">
        <v>30</v>
      </c>
      <c r="E17" s="16" t="s">
        <v>33</v>
      </c>
      <c r="F17" s="18">
        <v>4240.55</v>
      </c>
      <c r="G17" s="18">
        <v>4240.55</v>
      </c>
      <c r="H17" s="19">
        <f t="shared" si="1"/>
        <v>0</v>
      </c>
      <c r="J17" s="15"/>
    </row>
    <row r="18" ht="13.5" customHeight="1">
      <c r="A18" s="16" t="s">
        <v>10</v>
      </c>
      <c r="B18" s="16" t="s">
        <v>31</v>
      </c>
      <c r="C18" s="17" t="s">
        <v>44</v>
      </c>
      <c r="D18" s="16" t="s">
        <v>30</v>
      </c>
      <c r="E18" s="16" t="s">
        <v>33</v>
      </c>
      <c r="F18" s="18">
        <v>4240.55</v>
      </c>
      <c r="G18" s="18">
        <v>4240.55</v>
      </c>
      <c r="H18" s="18">
        <f t="shared" si="1"/>
        <v>0</v>
      </c>
      <c r="J18" s="15"/>
    </row>
    <row r="19" ht="13.5" customHeight="1">
      <c r="A19" s="16" t="s">
        <v>11</v>
      </c>
      <c r="B19" s="16" t="s">
        <v>45</v>
      </c>
      <c r="C19" s="17" t="s">
        <v>46</v>
      </c>
      <c r="D19" s="16" t="s">
        <v>47</v>
      </c>
      <c r="E19" s="16" t="s">
        <v>48</v>
      </c>
      <c r="F19" s="18">
        <v>25400.0</v>
      </c>
      <c r="G19" s="18">
        <v>25400.0</v>
      </c>
      <c r="H19" s="18">
        <f t="shared" si="1"/>
        <v>0</v>
      </c>
      <c r="J19" s="15"/>
    </row>
    <row r="20" ht="13.5" customHeight="1">
      <c r="A20" s="16" t="s">
        <v>10</v>
      </c>
      <c r="B20" s="16" t="s">
        <v>49</v>
      </c>
      <c r="C20" s="17" t="s">
        <v>50</v>
      </c>
      <c r="D20" s="16" t="s">
        <v>51</v>
      </c>
      <c r="E20" s="16" t="s">
        <v>52</v>
      </c>
      <c r="F20" s="18">
        <v>99.9</v>
      </c>
      <c r="G20" s="18">
        <v>99.9</v>
      </c>
      <c r="H20" s="18">
        <f t="shared" si="1"/>
        <v>0</v>
      </c>
      <c r="J20" s="15"/>
    </row>
    <row r="21" ht="13.5" customHeight="1">
      <c r="A21" s="16" t="s">
        <v>10</v>
      </c>
      <c r="B21" s="16" t="s">
        <v>49</v>
      </c>
      <c r="C21" s="17" t="s">
        <v>53</v>
      </c>
      <c r="D21" s="16" t="s">
        <v>51</v>
      </c>
      <c r="E21" s="16" t="s">
        <v>54</v>
      </c>
      <c r="F21" s="18">
        <v>350.09</v>
      </c>
      <c r="G21" s="18">
        <v>350.09</v>
      </c>
      <c r="H21" s="18">
        <f t="shared" si="1"/>
        <v>0</v>
      </c>
      <c r="J21" s="15"/>
    </row>
    <row r="22" ht="13.5" customHeight="1">
      <c r="A22" s="16" t="s">
        <v>11</v>
      </c>
      <c r="B22" s="16" t="s">
        <v>21</v>
      </c>
      <c r="C22" s="17" t="s">
        <v>55</v>
      </c>
      <c r="D22" s="16" t="s">
        <v>56</v>
      </c>
      <c r="E22" s="16" t="s">
        <v>24</v>
      </c>
      <c r="F22" s="18">
        <v>89203.9</v>
      </c>
      <c r="G22" s="18">
        <v>89203.9</v>
      </c>
      <c r="H22" s="18">
        <f t="shared" si="1"/>
        <v>0</v>
      </c>
      <c r="J22" s="15"/>
    </row>
    <row r="23" ht="13.5" customHeight="1">
      <c r="A23" s="20" t="s">
        <v>6</v>
      </c>
      <c r="B23" s="21" t="s">
        <v>57</v>
      </c>
      <c r="C23" s="22" t="s">
        <v>58</v>
      </c>
      <c r="D23" s="21" t="s">
        <v>59</v>
      </c>
      <c r="E23" s="21" t="s">
        <v>60</v>
      </c>
      <c r="F23" s="23">
        <v>998386.0</v>
      </c>
      <c r="G23" s="23">
        <v>798708.8</v>
      </c>
      <c r="H23" s="23">
        <f t="shared" si="1"/>
        <v>199677.2</v>
      </c>
      <c r="J23" s="15"/>
    </row>
    <row r="24" ht="13.5" customHeight="1">
      <c r="A24" s="16" t="s">
        <v>11</v>
      </c>
      <c r="B24" s="16" t="s">
        <v>21</v>
      </c>
      <c r="C24" s="17" t="s">
        <v>61</v>
      </c>
      <c r="D24" s="16" t="s">
        <v>56</v>
      </c>
      <c r="E24" s="16" t="s">
        <v>24</v>
      </c>
      <c r="F24" s="18">
        <v>99996.0</v>
      </c>
      <c r="G24" s="18">
        <v>99996.0</v>
      </c>
      <c r="H24" s="18">
        <f t="shared" si="1"/>
        <v>0</v>
      </c>
      <c r="J24" s="15"/>
    </row>
    <row r="25" ht="13.5" customHeight="1">
      <c r="A25" s="16" t="s">
        <v>11</v>
      </c>
      <c r="B25" s="16" t="s">
        <v>62</v>
      </c>
      <c r="C25" s="17" t="s">
        <v>63</v>
      </c>
      <c r="D25" s="16" t="s">
        <v>64</v>
      </c>
      <c r="E25" s="16" t="s">
        <v>65</v>
      </c>
      <c r="F25" s="18">
        <v>1160.0</v>
      </c>
      <c r="G25" s="18">
        <v>1160.0</v>
      </c>
      <c r="H25" s="18">
        <f t="shared" si="1"/>
        <v>0</v>
      </c>
      <c r="J25" s="15"/>
    </row>
    <row r="26" ht="13.5" customHeight="1">
      <c r="A26" s="16" t="s">
        <v>11</v>
      </c>
      <c r="B26" s="16" t="s">
        <v>66</v>
      </c>
      <c r="C26" s="17" t="s">
        <v>67</v>
      </c>
      <c r="D26" s="16" t="s">
        <v>64</v>
      </c>
      <c r="E26" s="16" t="s">
        <v>68</v>
      </c>
      <c r="F26" s="18">
        <v>2320.0</v>
      </c>
      <c r="G26" s="18">
        <v>2320.0</v>
      </c>
      <c r="H26" s="18">
        <f t="shared" si="1"/>
        <v>0</v>
      </c>
      <c r="J26" s="15"/>
    </row>
    <row r="27" ht="13.5" customHeight="1">
      <c r="A27" s="16" t="s">
        <v>11</v>
      </c>
      <c r="B27" s="16" t="s">
        <v>62</v>
      </c>
      <c r="C27" s="17" t="s">
        <v>69</v>
      </c>
      <c r="D27" s="16" t="s">
        <v>70</v>
      </c>
      <c r="E27" s="16" t="s">
        <v>71</v>
      </c>
      <c r="F27" s="18">
        <v>2320.0</v>
      </c>
      <c r="G27" s="18">
        <v>2320.0</v>
      </c>
      <c r="H27" s="18">
        <f t="shared" si="1"/>
        <v>0</v>
      </c>
      <c r="J27" s="15"/>
    </row>
    <row r="28" ht="13.5" customHeight="1">
      <c r="A28" s="16" t="s">
        <v>11</v>
      </c>
      <c r="B28" s="16" t="s">
        <v>72</v>
      </c>
      <c r="C28" s="17" t="s">
        <v>73</v>
      </c>
      <c r="D28" s="16" t="s">
        <v>74</v>
      </c>
      <c r="E28" s="16" t="s">
        <v>75</v>
      </c>
      <c r="F28" s="18">
        <v>11700.0</v>
      </c>
      <c r="G28" s="18">
        <v>11700.0</v>
      </c>
      <c r="H28" s="18">
        <f t="shared" si="1"/>
        <v>0</v>
      </c>
      <c r="J28" s="15"/>
    </row>
    <row r="29" ht="13.5" customHeight="1">
      <c r="A29" s="16" t="s">
        <v>11</v>
      </c>
      <c r="B29" s="16" t="s">
        <v>72</v>
      </c>
      <c r="C29" s="17" t="s">
        <v>73</v>
      </c>
      <c r="D29" s="16" t="s">
        <v>74</v>
      </c>
      <c r="E29" s="16" t="s">
        <v>75</v>
      </c>
      <c r="F29" s="18">
        <v>16770.0</v>
      </c>
      <c r="G29" s="18">
        <v>16770.0</v>
      </c>
      <c r="H29" s="18">
        <f t="shared" si="1"/>
        <v>0</v>
      </c>
      <c r="J29" s="15"/>
    </row>
    <row r="30" ht="13.5" customHeight="1">
      <c r="A30" s="16" t="s">
        <v>11</v>
      </c>
      <c r="B30" s="16" t="s">
        <v>45</v>
      </c>
      <c r="C30" s="17" t="s">
        <v>46</v>
      </c>
      <c r="D30" s="16" t="s">
        <v>74</v>
      </c>
      <c r="E30" s="16" t="s">
        <v>48</v>
      </c>
      <c r="F30" s="18">
        <v>13650.0</v>
      </c>
      <c r="G30" s="18">
        <v>13650.0</v>
      </c>
      <c r="H30" s="18">
        <f t="shared" si="1"/>
        <v>0</v>
      </c>
      <c r="J30" s="15"/>
    </row>
    <row r="31" ht="13.5" customHeight="1">
      <c r="A31" s="16" t="s">
        <v>11</v>
      </c>
      <c r="B31" s="16" t="s">
        <v>72</v>
      </c>
      <c r="C31" s="17" t="s">
        <v>76</v>
      </c>
      <c r="D31" s="16" t="s">
        <v>74</v>
      </c>
      <c r="E31" s="16" t="s">
        <v>77</v>
      </c>
      <c r="F31" s="18">
        <v>1950.0</v>
      </c>
      <c r="G31" s="18">
        <v>1950.0</v>
      </c>
      <c r="H31" s="18">
        <f t="shared" si="1"/>
        <v>0</v>
      </c>
      <c r="J31" s="15"/>
    </row>
    <row r="32" ht="13.5" customHeight="1">
      <c r="A32" s="16" t="s">
        <v>11</v>
      </c>
      <c r="B32" s="16" t="s">
        <v>72</v>
      </c>
      <c r="C32" s="17" t="s">
        <v>78</v>
      </c>
      <c r="D32" s="16" t="s">
        <v>74</v>
      </c>
      <c r="E32" s="16" t="s">
        <v>79</v>
      </c>
      <c r="F32" s="18">
        <v>15780.0</v>
      </c>
      <c r="G32" s="18">
        <v>15780.0</v>
      </c>
      <c r="H32" s="18">
        <f t="shared" si="1"/>
        <v>0</v>
      </c>
      <c r="J32" s="15"/>
    </row>
    <row r="33" ht="13.5" customHeight="1">
      <c r="A33" s="16" t="s">
        <v>11</v>
      </c>
      <c r="B33" s="16" t="s">
        <v>45</v>
      </c>
      <c r="C33" s="17" t="s">
        <v>80</v>
      </c>
      <c r="D33" s="16" t="s">
        <v>74</v>
      </c>
      <c r="E33" s="16" t="s">
        <v>81</v>
      </c>
      <c r="F33" s="18">
        <v>21060.0</v>
      </c>
      <c r="G33" s="18">
        <v>21060.0</v>
      </c>
      <c r="H33" s="18">
        <f t="shared" si="1"/>
        <v>0</v>
      </c>
      <c r="J33" s="15"/>
    </row>
    <row r="34" ht="13.5" customHeight="1">
      <c r="A34" s="16" t="s">
        <v>11</v>
      </c>
      <c r="B34" s="16" t="s">
        <v>72</v>
      </c>
      <c r="C34" s="17" t="s">
        <v>82</v>
      </c>
      <c r="D34" s="16" t="s">
        <v>74</v>
      </c>
      <c r="E34" s="16" t="s">
        <v>83</v>
      </c>
      <c r="F34" s="18">
        <v>6240.0</v>
      </c>
      <c r="G34" s="18">
        <v>6240.0</v>
      </c>
      <c r="H34" s="18">
        <f t="shared" si="1"/>
        <v>0</v>
      </c>
      <c r="J34" s="15"/>
    </row>
    <row r="35" ht="13.5" customHeight="1">
      <c r="A35" s="16" t="s">
        <v>11</v>
      </c>
      <c r="B35" s="16" t="s">
        <v>45</v>
      </c>
      <c r="C35" s="17" t="s">
        <v>84</v>
      </c>
      <c r="D35" s="16" t="s">
        <v>74</v>
      </c>
      <c r="E35" s="16" t="s">
        <v>85</v>
      </c>
      <c r="F35" s="18">
        <v>75873.79</v>
      </c>
      <c r="G35" s="18">
        <v>75873.79</v>
      </c>
      <c r="H35" s="18">
        <f t="shared" si="1"/>
        <v>0</v>
      </c>
      <c r="J35" s="15"/>
    </row>
    <row r="36" ht="13.5" customHeight="1">
      <c r="A36" s="16" t="s">
        <v>11</v>
      </c>
      <c r="B36" s="16" t="s">
        <v>45</v>
      </c>
      <c r="C36" s="17" t="s">
        <v>44</v>
      </c>
      <c r="D36" s="16" t="s">
        <v>74</v>
      </c>
      <c r="E36" s="16" t="s">
        <v>86</v>
      </c>
      <c r="F36" s="18">
        <v>25350.0</v>
      </c>
      <c r="G36" s="18">
        <v>25350.0</v>
      </c>
      <c r="H36" s="18">
        <f t="shared" si="1"/>
        <v>0</v>
      </c>
      <c r="J36" s="15"/>
    </row>
    <row r="37" ht="13.5" customHeight="1">
      <c r="A37" s="16" t="s">
        <v>11</v>
      </c>
      <c r="B37" s="16" t="s">
        <v>87</v>
      </c>
      <c r="C37" s="17" t="s">
        <v>88</v>
      </c>
      <c r="D37" s="16" t="s">
        <v>89</v>
      </c>
      <c r="E37" s="24" t="s">
        <v>90</v>
      </c>
      <c r="F37" s="18">
        <v>632.0</v>
      </c>
      <c r="G37" s="18">
        <v>632.0</v>
      </c>
      <c r="H37" s="18">
        <f t="shared" si="1"/>
        <v>0</v>
      </c>
      <c r="J37" s="15"/>
    </row>
    <row r="38" ht="13.5" customHeight="1">
      <c r="A38" s="16" t="s">
        <v>10</v>
      </c>
      <c r="B38" s="16" t="s">
        <v>91</v>
      </c>
      <c r="C38" s="17" t="s">
        <v>92</v>
      </c>
      <c r="D38" s="16" t="s">
        <v>93</v>
      </c>
      <c r="E38" s="16" t="s">
        <v>94</v>
      </c>
      <c r="F38" s="18">
        <v>314.23</v>
      </c>
      <c r="G38" s="18">
        <v>314.23</v>
      </c>
      <c r="H38" s="18">
        <f t="shared" si="1"/>
        <v>0</v>
      </c>
      <c r="J38" s="15"/>
    </row>
    <row r="39" ht="13.5" customHeight="1">
      <c r="A39" s="16" t="s">
        <v>10</v>
      </c>
      <c r="B39" s="16" t="s">
        <v>91</v>
      </c>
      <c r="C39" s="17" t="s">
        <v>95</v>
      </c>
      <c r="D39" s="16" t="s">
        <v>93</v>
      </c>
      <c r="E39" s="16" t="s">
        <v>94</v>
      </c>
      <c r="F39" s="18">
        <v>398.99</v>
      </c>
      <c r="G39" s="18">
        <v>398.99</v>
      </c>
      <c r="H39" s="18">
        <f t="shared" si="1"/>
        <v>0</v>
      </c>
      <c r="J39" s="15"/>
    </row>
    <row r="40" ht="13.5" customHeight="1">
      <c r="A40" s="16" t="s">
        <v>10</v>
      </c>
      <c r="B40" s="16" t="s">
        <v>91</v>
      </c>
      <c r="C40" s="17" t="s">
        <v>96</v>
      </c>
      <c r="D40" s="16" t="s">
        <v>93</v>
      </c>
      <c r="E40" s="16" t="s">
        <v>94</v>
      </c>
      <c r="F40" s="18">
        <v>398.99</v>
      </c>
      <c r="G40" s="18">
        <v>398.99</v>
      </c>
      <c r="H40" s="18">
        <f t="shared" si="1"/>
        <v>0</v>
      </c>
      <c r="J40" s="15"/>
    </row>
    <row r="41" ht="13.5" customHeight="1">
      <c r="A41" s="16" t="s">
        <v>10</v>
      </c>
      <c r="B41" s="16" t="s">
        <v>91</v>
      </c>
      <c r="C41" s="17" t="s">
        <v>97</v>
      </c>
      <c r="D41" s="16" t="s">
        <v>98</v>
      </c>
      <c r="E41" s="16" t="s">
        <v>94</v>
      </c>
      <c r="F41" s="18">
        <v>314.23</v>
      </c>
      <c r="G41" s="18">
        <v>314.23</v>
      </c>
      <c r="H41" s="18">
        <f t="shared" si="1"/>
        <v>0</v>
      </c>
      <c r="J41" s="15"/>
    </row>
    <row r="42" ht="13.5" customHeight="1">
      <c r="A42" s="16" t="s">
        <v>10</v>
      </c>
      <c r="B42" s="16" t="s">
        <v>91</v>
      </c>
      <c r="C42" s="17" t="s">
        <v>99</v>
      </c>
      <c r="D42" s="16" t="s">
        <v>98</v>
      </c>
      <c r="E42" s="16" t="s">
        <v>100</v>
      </c>
      <c r="F42" s="18">
        <v>314.23</v>
      </c>
      <c r="G42" s="18">
        <v>314.23</v>
      </c>
      <c r="H42" s="18">
        <f t="shared" si="1"/>
        <v>0</v>
      </c>
      <c r="J42" s="15"/>
    </row>
    <row r="43" ht="13.5" customHeight="1">
      <c r="A43" s="16" t="s">
        <v>10</v>
      </c>
      <c r="B43" s="16" t="s">
        <v>91</v>
      </c>
      <c r="C43" s="17" t="s">
        <v>101</v>
      </c>
      <c r="D43" s="16" t="s">
        <v>98</v>
      </c>
      <c r="E43" s="16" t="s">
        <v>100</v>
      </c>
      <c r="F43" s="18">
        <v>314.23</v>
      </c>
      <c r="G43" s="18">
        <v>314.23</v>
      </c>
      <c r="H43" s="18">
        <f t="shared" si="1"/>
        <v>0</v>
      </c>
      <c r="J43" s="15"/>
    </row>
    <row r="44" ht="13.5" customHeight="1">
      <c r="A44" s="16" t="s">
        <v>10</v>
      </c>
      <c r="B44" s="16" t="s">
        <v>91</v>
      </c>
      <c r="C44" s="17" t="s">
        <v>102</v>
      </c>
      <c r="D44" s="16" t="s">
        <v>98</v>
      </c>
      <c r="E44" s="16" t="s">
        <v>94</v>
      </c>
      <c r="F44" s="18">
        <v>314.23</v>
      </c>
      <c r="G44" s="18">
        <v>314.23</v>
      </c>
      <c r="H44" s="18">
        <f t="shared" si="1"/>
        <v>0</v>
      </c>
      <c r="J44" s="15"/>
    </row>
    <row r="45" ht="13.5" customHeight="1">
      <c r="A45" s="16" t="s">
        <v>10</v>
      </c>
      <c r="B45" s="16" t="s">
        <v>91</v>
      </c>
      <c r="C45" s="17" t="s">
        <v>103</v>
      </c>
      <c r="D45" s="16" t="s">
        <v>98</v>
      </c>
      <c r="E45" s="16" t="s">
        <v>94</v>
      </c>
      <c r="F45" s="18">
        <v>314.23</v>
      </c>
      <c r="G45" s="18">
        <v>314.23</v>
      </c>
      <c r="H45" s="18">
        <f t="shared" si="1"/>
        <v>0</v>
      </c>
      <c r="J45" s="15"/>
    </row>
    <row r="46" ht="13.5" customHeight="1">
      <c r="A46" s="16" t="s">
        <v>10</v>
      </c>
      <c r="B46" s="16" t="s">
        <v>91</v>
      </c>
      <c r="C46" s="17" t="s">
        <v>104</v>
      </c>
      <c r="D46" s="16" t="s">
        <v>98</v>
      </c>
      <c r="E46" s="16" t="s">
        <v>105</v>
      </c>
      <c r="F46" s="18">
        <v>314.23</v>
      </c>
      <c r="G46" s="18">
        <v>314.23</v>
      </c>
      <c r="H46" s="18">
        <f t="shared" si="1"/>
        <v>0</v>
      </c>
      <c r="J46" s="15"/>
    </row>
    <row r="47" ht="13.5" customHeight="1">
      <c r="A47" s="16" t="s">
        <v>10</v>
      </c>
      <c r="B47" s="16" t="s">
        <v>91</v>
      </c>
      <c r="C47" s="17" t="s">
        <v>106</v>
      </c>
      <c r="D47" s="16" t="s">
        <v>98</v>
      </c>
      <c r="E47" s="16" t="s">
        <v>94</v>
      </c>
      <c r="F47" s="18">
        <v>314.23</v>
      </c>
      <c r="G47" s="18">
        <v>314.23</v>
      </c>
      <c r="H47" s="18">
        <f t="shared" si="1"/>
        <v>0</v>
      </c>
      <c r="J47" s="15"/>
    </row>
    <row r="48" ht="13.5" customHeight="1">
      <c r="A48" s="16" t="s">
        <v>10</v>
      </c>
      <c r="B48" s="16" t="s">
        <v>91</v>
      </c>
      <c r="C48" s="17" t="s">
        <v>106</v>
      </c>
      <c r="D48" s="16" t="s">
        <v>98</v>
      </c>
      <c r="E48" s="16" t="s">
        <v>94</v>
      </c>
      <c r="F48" s="18">
        <v>314.23</v>
      </c>
      <c r="G48" s="18">
        <v>314.23</v>
      </c>
      <c r="H48" s="18">
        <f t="shared" si="1"/>
        <v>0</v>
      </c>
      <c r="J48" s="15"/>
    </row>
    <row r="49" ht="13.5" customHeight="1">
      <c r="A49" s="16" t="s">
        <v>10</v>
      </c>
      <c r="B49" s="16" t="s">
        <v>91</v>
      </c>
      <c r="C49" s="17" t="s">
        <v>107</v>
      </c>
      <c r="D49" s="16" t="s">
        <v>108</v>
      </c>
      <c r="E49" s="16" t="s">
        <v>109</v>
      </c>
      <c r="F49" s="18">
        <v>314.23</v>
      </c>
      <c r="G49" s="18">
        <v>314.23</v>
      </c>
      <c r="H49" s="18">
        <f t="shared" si="1"/>
        <v>0</v>
      </c>
      <c r="J49" s="15"/>
    </row>
    <row r="50" ht="13.5" customHeight="1">
      <c r="A50" s="16" t="s">
        <v>10</v>
      </c>
      <c r="B50" s="16" t="s">
        <v>91</v>
      </c>
      <c r="C50" s="17" t="s">
        <v>110</v>
      </c>
      <c r="D50" s="16" t="s">
        <v>98</v>
      </c>
      <c r="E50" s="16" t="s">
        <v>100</v>
      </c>
      <c r="F50" s="18">
        <v>314.23</v>
      </c>
      <c r="G50" s="18">
        <v>314.23</v>
      </c>
      <c r="H50" s="18">
        <f t="shared" si="1"/>
        <v>0</v>
      </c>
      <c r="J50" s="15"/>
    </row>
    <row r="51" ht="13.5" customHeight="1">
      <c r="A51" s="16" t="s">
        <v>10</v>
      </c>
      <c r="B51" s="16" t="s">
        <v>91</v>
      </c>
      <c r="C51" s="17" t="s">
        <v>110</v>
      </c>
      <c r="D51" s="16" t="s">
        <v>98</v>
      </c>
      <c r="E51" s="16" t="s">
        <v>100</v>
      </c>
      <c r="F51" s="18">
        <v>314.23</v>
      </c>
      <c r="G51" s="18">
        <v>314.23</v>
      </c>
      <c r="H51" s="18">
        <f t="shared" si="1"/>
        <v>0</v>
      </c>
      <c r="J51" s="15"/>
    </row>
    <row r="52" ht="13.5" customHeight="1">
      <c r="A52" s="16" t="s">
        <v>10</v>
      </c>
      <c r="B52" s="16" t="s">
        <v>91</v>
      </c>
      <c r="C52" s="17" t="s">
        <v>111</v>
      </c>
      <c r="D52" s="16" t="s">
        <v>98</v>
      </c>
      <c r="E52" s="16" t="s">
        <v>94</v>
      </c>
      <c r="F52" s="18">
        <v>314.23</v>
      </c>
      <c r="G52" s="18">
        <v>314.23</v>
      </c>
      <c r="H52" s="18">
        <f t="shared" si="1"/>
        <v>0</v>
      </c>
      <c r="J52" s="15"/>
    </row>
    <row r="53" ht="13.5" customHeight="1">
      <c r="A53" s="16" t="s">
        <v>10</v>
      </c>
      <c r="B53" s="16" t="s">
        <v>91</v>
      </c>
      <c r="C53" s="17" t="s">
        <v>67</v>
      </c>
      <c r="D53" s="16" t="s">
        <v>98</v>
      </c>
      <c r="E53" s="16" t="s">
        <v>94</v>
      </c>
      <c r="F53" s="18">
        <v>314.23</v>
      </c>
      <c r="G53" s="18">
        <v>314.23</v>
      </c>
      <c r="H53" s="18">
        <f t="shared" si="1"/>
        <v>0</v>
      </c>
      <c r="J53" s="15"/>
    </row>
    <row r="54" ht="13.5" customHeight="1">
      <c r="A54" s="16" t="s">
        <v>10</v>
      </c>
      <c r="B54" s="16" t="s">
        <v>91</v>
      </c>
      <c r="C54" s="17" t="s">
        <v>112</v>
      </c>
      <c r="D54" s="16" t="s">
        <v>108</v>
      </c>
      <c r="E54" s="16" t="s">
        <v>109</v>
      </c>
      <c r="F54" s="18">
        <v>314.23</v>
      </c>
      <c r="G54" s="18">
        <v>314.23</v>
      </c>
      <c r="H54" s="18">
        <f t="shared" si="1"/>
        <v>0</v>
      </c>
      <c r="J54" s="15"/>
    </row>
    <row r="55" ht="13.5" customHeight="1">
      <c r="A55" s="16" t="s">
        <v>10</v>
      </c>
      <c r="B55" s="16" t="s">
        <v>91</v>
      </c>
      <c r="C55" s="17" t="s">
        <v>112</v>
      </c>
      <c r="D55" s="16" t="s">
        <v>98</v>
      </c>
      <c r="E55" s="16" t="s">
        <v>94</v>
      </c>
      <c r="F55" s="18">
        <v>314.23</v>
      </c>
      <c r="G55" s="18">
        <v>314.23</v>
      </c>
      <c r="H55" s="18">
        <f t="shared" si="1"/>
        <v>0</v>
      </c>
      <c r="J55" s="15"/>
    </row>
    <row r="56" ht="13.5" customHeight="1">
      <c r="A56" s="16" t="s">
        <v>10</v>
      </c>
      <c r="B56" s="16" t="s">
        <v>91</v>
      </c>
      <c r="C56" s="17" t="s">
        <v>113</v>
      </c>
      <c r="D56" s="16" t="s">
        <v>98</v>
      </c>
      <c r="E56" s="16" t="s">
        <v>100</v>
      </c>
      <c r="F56" s="18">
        <v>314.23</v>
      </c>
      <c r="G56" s="18">
        <v>314.23</v>
      </c>
      <c r="H56" s="18">
        <f t="shared" si="1"/>
        <v>0</v>
      </c>
      <c r="J56" s="15"/>
    </row>
    <row r="57" ht="13.5" customHeight="1">
      <c r="A57" s="16" t="s">
        <v>10</v>
      </c>
      <c r="B57" s="16" t="s">
        <v>91</v>
      </c>
      <c r="C57" s="17" t="s">
        <v>114</v>
      </c>
      <c r="D57" s="16" t="s">
        <v>98</v>
      </c>
      <c r="E57" s="16" t="s">
        <v>100</v>
      </c>
      <c r="F57" s="18">
        <v>314.23</v>
      </c>
      <c r="G57" s="18">
        <v>314.23</v>
      </c>
      <c r="H57" s="18">
        <f t="shared" si="1"/>
        <v>0</v>
      </c>
      <c r="J57" s="15"/>
    </row>
    <row r="58" ht="13.5" customHeight="1">
      <c r="A58" s="16" t="s">
        <v>10</v>
      </c>
      <c r="B58" s="16" t="s">
        <v>91</v>
      </c>
      <c r="C58" s="17" t="s">
        <v>114</v>
      </c>
      <c r="D58" s="16" t="s">
        <v>98</v>
      </c>
      <c r="E58" s="16" t="s">
        <v>100</v>
      </c>
      <c r="F58" s="18">
        <v>314.23</v>
      </c>
      <c r="G58" s="18">
        <v>314.23</v>
      </c>
      <c r="H58" s="18">
        <f t="shared" si="1"/>
        <v>0</v>
      </c>
      <c r="J58" s="15"/>
    </row>
    <row r="59" ht="13.5" customHeight="1">
      <c r="A59" s="16" t="s">
        <v>10</v>
      </c>
      <c r="B59" s="16" t="s">
        <v>91</v>
      </c>
      <c r="C59" s="17" t="s">
        <v>73</v>
      </c>
      <c r="D59" s="16" t="s">
        <v>98</v>
      </c>
      <c r="E59" s="16" t="s">
        <v>94</v>
      </c>
      <c r="F59" s="18">
        <v>314.23</v>
      </c>
      <c r="G59" s="18">
        <v>314.23</v>
      </c>
      <c r="H59" s="18">
        <f t="shared" si="1"/>
        <v>0</v>
      </c>
      <c r="J59" s="15"/>
    </row>
    <row r="60" ht="13.5" customHeight="1">
      <c r="A60" s="16" t="s">
        <v>10</v>
      </c>
      <c r="B60" s="16" t="s">
        <v>91</v>
      </c>
      <c r="C60" s="17" t="s">
        <v>92</v>
      </c>
      <c r="D60" s="16" t="s">
        <v>98</v>
      </c>
      <c r="E60" s="16" t="s">
        <v>94</v>
      </c>
      <c r="F60" s="18">
        <v>314.23</v>
      </c>
      <c r="G60" s="18">
        <v>314.23</v>
      </c>
      <c r="H60" s="18">
        <f t="shared" si="1"/>
        <v>0</v>
      </c>
      <c r="J60" s="15"/>
    </row>
    <row r="61" ht="13.5" customHeight="1">
      <c r="A61" s="16" t="s">
        <v>10</v>
      </c>
      <c r="B61" s="16" t="s">
        <v>91</v>
      </c>
      <c r="C61" s="17" t="s">
        <v>115</v>
      </c>
      <c r="D61" s="16" t="s">
        <v>98</v>
      </c>
      <c r="E61" s="16" t="s">
        <v>116</v>
      </c>
      <c r="F61" s="18">
        <v>398.99</v>
      </c>
      <c r="G61" s="18">
        <v>398.99</v>
      </c>
      <c r="H61" s="18">
        <f t="shared" si="1"/>
        <v>0</v>
      </c>
      <c r="J61" s="15"/>
    </row>
    <row r="62" ht="13.5" customHeight="1">
      <c r="A62" s="16" t="s">
        <v>10</v>
      </c>
      <c r="B62" s="16" t="s">
        <v>91</v>
      </c>
      <c r="C62" s="17" t="s">
        <v>117</v>
      </c>
      <c r="D62" s="16" t="s">
        <v>108</v>
      </c>
      <c r="E62" s="16" t="s">
        <v>109</v>
      </c>
      <c r="F62" s="18">
        <v>398.99</v>
      </c>
      <c r="G62" s="18">
        <v>398.99</v>
      </c>
      <c r="H62" s="18">
        <f t="shared" si="1"/>
        <v>0</v>
      </c>
      <c r="J62" s="15"/>
    </row>
    <row r="63" ht="13.5" customHeight="1">
      <c r="A63" s="16" t="s">
        <v>10</v>
      </c>
      <c r="B63" s="16" t="s">
        <v>49</v>
      </c>
      <c r="C63" s="17" t="s">
        <v>118</v>
      </c>
      <c r="D63" s="16" t="s">
        <v>119</v>
      </c>
      <c r="E63" s="16" t="s">
        <v>120</v>
      </c>
      <c r="F63" s="18">
        <v>4750.0</v>
      </c>
      <c r="G63" s="18">
        <v>4750.0</v>
      </c>
      <c r="H63" s="18">
        <f t="shared" si="1"/>
        <v>0</v>
      </c>
      <c r="J63" s="15"/>
    </row>
    <row r="64" ht="13.5" customHeight="1">
      <c r="A64" s="16" t="s">
        <v>11</v>
      </c>
      <c r="B64" s="16" t="s">
        <v>62</v>
      </c>
      <c r="C64" s="17" t="s">
        <v>92</v>
      </c>
      <c r="D64" s="16" t="s">
        <v>121</v>
      </c>
      <c r="E64" s="16" t="s">
        <v>122</v>
      </c>
      <c r="F64" s="18">
        <v>41760.0</v>
      </c>
      <c r="G64" s="18">
        <v>41760.0</v>
      </c>
      <c r="H64" s="18">
        <f t="shared" si="1"/>
        <v>0</v>
      </c>
      <c r="J64" s="15"/>
    </row>
    <row r="65" ht="13.5" customHeight="1">
      <c r="A65" s="16" t="s">
        <v>11</v>
      </c>
      <c r="B65" s="16" t="s">
        <v>62</v>
      </c>
      <c r="C65" s="17" t="s">
        <v>123</v>
      </c>
      <c r="D65" s="16" t="s">
        <v>121</v>
      </c>
      <c r="E65" s="16" t="s">
        <v>124</v>
      </c>
      <c r="F65" s="18">
        <v>20880.0</v>
      </c>
      <c r="G65" s="18">
        <v>20880.0</v>
      </c>
      <c r="H65" s="18">
        <f t="shared" si="1"/>
        <v>0</v>
      </c>
      <c r="J65" s="15"/>
    </row>
    <row r="66" ht="13.5" customHeight="1">
      <c r="A66" s="16" t="s">
        <v>11</v>
      </c>
      <c r="B66" s="16" t="s">
        <v>125</v>
      </c>
      <c r="C66" s="17" t="s">
        <v>126</v>
      </c>
      <c r="D66" s="16" t="s">
        <v>127</v>
      </c>
      <c r="E66" s="16" t="s">
        <v>128</v>
      </c>
      <c r="F66" s="18">
        <v>226.2</v>
      </c>
      <c r="G66" s="18">
        <v>226.2</v>
      </c>
      <c r="H66" s="18">
        <f t="shared" si="1"/>
        <v>0</v>
      </c>
      <c r="J66" s="15"/>
    </row>
    <row r="67" ht="13.5" customHeight="1">
      <c r="A67" s="16" t="s">
        <v>11</v>
      </c>
      <c r="B67" s="16" t="s">
        <v>129</v>
      </c>
      <c r="C67" s="17" t="s">
        <v>130</v>
      </c>
      <c r="D67" s="16" t="s">
        <v>131</v>
      </c>
      <c r="E67" s="16" t="s">
        <v>132</v>
      </c>
      <c r="F67" s="18">
        <v>300000.0</v>
      </c>
      <c r="G67" s="18">
        <v>300000.0</v>
      </c>
      <c r="H67" s="18">
        <f t="shared" si="1"/>
        <v>0</v>
      </c>
      <c r="J67" s="15"/>
    </row>
    <row r="68" ht="13.5" customHeight="1">
      <c r="A68" s="16" t="s">
        <v>11</v>
      </c>
      <c r="B68" s="16" t="s">
        <v>133</v>
      </c>
      <c r="C68" s="17" t="s">
        <v>107</v>
      </c>
      <c r="D68" s="16" t="s">
        <v>134</v>
      </c>
      <c r="E68" s="16" t="s">
        <v>135</v>
      </c>
      <c r="F68" s="18">
        <v>14850.0</v>
      </c>
      <c r="G68" s="18">
        <v>14850.0</v>
      </c>
      <c r="H68" s="18">
        <f t="shared" si="1"/>
        <v>0</v>
      </c>
      <c r="J68" s="15"/>
    </row>
    <row r="69" ht="13.5" customHeight="1">
      <c r="A69" s="16" t="s">
        <v>11</v>
      </c>
      <c r="B69" s="16" t="s">
        <v>133</v>
      </c>
      <c r="C69" s="17" t="s">
        <v>136</v>
      </c>
      <c r="D69" s="16" t="s">
        <v>134</v>
      </c>
      <c r="E69" s="16" t="s">
        <v>137</v>
      </c>
      <c r="F69" s="18">
        <v>16700.0</v>
      </c>
      <c r="G69" s="18">
        <v>16700.0</v>
      </c>
      <c r="H69" s="18">
        <f t="shared" si="1"/>
        <v>0</v>
      </c>
      <c r="J69" s="15"/>
    </row>
    <row r="70" ht="13.5" customHeight="1">
      <c r="A70" s="16" t="s">
        <v>11</v>
      </c>
      <c r="B70" s="16" t="s">
        <v>133</v>
      </c>
      <c r="C70" s="17" t="s">
        <v>138</v>
      </c>
      <c r="D70" s="16" t="s">
        <v>134</v>
      </c>
      <c r="E70" s="16" t="s">
        <v>139</v>
      </c>
      <c r="F70" s="18">
        <v>600.0</v>
      </c>
      <c r="G70" s="18">
        <v>600.0</v>
      </c>
      <c r="H70" s="18">
        <f t="shared" si="1"/>
        <v>0</v>
      </c>
      <c r="J70" s="15"/>
    </row>
    <row r="71" ht="13.5" customHeight="1">
      <c r="A71" s="16" t="s">
        <v>11</v>
      </c>
      <c r="B71" s="16" t="s">
        <v>140</v>
      </c>
      <c r="C71" s="17" t="s">
        <v>141</v>
      </c>
      <c r="D71" s="16" t="s">
        <v>142</v>
      </c>
      <c r="E71" s="16" t="s">
        <v>143</v>
      </c>
      <c r="F71" s="18">
        <v>30400.0</v>
      </c>
      <c r="G71" s="18">
        <v>30400.0</v>
      </c>
      <c r="H71" s="18">
        <f t="shared" si="1"/>
        <v>0</v>
      </c>
      <c r="J71" s="15"/>
    </row>
    <row r="72" ht="13.5" customHeight="1">
      <c r="A72" s="16" t="s">
        <v>11</v>
      </c>
      <c r="B72" s="16" t="s">
        <v>140</v>
      </c>
      <c r="C72" s="17" t="s">
        <v>144</v>
      </c>
      <c r="D72" s="16" t="s">
        <v>142</v>
      </c>
      <c r="E72" s="16" t="s">
        <v>145</v>
      </c>
      <c r="F72" s="18">
        <v>20448.14</v>
      </c>
      <c r="G72" s="18">
        <v>20448.14</v>
      </c>
      <c r="H72" s="18">
        <f t="shared" si="1"/>
        <v>0</v>
      </c>
      <c r="J72" s="15"/>
    </row>
    <row r="73" ht="13.5" customHeight="1">
      <c r="A73" s="16" t="s">
        <v>11</v>
      </c>
      <c r="B73" s="16" t="s">
        <v>140</v>
      </c>
      <c r="C73" s="17" t="s">
        <v>146</v>
      </c>
      <c r="D73" s="16" t="s">
        <v>142</v>
      </c>
      <c r="E73" s="16" t="s">
        <v>147</v>
      </c>
      <c r="F73" s="18">
        <v>18740.0</v>
      </c>
      <c r="G73" s="18">
        <v>18740.0</v>
      </c>
      <c r="H73" s="18">
        <f t="shared" si="1"/>
        <v>0</v>
      </c>
      <c r="J73" s="15"/>
    </row>
    <row r="74" ht="13.5" customHeight="1">
      <c r="A74" s="16" t="s">
        <v>11</v>
      </c>
      <c r="B74" s="16" t="s">
        <v>140</v>
      </c>
      <c r="C74" s="17" t="s">
        <v>148</v>
      </c>
      <c r="D74" s="16" t="s">
        <v>142</v>
      </c>
      <c r="E74" s="16" t="s">
        <v>149</v>
      </c>
      <c r="F74" s="18">
        <v>4280.0</v>
      </c>
      <c r="G74" s="18">
        <v>4280.0</v>
      </c>
      <c r="H74" s="18">
        <f t="shared" si="1"/>
        <v>0</v>
      </c>
      <c r="J74" s="15"/>
    </row>
    <row r="75" ht="13.5" customHeight="1">
      <c r="A75" s="16" t="s">
        <v>11</v>
      </c>
      <c r="B75" s="16" t="s">
        <v>140</v>
      </c>
      <c r="C75" s="17" t="s">
        <v>104</v>
      </c>
      <c r="D75" s="16" t="s">
        <v>142</v>
      </c>
      <c r="E75" s="16" t="s">
        <v>150</v>
      </c>
      <c r="F75" s="18">
        <v>15200.0</v>
      </c>
      <c r="G75" s="18">
        <v>15200.0</v>
      </c>
      <c r="H75" s="18">
        <f t="shared" si="1"/>
        <v>0</v>
      </c>
      <c r="J75" s="15"/>
    </row>
    <row r="76" ht="13.5" customHeight="1">
      <c r="A76" s="20" t="s">
        <v>6</v>
      </c>
      <c r="B76" s="21" t="s">
        <v>57</v>
      </c>
      <c r="C76" s="22" t="s">
        <v>151</v>
      </c>
      <c r="D76" s="21" t="s">
        <v>152</v>
      </c>
      <c r="E76" s="21" t="s">
        <v>153</v>
      </c>
      <c r="F76" s="23">
        <v>733595.76</v>
      </c>
      <c r="G76" s="23">
        <v>733595.76</v>
      </c>
      <c r="H76" s="23">
        <f t="shared" si="1"/>
        <v>0</v>
      </c>
      <c r="J76" s="15"/>
    </row>
    <row r="77" ht="13.5" customHeight="1">
      <c r="A77" s="20" t="s">
        <v>6</v>
      </c>
      <c r="B77" s="21" t="s">
        <v>57</v>
      </c>
      <c r="C77" s="22" t="s">
        <v>154</v>
      </c>
      <c r="D77" s="21" t="s">
        <v>152</v>
      </c>
      <c r="E77" s="21" t="s">
        <v>155</v>
      </c>
      <c r="F77" s="23">
        <v>107476.14</v>
      </c>
      <c r="G77" s="23">
        <v>107476.14</v>
      </c>
      <c r="H77" s="23">
        <f t="shared" si="1"/>
        <v>0</v>
      </c>
      <c r="J77" s="15"/>
    </row>
    <row r="78" ht="13.5" customHeight="1">
      <c r="A78" s="16" t="s">
        <v>11</v>
      </c>
      <c r="B78" s="16" t="s">
        <v>140</v>
      </c>
      <c r="C78" s="17" t="s">
        <v>106</v>
      </c>
      <c r="D78" s="16" t="s">
        <v>142</v>
      </c>
      <c r="E78" s="16" t="s">
        <v>156</v>
      </c>
      <c r="F78" s="18">
        <v>25931.0</v>
      </c>
      <c r="G78" s="18">
        <v>25931.0</v>
      </c>
      <c r="H78" s="18">
        <f t="shared" si="1"/>
        <v>0</v>
      </c>
      <c r="J78" s="15"/>
    </row>
    <row r="79" ht="13.5" customHeight="1">
      <c r="A79" s="16" t="s">
        <v>11</v>
      </c>
      <c r="B79" s="16" t="s">
        <v>140</v>
      </c>
      <c r="C79" s="17" t="s">
        <v>157</v>
      </c>
      <c r="D79" s="16" t="s">
        <v>142</v>
      </c>
      <c r="E79" s="16" t="s">
        <v>158</v>
      </c>
      <c r="F79" s="18">
        <v>566.0</v>
      </c>
      <c r="G79" s="18">
        <v>566.0</v>
      </c>
      <c r="H79" s="18">
        <f t="shared" si="1"/>
        <v>0</v>
      </c>
      <c r="J79" s="15"/>
    </row>
    <row r="80" ht="13.5" customHeight="1">
      <c r="A80" s="16" t="s">
        <v>11</v>
      </c>
      <c r="B80" s="16" t="s">
        <v>140</v>
      </c>
      <c r="C80" s="17" t="s">
        <v>159</v>
      </c>
      <c r="D80" s="16" t="s">
        <v>142</v>
      </c>
      <c r="E80" s="24" t="s">
        <v>160</v>
      </c>
      <c r="F80" s="18">
        <v>17000.0</v>
      </c>
      <c r="G80" s="18">
        <v>17000.0</v>
      </c>
      <c r="H80" s="18">
        <f t="shared" si="1"/>
        <v>0</v>
      </c>
      <c r="J80" s="15"/>
    </row>
    <row r="81" ht="13.5" customHeight="1">
      <c r="A81" s="16" t="s">
        <v>11</v>
      </c>
      <c r="B81" s="16" t="s">
        <v>140</v>
      </c>
      <c r="C81" s="17" t="s">
        <v>161</v>
      </c>
      <c r="D81" s="16" t="s">
        <v>142</v>
      </c>
      <c r="E81" s="16" t="s">
        <v>162</v>
      </c>
      <c r="F81" s="18">
        <v>4480.0</v>
      </c>
      <c r="G81" s="18">
        <v>4480.0</v>
      </c>
      <c r="H81" s="18">
        <f t="shared" si="1"/>
        <v>0</v>
      </c>
      <c r="J81" s="15"/>
    </row>
    <row r="82" ht="13.5" customHeight="1">
      <c r="A82" s="16" t="s">
        <v>11</v>
      </c>
      <c r="B82" s="16" t="s">
        <v>140</v>
      </c>
      <c r="C82" s="17" t="s">
        <v>163</v>
      </c>
      <c r="D82" s="16" t="s">
        <v>142</v>
      </c>
      <c r="E82" s="16" t="s">
        <v>164</v>
      </c>
      <c r="F82" s="18">
        <v>7050.0</v>
      </c>
      <c r="G82" s="18">
        <v>7050.0</v>
      </c>
      <c r="H82" s="18">
        <f t="shared" si="1"/>
        <v>0</v>
      </c>
      <c r="J82" s="15"/>
    </row>
    <row r="83" ht="13.5" customHeight="1">
      <c r="A83" s="16" t="s">
        <v>11</v>
      </c>
      <c r="B83" s="16" t="s">
        <v>140</v>
      </c>
      <c r="C83" s="17" t="s">
        <v>165</v>
      </c>
      <c r="D83" s="16" t="s">
        <v>142</v>
      </c>
      <c r="E83" s="16" t="s">
        <v>162</v>
      </c>
      <c r="F83" s="18">
        <v>4480.0</v>
      </c>
      <c r="G83" s="18">
        <v>4480.0</v>
      </c>
      <c r="H83" s="18">
        <f t="shared" si="1"/>
        <v>0</v>
      </c>
      <c r="J83" s="15"/>
    </row>
    <row r="84" ht="13.5" customHeight="1">
      <c r="A84" s="16" t="s">
        <v>11</v>
      </c>
      <c r="B84" s="16" t="s">
        <v>140</v>
      </c>
      <c r="C84" s="17" t="s">
        <v>166</v>
      </c>
      <c r="D84" s="16" t="s">
        <v>142</v>
      </c>
      <c r="E84" s="16" t="s">
        <v>167</v>
      </c>
      <c r="F84" s="18">
        <v>8960.0</v>
      </c>
      <c r="G84" s="18">
        <v>8960.0</v>
      </c>
      <c r="H84" s="18">
        <f t="shared" si="1"/>
        <v>0</v>
      </c>
      <c r="J84" s="15"/>
    </row>
    <row r="85" ht="13.5" customHeight="1">
      <c r="A85" s="16" t="s">
        <v>11</v>
      </c>
      <c r="B85" s="16" t="s">
        <v>140</v>
      </c>
      <c r="C85" s="17" t="s">
        <v>166</v>
      </c>
      <c r="D85" s="16" t="s">
        <v>142</v>
      </c>
      <c r="E85" s="24" t="s">
        <v>168</v>
      </c>
      <c r="F85" s="18">
        <v>32959.04</v>
      </c>
      <c r="G85" s="18">
        <v>32959.04</v>
      </c>
      <c r="H85" s="18">
        <f t="shared" si="1"/>
        <v>0</v>
      </c>
      <c r="J85" s="15"/>
    </row>
    <row r="86" ht="13.5" customHeight="1">
      <c r="A86" s="16" t="s">
        <v>11</v>
      </c>
      <c r="B86" s="16" t="s">
        <v>140</v>
      </c>
      <c r="C86" s="17" t="s">
        <v>169</v>
      </c>
      <c r="D86" s="16" t="s">
        <v>142</v>
      </c>
      <c r="E86" s="16" t="s">
        <v>170</v>
      </c>
      <c r="F86" s="18">
        <v>15360.0</v>
      </c>
      <c r="G86" s="18">
        <v>15360.0</v>
      </c>
      <c r="H86" s="18">
        <f t="shared" si="1"/>
        <v>0</v>
      </c>
      <c r="J86" s="15"/>
    </row>
    <row r="87" ht="13.5" customHeight="1">
      <c r="A87" s="16" t="s">
        <v>11</v>
      </c>
      <c r="B87" s="16" t="s">
        <v>140</v>
      </c>
      <c r="C87" s="17" t="s">
        <v>169</v>
      </c>
      <c r="D87" s="16" t="s">
        <v>142</v>
      </c>
      <c r="E87" s="16" t="s">
        <v>171</v>
      </c>
      <c r="F87" s="18">
        <v>2756.0</v>
      </c>
      <c r="G87" s="18">
        <v>2756.0</v>
      </c>
      <c r="H87" s="18">
        <f t="shared" si="1"/>
        <v>0</v>
      </c>
      <c r="J87" s="15"/>
    </row>
    <row r="88" ht="13.5" customHeight="1">
      <c r="A88" s="16" t="s">
        <v>11</v>
      </c>
      <c r="B88" s="16" t="s">
        <v>140</v>
      </c>
      <c r="C88" s="17" t="s">
        <v>172</v>
      </c>
      <c r="D88" s="16" t="s">
        <v>142</v>
      </c>
      <c r="E88" s="24" t="s">
        <v>173</v>
      </c>
      <c r="F88" s="18">
        <v>13748.48</v>
      </c>
      <c r="G88" s="18">
        <v>13748.48</v>
      </c>
      <c r="H88" s="18">
        <f t="shared" si="1"/>
        <v>0</v>
      </c>
      <c r="J88" s="15"/>
    </row>
    <row r="89" ht="13.5" customHeight="1">
      <c r="A89" s="16" t="s">
        <v>11</v>
      </c>
      <c r="B89" s="16" t="s">
        <v>140</v>
      </c>
      <c r="C89" s="17" t="s">
        <v>174</v>
      </c>
      <c r="D89" s="16" t="s">
        <v>142</v>
      </c>
      <c r="E89" s="16" t="s">
        <v>175</v>
      </c>
      <c r="F89" s="18">
        <v>31080.0</v>
      </c>
      <c r="G89" s="18">
        <v>31080.0</v>
      </c>
      <c r="H89" s="18">
        <f t="shared" si="1"/>
        <v>0</v>
      </c>
      <c r="J89" s="15"/>
    </row>
    <row r="90" ht="13.5" customHeight="1">
      <c r="A90" s="16" t="s">
        <v>11</v>
      </c>
      <c r="B90" s="16" t="s">
        <v>140</v>
      </c>
      <c r="C90" s="17" t="s">
        <v>176</v>
      </c>
      <c r="D90" s="16" t="s">
        <v>142</v>
      </c>
      <c r="E90" s="16" t="s">
        <v>177</v>
      </c>
      <c r="F90" s="18">
        <v>45530.08</v>
      </c>
      <c r="G90" s="18">
        <v>45530.08</v>
      </c>
      <c r="H90" s="18">
        <f t="shared" si="1"/>
        <v>0</v>
      </c>
      <c r="J90" s="15"/>
    </row>
    <row r="91" ht="13.5" customHeight="1">
      <c r="A91" s="16" t="s">
        <v>11</v>
      </c>
      <c r="B91" s="16" t="s">
        <v>140</v>
      </c>
      <c r="C91" s="17" t="s">
        <v>78</v>
      </c>
      <c r="D91" s="16" t="s">
        <v>142</v>
      </c>
      <c r="E91" s="16" t="s">
        <v>178</v>
      </c>
      <c r="F91" s="18">
        <v>7616.0</v>
      </c>
      <c r="G91" s="18">
        <v>7616.0</v>
      </c>
      <c r="H91" s="18">
        <f t="shared" si="1"/>
        <v>0</v>
      </c>
      <c r="J91" s="15"/>
    </row>
    <row r="92" ht="13.5" customHeight="1">
      <c r="A92" s="16" t="s">
        <v>11</v>
      </c>
      <c r="B92" s="16" t="s">
        <v>140</v>
      </c>
      <c r="C92" s="17" t="s">
        <v>179</v>
      </c>
      <c r="D92" s="16" t="s">
        <v>142</v>
      </c>
      <c r="E92" s="16" t="s">
        <v>180</v>
      </c>
      <c r="F92" s="18">
        <v>6201.0</v>
      </c>
      <c r="G92" s="18">
        <v>6201.0</v>
      </c>
      <c r="H92" s="18">
        <f t="shared" si="1"/>
        <v>0</v>
      </c>
      <c r="J92" s="15"/>
    </row>
    <row r="93" ht="13.5" customHeight="1">
      <c r="A93" s="16" t="s">
        <v>11</v>
      </c>
      <c r="B93" s="16" t="s">
        <v>140</v>
      </c>
      <c r="C93" s="17" t="s">
        <v>179</v>
      </c>
      <c r="D93" s="16" t="s">
        <v>142</v>
      </c>
      <c r="E93" s="16" t="s">
        <v>181</v>
      </c>
      <c r="F93" s="18">
        <v>520.6</v>
      </c>
      <c r="G93" s="18">
        <v>520.6</v>
      </c>
      <c r="H93" s="18">
        <f t="shared" si="1"/>
        <v>0</v>
      </c>
      <c r="J93" s="15"/>
    </row>
    <row r="94" ht="13.5" customHeight="1">
      <c r="A94" s="16" t="s">
        <v>11</v>
      </c>
      <c r="B94" s="16" t="s">
        <v>140</v>
      </c>
      <c r="C94" s="17" t="s">
        <v>182</v>
      </c>
      <c r="D94" s="16" t="s">
        <v>142</v>
      </c>
      <c r="E94" s="16" t="s">
        <v>183</v>
      </c>
      <c r="F94" s="18">
        <v>11560.0</v>
      </c>
      <c r="G94" s="18">
        <v>11560.0</v>
      </c>
      <c r="H94" s="18">
        <f t="shared" si="1"/>
        <v>0</v>
      </c>
      <c r="J94" s="15"/>
    </row>
    <row r="95" ht="13.5" customHeight="1">
      <c r="A95" s="16" t="s">
        <v>11</v>
      </c>
      <c r="B95" s="16" t="s">
        <v>140</v>
      </c>
      <c r="C95" s="17" t="s">
        <v>182</v>
      </c>
      <c r="D95" s="16" t="s">
        <v>142</v>
      </c>
      <c r="E95" s="16" t="s">
        <v>184</v>
      </c>
      <c r="F95" s="18">
        <v>15360.0</v>
      </c>
      <c r="G95" s="18">
        <v>15360.0</v>
      </c>
      <c r="H95" s="18">
        <f t="shared" si="1"/>
        <v>0</v>
      </c>
      <c r="J95" s="15"/>
    </row>
    <row r="96" ht="13.5" customHeight="1">
      <c r="A96" s="16" t="s">
        <v>11</v>
      </c>
      <c r="B96" s="16" t="s">
        <v>140</v>
      </c>
      <c r="C96" s="17" t="s">
        <v>185</v>
      </c>
      <c r="D96" s="16" t="s">
        <v>142</v>
      </c>
      <c r="E96" s="16" t="s">
        <v>186</v>
      </c>
      <c r="F96" s="18">
        <v>12075.0</v>
      </c>
      <c r="G96" s="18">
        <v>12075.0</v>
      </c>
      <c r="H96" s="18">
        <f t="shared" si="1"/>
        <v>0</v>
      </c>
      <c r="J96" s="15"/>
    </row>
    <row r="97" ht="13.5" customHeight="1">
      <c r="A97" s="16" t="s">
        <v>11</v>
      </c>
      <c r="B97" s="16" t="s">
        <v>140</v>
      </c>
      <c r="C97" s="17" t="s">
        <v>185</v>
      </c>
      <c r="D97" s="16" t="s">
        <v>142</v>
      </c>
      <c r="E97" s="16" t="s">
        <v>187</v>
      </c>
      <c r="F97" s="18">
        <v>15275.0</v>
      </c>
      <c r="G97" s="18">
        <v>15275.0</v>
      </c>
      <c r="H97" s="18">
        <f t="shared" si="1"/>
        <v>0</v>
      </c>
      <c r="J97" s="15"/>
    </row>
    <row r="98" ht="13.5" customHeight="1">
      <c r="A98" s="16" t="s">
        <v>11</v>
      </c>
      <c r="B98" s="16" t="s">
        <v>140</v>
      </c>
      <c r="C98" s="17" t="s">
        <v>188</v>
      </c>
      <c r="D98" s="16" t="s">
        <v>142</v>
      </c>
      <c r="E98" s="16" t="s">
        <v>181</v>
      </c>
      <c r="F98" s="18">
        <v>164.4</v>
      </c>
      <c r="G98" s="18">
        <v>164.4</v>
      </c>
      <c r="H98" s="18">
        <f t="shared" si="1"/>
        <v>0</v>
      </c>
      <c r="J98" s="15"/>
    </row>
    <row r="99" ht="13.5" customHeight="1">
      <c r="A99" s="16" t="s">
        <v>11</v>
      </c>
      <c r="B99" s="16" t="s">
        <v>140</v>
      </c>
      <c r="C99" s="17" t="s">
        <v>189</v>
      </c>
      <c r="D99" s="16" t="s">
        <v>142</v>
      </c>
      <c r="E99" s="24" t="s">
        <v>190</v>
      </c>
      <c r="F99" s="18">
        <v>28056.0</v>
      </c>
      <c r="G99" s="18">
        <v>28056.0</v>
      </c>
      <c r="H99" s="18">
        <f t="shared" si="1"/>
        <v>0</v>
      </c>
      <c r="J99" s="15"/>
    </row>
    <row r="100" ht="13.5" customHeight="1">
      <c r="A100" s="16" t="s">
        <v>11</v>
      </c>
      <c r="B100" s="16" t="s">
        <v>140</v>
      </c>
      <c r="C100" s="17" t="s">
        <v>191</v>
      </c>
      <c r="D100" s="16" t="s">
        <v>142</v>
      </c>
      <c r="E100" s="24" t="s">
        <v>192</v>
      </c>
      <c r="F100" s="18">
        <v>37319.85</v>
      </c>
      <c r="G100" s="18">
        <v>37319.85</v>
      </c>
      <c r="H100" s="18">
        <f t="shared" si="1"/>
        <v>0</v>
      </c>
      <c r="J100" s="15"/>
    </row>
    <row r="101" ht="13.5" customHeight="1">
      <c r="A101" s="16" t="s">
        <v>11</v>
      </c>
      <c r="B101" s="16" t="s">
        <v>140</v>
      </c>
      <c r="C101" s="17" t="s">
        <v>193</v>
      </c>
      <c r="D101" s="16" t="s">
        <v>142</v>
      </c>
      <c r="E101" s="16" t="s">
        <v>194</v>
      </c>
      <c r="F101" s="18">
        <v>49855.76</v>
      </c>
      <c r="G101" s="18">
        <v>49855.76</v>
      </c>
      <c r="H101" s="18">
        <f t="shared" si="1"/>
        <v>0</v>
      </c>
      <c r="J101" s="15"/>
    </row>
    <row r="102" ht="13.5" customHeight="1">
      <c r="A102" s="16" t="s">
        <v>11</v>
      </c>
      <c r="B102" s="16" t="s">
        <v>140</v>
      </c>
      <c r="C102" s="17" t="s">
        <v>195</v>
      </c>
      <c r="D102" s="16" t="s">
        <v>142</v>
      </c>
      <c r="E102" s="16" t="s">
        <v>196</v>
      </c>
      <c r="F102" s="18">
        <v>30780.0</v>
      </c>
      <c r="G102" s="18">
        <v>30780.0</v>
      </c>
      <c r="H102" s="18">
        <f t="shared" si="1"/>
        <v>0</v>
      </c>
      <c r="J102" s="15"/>
    </row>
    <row r="103" ht="13.5" customHeight="1">
      <c r="A103" s="16" t="s">
        <v>11</v>
      </c>
      <c r="B103" s="16" t="s">
        <v>140</v>
      </c>
      <c r="C103" s="17" t="s">
        <v>197</v>
      </c>
      <c r="D103" s="16" t="s">
        <v>142</v>
      </c>
      <c r="E103" s="24" t="s">
        <v>198</v>
      </c>
      <c r="F103" s="18">
        <v>10806.0</v>
      </c>
      <c r="G103" s="18">
        <f>+Datos!$F103</f>
        <v>10806</v>
      </c>
      <c r="H103" s="25">
        <f t="shared" si="1"/>
        <v>0</v>
      </c>
      <c r="J103" s="15"/>
    </row>
    <row r="104" ht="13.5" customHeight="1">
      <c r="A104" s="16" t="s">
        <v>11</v>
      </c>
      <c r="B104" s="16" t="s">
        <v>66</v>
      </c>
      <c r="C104" s="17" t="s">
        <v>199</v>
      </c>
      <c r="D104" s="16" t="s">
        <v>200</v>
      </c>
      <c r="E104" s="16" t="s">
        <v>201</v>
      </c>
      <c r="F104" s="18">
        <v>100.0</v>
      </c>
      <c r="G104" s="18">
        <v>100.0</v>
      </c>
      <c r="H104" s="18">
        <f t="shared" si="1"/>
        <v>0</v>
      </c>
      <c r="J104" s="15"/>
    </row>
    <row r="105" ht="13.5" customHeight="1">
      <c r="A105" s="16" t="s">
        <v>10</v>
      </c>
      <c r="B105" s="16" t="s">
        <v>91</v>
      </c>
      <c r="C105" s="17" t="s">
        <v>101</v>
      </c>
      <c r="D105" s="16" t="s">
        <v>202</v>
      </c>
      <c r="E105" s="16" t="s">
        <v>203</v>
      </c>
      <c r="F105" s="18">
        <v>5504.2</v>
      </c>
      <c r="G105" s="18">
        <v>5504.2</v>
      </c>
      <c r="H105" s="18">
        <f t="shared" si="1"/>
        <v>0</v>
      </c>
      <c r="J105" s="15"/>
    </row>
    <row r="106" ht="13.5" customHeight="1">
      <c r="A106" s="16" t="s">
        <v>10</v>
      </c>
      <c r="B106" s="16" t="s">
        <v>91</v>
      </c>
      <c r="C106" s="17" t="s">
        <v>204</v>
      </c>
      <c r="D106" s="16" t="s">
        <v>202</v>
      </c>
      <c r="E106" s="16" t="s">
        <v>205</v>
      </c>
      <c r="F106" s="18">
        <v>5504.2</v>
      </c>
      <c r="G106" s="18">
        <v>5504.2</v>
      </c>
      <c r="H106" s="18">
        <f t="shared" si="1"/>
        <v>0</v>
      </c>
      <c r="J106" s="15"/>
    </row>
    <row r="107" ht="13.5" customHeight="1">
      <c r="A107" s="16" t="s">
        <v>10</v>
      </c>
      <c r="B107" s="16" t="s">
        <v>91</v>
      </c>
      <c r="C107" s="17" t="s">
        <v>110</v>
      </c>
      <c r="D107" s="16" t="s">
        <v>202</v>
      </c>
      <c r="E107" s="16" t="s">
        <v>206</v>
      </c>
      <c r="F107" s="18">
        <v>5504.2</v>
      </c>
      <c r="G107" s="18">
        <v>5504.2</v>
      </c>
      <c r="H107" s="18">
        <f t="shared" si="1"/>
        <v>0</v>
      </c>
      <c r="J107" s="15"/>
    </row>
    <row r="108" ht="13.5" customHeight="1">
      <c r="A108" s="16" t="s">
        <v>10</v>
      </c>
      <c r="B108" s="16" t="s">
        <v>91</v>
      </c>
      <c r="C108" s="17" t="s">
        <v>111</v>
      </c>
      <c r="D108" s="16" t="s">
        <v>202</v>
      </c>
      <c r="E108" s="16" t="s">
        <v>207</v>
      </c>
      <c r="F108" s="18">
        <v>5504.2</v>
      </c>
      <c r="G108" s="18">
        <v>5504.2</v>
      </c>
      <c r="H108" s="18">
        <f t="shared" si="1"/>
        <v>0</v>
      </c>
      <c r="J108" s="15"/>
    </row>
    <row r="109" ht="13.5" customHeight="1">
      <c r="A109" s="16" t="s">
        <v>10</v>
      </c>
      <c r="B109" s="16" t="s">
        <v>91</v>
      </c>
      <c r="C109" s="17" t="s">
        <v>112</v>
      </c>
      <c r="D109" s="16" t="s">
        <v>202</v>
      </c>
      <c r="E109" s="16" t="s">
        <v>208</v>
      </c>
      <c r="F109" s="18">
        <v>5504.2</v>
      </c>
      <c r="G109" s="18">
        <v>5504.2</v>
      </c>
      <c r="H109" s="18">
        <f t="shared" si="1"/>
        <v>0</v>
      </c>
      <c r="J109" s="15"/>
    </row>
    <row r="110" ht="13.5" customHeight="1">
      <c r="A110" s="16" t="s">
        <v>10</v>
      </c>
      <c r="B110" s="16" t="s">
        <v>91</v>
      </c>
      <c r="C110" s="17" t="s">
        <v>46</v>
      </c>
      <c r="D110" s="16" t="s">
        <v>202</v>
      </c>
      <c r="E110" s="16" t="s">
        <v>209</v>
      </c>
      <c r="F110" s="18">
        <v>5504.2</v>
      </c>
      <c r="G110" s="18">
        <v>5504.2</v>
      </c>
      <c r="H110" s="18">
        <f t="shared" si="1"/>
        <v>0</v>
      </c>
      <c r="J110" s="15"/>
    </row>
    <row r="111" ht="13.5" customHeight="1">
      <c r="A111" s="16" t="s">
        <v>11</v>
      </c>
      <c r="B111" s="16" t="s">
        <v>66</v>
      </c>
      <c r="C111" s="17" t="s">
        <v>69</v>
      </c>
      <c r="D111" s="16" t="s">
        <v>210</v>
      </c>
      <c r="E111" s="16" t="s">
        <v>211</v>
      </c>
      <c r="F111" s="18">
        <v>500.0</v>
      </c>
      <c r="G111" s="18">
        <v>500.0</v>
      </c>
      <c r="H111" s="18">
        <f t="shared" si="1"/>
        <v>0</v>
      </c>
      <c r="J111" s="15"/>
    </row>
    <row r="112" ht="13.5" customHeight="1">
      <c r="A112" s="16" t="s">
        <v>11</v>
      </c>
      <c r="B112" s="16" t="s">
        <v>66</v>
      </c>
      <c r="C112" s="17" t="s">
        <v>212</v>
      </c>
      <c r="D112" s="16" t="s">
        <v>210</v>
      </c>
      <c r="E112" s="16" t="s">
        <v>213</v>
      </c>
      <c r="F112" s="18">
        <v>200.0</v>
      </c>
      <c r="G112" s="18">
        <v>200.0</v>
      </c>
      <c r="H112" s="18">
        <f t="shared" si="1"/>
        <v>0</v>
      </c>
      <c r="J112" s="15"/>
    </row>
    <row r="113" ht="13.5" customHeight="1">
      <c r="A113" s="16" t="s">
        <v>11</v>
      </c>
      <c r="B113" s="16" t="s">
        <v>66</v>
      </c>
      <c r="C113" s="17" t="s">
        <v>182</v>
      </c>
      <c r="D113" s="16" t="s">
        <v>210</v>
      </c>
      <c r="E113" s="16" t="s">
        <v>214</v>
      </c>
      <c r="F113" s="18">
        <v>200.06</v>
      </c>
      <c r="G113" s="18">
        <v>200.06</v>
      </c>
      <c r="H113" s="18">
        <f t="shared" si="1"/>
        <v>0</v>
      </c>
      <c r="J113" s="15"/>
    </row>
    <row r="114" ht="13.5" customHeight="1">
      <c r="A114" s="16" t="s">
        <v>11</v>
      </c>
      <c r="B114" s="16" t="s">
        <v>66</v>
      </c>
      <c r="C114" s="17" t="s">
        <v>215</v>
      </c>
      <c r="D114" s="16" t="s">
        <v>210</v>
      </c>
      <c r="E114" s="16" t="s">
        <v>216</v>
      </c>
      <c r="F114" s="18">
        <v>200.0</v>
      </c>
      <c r="G114" s="18">
        <v>200.0</v>
      </c>
      <c r="H114" s="18">
        <f t="shared" si="1"/>
        <v>0</v>
      </c>
      <c r="J114" s="15"/>
    </row>
    <row r="115" ht="13.5" customHeight="1">
      <c r="A115" s="16" t="s">
        <v>11</v>
      </c>
      <c r="B115" s="16" t="s">
        <v>66</v>
      </c>
      <c r="C115" s="17" t="s">
        <v>217</v>
      </c>
      <c r="D115" s="16" t="s">
        <v>210</v>
      </c>
      <c r="E115" s="16" t="s">
        <v>216</v>
      </c>
      <c r="F115" s="18">
        <v>200.0</v>
      </c>
      <c r="G115" s="18">
        <v>200.0</v>
      </c>
      <c r="H115" s="18">
        <f t="shared" si="1"/>
        <v>0</v>
      </c>
      <c r="J115" s="15"/>
    </row>
    <row r="116" ht="13.5" customHeight="1">
      <c r="A116" s="16" t="s">
        <v>11</v>
      </c>
      <c r="B116" s="16" t="s">
        <v>66</v>
      </c>
      <c r="C116" s="17" t="s">
        <v>123</v>
      </c>
      <c r="D116" s="16" t="s">
        <v>210</v>
      </c>
      <c r="E116" s="16" t="s">
        <v>218</v>
      </c>
      <c r="F116" s="18">
        <v>200.0</v>
      </c>
      <c r="G116" s="18">
        <v>200.0</v>
      </c>
      <c r="H116" s="18">
        <f t="shared" si="1"/>
        <v>0</v>
      </c>
      <c r="J116" s="15"/>
    </row>
    <row r="117" ht="13.5" customHeight="1">
      <c r="A117" s="16" t="s">
        <v>11</v>
      </c>
      <c r="B117" s="16" t="s">
        <v>66</v>
      </c>
      <c r="C117" s="17" t="s">
        <v>219</v>
      </c>
      <c r="D117" s="16" t="s">
        <v>210</v>
      </c>
      <c r="E117" s="16" t="s">
        <v>220</v>
      </c>
      <c r="F117" s="18">
        <v>500.0</v>
      </c>
      <c r="G117" s="18">
        <v>500.0</v>
      </c>
      <c r="H117" s="18">
        <f t="shared" si="1"/>
        <v>0</v>
      </c>
      <c r="J117" s="15"/>
    </row>
    <row r="118" ht="13.5" customHeight="1">
      <c r="A118" s="16" t="s">
        <v>11</v>
      </c>
      <c r="B118" s="16" t="s">
        <v>66</v>
      </c>
      <c r="C118" s="17" t="s">
        <v>189</v>
      </c>
      <c r="D118" s="16" t="s">
        <v>210</v>
      </c>
      <c r="E118" s="16" t="s">
        <v>216</v>
      </c>
      <c r="F118" s="18">
        <v>200.0</v>
      </c>
      <c r="G118" s="18">
        <v>200.0</v>
      </c>
      <c r="H118" s="18">
        <f t="shared" si="1"/>
        <v>0</v>
      </c>
      <c r="J118" s="15"/>
    </row>
    <row r="119" ht="13.5" customHeight="1">
      <c r="A119" s="16" t="s">
        <v>11</v>
      </c>
      <c r="B119" s="16" t="s">
        <v>66</v>
      </c>
      <c r="C119" s="17" t="s">
        <v>126</v>
      </c>
      <c r="D119" s="16" t="s">
        <v>210</v>
      </c>
      <c r="E119" s="16" t="s">
        <v>221</v>
      </c>
      <c r="F119" s="18">
        <v>200.0</v>
      </c>
      <c r="G119" s="18">
        <v>200.0</v>
      </c>
      <c r="H119" s="18">
        <f t="shared" si="1"/>
        <v>0</v>
      </c>
      <c r="J119" s="15"/>
    </row>
    <row r="120" ht="13.5" customHeight="1">
      <c r="A120" s="16" t="s">
        <v>10</v>
      </c>
      <c r="B120" s="16" t="s">
        <v>222</v>
      </c>
      <c r="C120" s="17" t="s">
        <v>199</v>
      </c>
      <c r="D120" s="16" t="s">
        <v>210</v>
      </c>
      <c r="E120" s="16" t="s">
        <v>223</v>
      </c>
      <c r="F120" s="18">
        <v>500.0</v>
      </c>
      <c r="G120" s="18">
        <v>500.0</v>
      </c>
      <c r="H120" s="18">
        <f t="shared" si="1"/>
        <v>0</v>
      </c>
      <c r="J120" s="15"/>
    </row>
    <row r="121" ht="13.5" customHeight="1">
      <c r="A121" s="16" t="s">
        <v>10</v>
      </c>
      <c r="B121" s="16" t="s">
        <v>222</v>
      </c>
      <c r="C121" s="17" t="s">
        <v>199</v>
      </c>
      <c r="D121" s="16" t="s">
        <v>224</v>
      </c>
      <c r="E121" s="16" t="s">
        <v>223</v>
      </c>
      <c r="F121" s="18">
        <v>500.0</v>
      </c>
      <c r="G121" s="18">
        <v>500.0</v>
      </c>
      <c r="H121" s="18">
        <f t="shared" si="1"/>
        <v>0</v>
      </c>
      <c r="J121" s="15"/>
    </row>
    <row r="122" ht="13.5" customHeight="1">
      <c r="A122" s="16" t="s">
        <v>11</v>
      </c>
      <c r="B122" s="16" t="s">
        <v>225</v>
      </c>
      <c r="C122" s="17" t="s">
        <v>226</v>
      </c>
      <c r="D122" s="16" t="s">
        <v>227</v>
      </c>
      <c r="E122" s="16" t="s">
        <v>228</v>
      </c>
      <c r="F122" s="18">
        <v>1000000.0</v>
      </c>
      <c r="G122" s="18">
        <v>1000000.0</v>
      </c>
      <c r="H122" s="18">
        <f t="shared" si="1"/>
        <v>0</v>
      </c>
      <c r="J122" s="15"/>
    </row>
    <row r="123" ht="13.5" customHeight="1">
      <c r="A123" s="16" t="s">
        <v>11</v>
      </c>
      <c r="B123" s="16" t="s">
        <v>229</v>
      </c>
      <c r="C123" s="17" t="s">
        <v>230</v>
      </c>
      <c r="D123" s="16" t="s">
        <v>231</v>
      </c>
      <c r="E123" s="16" t="s">
        <v>232</v>
      </c>
      <c r="F123" s="18">
        <v>4640.0</v>
      </c>
      <c r="G123" s="18">
        <v>4640.0</v>
      </c>
      <c r="H123" s="18">
        <f t="shared" si="1"/>
        <v>0</v>
      </c>
      <c r="J123" s="15"/>
    </row>
    <row r="124" ht="13.5" customHeight="1">
      <c r="A124" s="16" t="s">
        <v>11</v>
      </c>
      <c r="B124" s="16" t="s">
        <v>229</v>
      </c>
      <c r="C124" s="17" t="s">
        <v>233</v>
      </c>
      <c r="D124" s="16" t="s">
        <v>234</v>
      </c>
      <c r="E124" s="16" t="s">
        <v>235</v>
      </c>
      <c r="F124" s="18">
        <v>1160.0</v>
      </c>
      <c r="G124" s="18">
        <v>1160.0</v>
      </c>
      <c r="H124" s="18">
        <f t="shared" si="1"/>
        <v>0</v>
      </c>
      <c r="J124" s="15"/>
    </row>
    <row r="125" ht="13.5" customHeight="1">
      <c r="A125" s="16" t="s">
        <v>11</v>
      </c>
      <c r="B125" s="16" t="s">
        <v>229</v>
      </c>
      <c r="C125" s="17" t="s">
        <v>236</v>
      </c>
      <c r="D125" s="16" t="s">
        <v>234</v>
      </c>
      <c r="E125" s="16" t="s">
        <v>237</v>
      </c>
      <c r="F125" s="18">
        <v>2320.0</v>
      </c>
      <c r="G125" s="18">
        <v>2320.0</v>
      </c>
      <c r="H125" s="18">
        <f t="shared" si="1"/>
        <v>0</v>
      </c>
      <c r="J125" s="15"/>
    </row>
    <row r="126" ht="13.5" customHeight="1">
      <c r="A126" s="16" t="s">
        <v>11</v>
      </c>
      <c r="B126" s="16" t="s">
        <v>229</v>
      </c>
      <c r="C126" s="17" t="s">
        <v>238</v>
      </c>
      <c r="D126" s="16" t="s">
        <v>239</v>
      </c>
      <c r="E126" s="16" t="s">
        <v>235</v>
      </c>
      <c r="F126" s="18">
        <v>1160.0</v>
      </c>
      <c r="G126" s="18">
        <v>1160.0</v>
      </c>
      <c r="H126" s="18">
        <f t="shared" si="1"/>
        <v>0</v>
      </c>
      <c r="J126" s="15"/>
    </row>
    <row r="127" ht="13.5" customHeight="1">
      <c r="A127" s="16" t="s">
        <v>11</v>
      </c>
      <c r="B127" s="16" t="s">
        <v>229</v>
      </c>
      <c r="C127" s="17" t="s">
        <v>240</v>
      </c>
      <c r="D127" s="16" t="s">
        <v>239</v>
      </c>
      <c r="E127" s="16" t="s">
        <v>241</v>
      </c>
      <c r="F127" s="18">
        <v>1740.0</v>
      </c>
      <c r="G127" s="18">
        <v>1740.0</v>
      </c>
      <c r="H127" s="18">
        <f t="shared" si="1"/>
        <v>0</v>
      </c>
      <c r="J127" s="15"/>
    </row>
    <row r="128" ht="13.5" customHeight="1">
      <c r="A128" s="16" t="s">
        <v>11</v>
      </c>
      <c r="B128" s="16" t="s">
        <v>229</v>
      </c>
      <c r="C128" s="17" t="s">
        <v>242</v>
      </c>
      <c r="D128" s="16" t="s">
        <v>239</v>
      </c>
      <c r="E128" s="16" t="s">
        <v>243</v>
      </c>
      <c r="F128" s="18">
        <v>1624.0</v>
      </c>
      <c r="G128" s="18">
        <v>1624.0</v>
      </c>
      <c r="H128" s="18">
        <f t="shared" si="1"/>
        <v>0</v>
      </c>
      <c r="J128" s="15"/>
    </row>
    <row r="129" ht="13.5" customHeight="1">
      <c r="A129" s="16" t="s">
        <v>11</v>
      </c>
      <c r="B129" s="16" t="s">
        <v>87</v>
      </c>
      <c r="C129" s="17" t="s">
        <v>172</v>
      </c>
      <c r="D129" s="16" t="s">
        <v>244</v>
      </c>
      <c r="E129" s="16" t="s">
        <v>245</v>
      </c>
      <c r="F129" s="18">
        <v>780.0</v>
      </c>
      <c r="G129" s="18">
        <v>780.0</v>
      </c>
      <c r="H129" s="18">
        <f t="shared" si="1"/>
        <v>0</v>
      </c>
      <c r="J129" s="15"/>
    </row>
    <row r="130" ht="13.5" customHeight="1">
      <c r="A130" s="16" t="s">
        <v>11</v>
      </c>
      <c r="B130" s="16" t="s">
        <v>246</v>
      </c>
      <c r="C130" s="17" t="s">
        <v>165</v>
      </c>
      <c r="D130" s="16" t="s">
        <v>247</v>
      </c>
      <c r="E130" s="24" t="s">
        <v>248</v>
      </c>
      <c r="F130" s="18">
        <v>4524.0</v>
      </c>
      <c r="G130" s="18">
        <v>4524.0</v>
      </c>
      <c r="H130" s="18">
        <f t="shared" si="1"/>
        <v>0</v>
      </c>
      <c r="J130" s="15"/>
    </row>
    <row r="131" ht="13.5" customHeight="1">
      <c r="A131" s="16" t="s">
        <v>11</v>
      </c>
      <c r="B131" s="16" t="s">
        <v>246</v>
      </c>
      <c r="C131" s="17" t="s">
        <v>141</v>
      </c>
      <c r="D131" s="16" t="s">
        <v>249</v>
      </c>
      <c r="E131" s="16" t="s">
        <v>250</v>
      </c>
      <c r="F131" s="18">
        <v>3480.0</v>
      </c>
      <c r="G131" s="18">
        <v>3480.0</v>
      </c>
      <c r="H131" s="18">
        <f t="shared" si="1"/>
        <v>0</v>
      </c>
      <c r="J131" s="15"/>
    </row>
    <row r="132" ht="13.5" customHeight="1">
      <c r="A132" s="16" t="s">
        <v>11</v>
      </c>
      <c r="B132" s="16" t="s">
        <v>246</v>
      </c>
      <c r="C132" s="17" t="s">
        <v>251</v>
      </c>
      <c r="D132" s="16" t="s">
        <v>249</v>
      </c>
      <c r="E132" s="24" t="s">
        <v>252</v>
      </c>
      <c r="F132" s="18">
        <v>1392.0</v>
      </c>
      <c r="G132" s="18">
        <v>1392.0</v>
      </c>
      <c r="H132" s="18">
        <f t="shared" si="1"/>
        <v>0</v>
      </c>
      <c r="J132" s="15"/>
    </row>
    <row r="133" ht="13.5" customHeight="1">
      <c r="A133" s="16" t="s">
        <v>11</v>
      </c>
      <c r="B133" s="16" t="s">
        <v>246</v>
      </c>
      <c r="C133" s="17" t="s">
        <v>251</v>
      </c>
      <c r="D133" s="16" t="s">
        <v>249</v>
      </c>
      <c r="E133" s="16" t="s">
        <v>253</v>
      </c>
      <c r="F133" s="18">
        <v>1392.0</v>
      </c>
      <c r="G133" s="18">
        <v>1392.0</v>
      </c>
      <c r="H133" s="18">
        <f t="shared" si="1"/>
        <v>0</v>
      </c>
      <c r="J133" s="15"/>
    </row>
    <row r="134" ht="13.5" customHeight="1">
      <c r="A134" s="16" t="s">
        <v>11</v>
      </c>
      <c r="B134" s="16" t="s">
        <v>246</v>
      </c>
      <c r="C134" s="17" t="s">
        <v>254</v>
      </c>
      <c r="D134" s="16" t="s">
        <v>249</v>
      </c>
      <c r="E134" s="16" t="s">
        <v>255</v>
      </c>
      <c r="F134" s="18">
        <v>1276.0</v>
      </c>
      <c r="G134" s="18">
        <v>1276.0</v>
      </c>
      <c r="H134" s="18">
        <f t="shared" si="1"/>
        <v>0</v>
      </c>
      <c r="J134" s="15"/>
    </row>
    <row r="135" ht="13.5" customHeight="1">
      <c r="A135" s="16" t="s">
        <v>11</v>
      </c>
      <c r="B135" s="16" t="s">
        <v>246</v>
      </c>
      <c r="C135" s="17" t="s">
        <v>254</v>
      </c>
      <c r="D135" s="16" t="s">
        <v>249</v>
      </c>
      <c r="E135" s="16" t="s">
        <v>253</v>
      </c>
      <c r="F135" s="18">
        <v>1276.0</v>
      </c>
      <c r="G135" s="18">
        <v>1276.0</v>
      </c>
      <c r="H135" s="18">
        <f t="shared" si="1"/>
        <v>0</v>
      </c>
      <c r="J135" s="15"/>
    </row>
    <row r="136" ht="13.5" customHeight="1">
      <c r="A136" s="16" t="s">
        <v>11</v>
      </c>
      <c r="B136" s="16" t="s">
        <v>246</v>
      </c>
      <c r="C136" s="17" t="s">
        <v>25</v>
      </c>
      <c r="D136" s="16" t="s">
        <v>249</v>
      </c>
      <c r="E136" s="24" t="s">
        <v>256</v>
      </c>
      <c r="F136" s="18">
        <v>1740.0</v>
      </c>
      <c r="G136" s="18">
        <v>1740.0</v>
      </c>
      <c r="H136" s="18">
        <f t="shared" si="1"/>
        <v>0</v>
      </c>
      <c r="J136" s="15"/>
    </row>
    <row r="137" ht="13.5" customHeight="1">
      <c r="A137" s="16" t="s">
        <v>11</v>
      </c>
      <c r="B137" s="16" t="s">
        <v>246</v>
      </c>
      <c r="C137" s="17" t="s">
        <v>257</v>
      </c>
      <c r="D137" s="16" t="s">
        <v>249</v>
      </c>
      <c r="E137" s="16" t="s">
        <v>253</v>
      </c>
      <c r="F137" s="18">
        <v>1740.0</v>
      </c>
      <c r="G137" s="18">
        <v>1740.0</v>
      </c>
      <c r="H137" s="18">
        <f t="shared" si="1"/>
        <v>0</v>
      </c>
      <c r="J137" s="15"/>
    </row>
    <row r="138" ht="13.5" customHeight="1">
      <c r="A138" s="16" t="s">
        <v>11</v>
      </c>
      <c r="B138" s="16" t="s">
        <v>246</v>
      </c>
      <c r="C138" s="17" t="s">
        <v>199</v>
      </c>
      <c r="D138" s="16" t="s">
        <v>249</v>
      </c>
      <c r="E138" s="24" t="s">
        <v>258</v>
      </c>
      <c r="F138" s="18">
        <v>1392.0</v>
      </c>
      <c r="G138" s="18">
        <v>1392.0</v>
      </c>
      <c r="H138" s="18">
        <f t="shared" si="1"/>
        <v>0</v>
      </c>
      <c r="J138" s="15"/>
    </row>
    <row r="139" ht="13.5" customHeight="1">
      <c r="A139" s="16" t="s">
        <v>11</v>
      </c>
      <c r="B139" s="16" t="s">
        <v>246</v>
      </c>
      <c r="C139" s="17" t="s">
        <v>199</v>
      </c>
      <c r="D139" s="16" t="s">
        <v>249</v>
      </c>
      <c r="E139" s="16" t="s">
        <v>253</v>
      </c>
      <c r="F139" s="18">
        <v>1392.0</v>
      </c>
      <c r="G139" s="18">
        <v>1392.0</v>
      </c>
      <c r="H139" s="18">
        <f t="shared" si="1"/>
        <v>0</v>
      </c>
      <c r="J139" s="15"/>
    </row>
    <row r="140" ht="13.5" customHeight="1">
      <c r="A140" s="16" t="s">
        <v>11</v>
      </c>
      <c r="B140" s="16" t="s">
        <v>246</v>
      </c>
      <c r="C140" s="17" t="s">
        <v>259</v>
      </c>
      <c r="D140" s="16" t="s">
        <v>249</v>
      </c>
      <c r="E140" s="16" t="s">
        <v>260</v>
      </c>
      <c r="F140" s="18">
        <v>1740.0</v>
      </c>
      <c r="G140" s="18">
        <v>1740.0</v>
      </c>
      <c r="H140" s="18">
        <f t="shared" si="1"/>
        <v>0</v>
      </c>
      <c r="J140" s="15"/>
    </row>
    <row r="141" ht="13.5" customHeight="1">
      <c r="A141" s="16" t="s">
        <v>11</v>
      </c>
      <c r="B141" s="16" t="s">
        <v>246</v>
      </c>
      <c r="C141" s="17" t="s">
        <v>259</v>
      </c>
      <c r="D141" s="16" t="s">
        <v>249</v>
      </c>
      <c r="E141" s="16" t="s">
        <v>261</v>
      </c>
      <c r="F141" s="18">
        <v>1740.0</v>
      </c>
      <c r="G141" s="18">
        <v>1740.0</v>
      </c>
      <c r="H141" s="18">
        <f t="shared" si="1"/>
        <v>0</v>
      </c>
      <c r="J141" s="15"/>
    </row>
    <row r="142" ht="13.5" customHeight="1">
      <c r="A142" s="16" t="s">
        <v>11</v>
      </c>
      <c r="B142" s="16" t="s">
        <v>225</v>
      </c>
      <c r="C142" s="17" t="s">
        <v>262</v>
      </c>
      <c r="D142" s="16" t="s">
        <v>263</v>
      </c>
      <c r="E142" s="16" t="s">
        <v>264</v>
      </c>
      <c r="F142" s="18">
        <v>800000.0</v>
      </c>
      <c r="G142" s="18">
        <v>800000.0</v>
      </c>
      <c r="H142" s="18">
        <f t="shared" si="1"/>
        <v>0</v>
      </c>
      <c r="J142" s="15"/>
    </row>
    <row r="143" ht="13.5" customHeight="1">
      <c r="A143" s="16" t="s">
        <v>11</v>
      </c>
      <c r="B143" s="16" t="s">
        <v>45</v>
      </c>
      <c r="C143" s="17" t="s">
        <v>46</v>
      </c>
      <c r="D143" s="16" t="s">
        <v>265</v>
      </c>
      <c r="E143" s="16" t="s">
        <v>48</v>
      </c>
      <c r="F143" s="18">
        <v>18360.0</v>
      </c>
      <c r="G143" s="18">
        <v>18360.0</v>
      </c>
      <c r="H143" s="18">
        <f t="shared" si="1"/>
        <v>0</v>
      </c>
      <c r="J143" s="15"/>
    </row>
    <row r="144" ht="13.5" customHeight="1">
      <c r="A144" s="16" t="s">
        <v>11</v>
      </c>
      <c r="B144" s="16" t="s">
        <v>266</v>
      </c>
      <c r="C144" s="17" t="s">
        <v>267</v>
      </c>
      <c r="D144" s="16" t="s">
        <v>268</v>
      </c>
      <c r="E144" s="16" t="s">
        <v>269</v>
      </c>
      <c r="F144" s="18">
        <v>356.46</v>
      </c>
      <c r="G144" s="18">
        <v>356.46</v>
      </c>
      <c r="H144" s="18">
        <f t="shared" si="1"/>
        <v>0</v>
      </c>
      <c r="J144" s="15"/>
    </row>
    <row r="145" ht="13.5" customHeight="1">
      <c r="A145" s="16" t="s">
        <v>11</v>
      </c>
      <c r="B145" s="16" t="s">
        <v>266</v>
      </c>
      <c r="C145" s="17" t="s">
        <v>270</v>
      </c>
      <c r="D145" s="16" t="s">
        <v>268</v>
      </c>
      <c r="E145" s="16" t="s">
        <v>271</v>
      </c>
      <c r="F145" s="18">
        <v>183.0</v>
      </c>
      <c r="G145" s="18">
        <v>183.0</v>
      </c>
      <c r="H145" s="18">
        <f t="shared" si="1"/>
        <v>0</v>
      </c>
      <c r="J145" s="15"/>
    </row>
    <row r="146" ht="13.5" customHeight="1">
      <c r="A146" s="16" t="s">
        <v>11</v>
      </c>
      <c r="B146" s="16" t="s">
        <v>266</v>
      </c>
      <c r="C146" s="17" t="s">
        <v>272</v>
      </c>
      <c r="D146" s="16" t="s">
        <v>268</v>
      </c>
      <c r="E146" s="24" t="s">
        <v>273</v>
      </c>
      <c r="F146" s="18">
        <v>185.91</v>
      </c>
      <c r="G146" s="18">
        <v>185.91</v>
      </c>
      <c r="H146" s="18">
        <f t="shared" si="1"/>
        <v>0</v>
      </c>
      <c r="J146" s="15"/>
    </row>
    <row r="147" ht="13.5" customHeight="1">
      <c r="A147" s="16" t="s">
        <v>11</v>
      </c>
      <c r="B147" s="16" t="s">
        <v>266</v>
      </c>
      <c r="C147" s="17" t="s">
        <v>141</v>
      </c>
      <c r="D147" s="16" t="s">
        <v>274</v>
      </c>
      <c r="E147" s="24" t="s">
        <v>275</v>
      </c>
      <c r="F147" s="18">
        <v>936.88</v>
      </c>
      <c r="G147" s="18">
        <v>936.88</v>
      </c>
      <c r="H147" s="18">
        <f t="shared" si="1"/>
        <v>0</v>
      </c>
      <c r="J147" s="15"/>
    </row>
    <row r="148" ht="13.5" customHeight="1">
      <c r="A148" s="16" t="s">
        <v>11</v>
      </c>
      <c r="B148" s="16" t="s">
        <v>266</v>
      </c>
      <c r="C148" s="17" t="s">
        <v>111</v>
      </c>
      <c r="D148" s="16" t="s">
        <v>274</v>
      </c>
      <c r="E148" s="24" t="s">
        <v>276</v>
      </c>
      <c r="F148" s="18">
        <v>1772.96</v>
      </c>
      <c r="G148" s="18">
        <v>1772.96</v>
      </c>
      <c r="H148" s="18">
        <f t="shared" si="1"/>
        <v>0</v>
      </c>
      <c r="J148" s="15"/>
    </row>
    <row r="149" ht="13.5" customHeight="1">
      <c r="A149" s="16" t="s">
        <v>11</v>
      </c>
      <c r="B149" s="16" t="s">
        <v>266</v>
      </c>
      <c r="C149" s="17" t="s">
        <v>172</v>
      </c>
      <c r="D149" s="16" t="s">
        <v>274</v>
      </c>
      <c r="E149" s="24" t="s">
        <v>277</v>
      </c>
      <c r="F149" s="18">
        <v>8054.93</v>
      </c>
      <c r="G149" s="18">
        <v>8054.93</v>
      </c>
      <c r="H149" s="18">
        <f t="shared" si="1"/>
        <v>0</v>
      </c>
      <c r="J149" s="15"/>
    </row>
    <row r="150" ht="13.5" customHeight="1">
      <c r="A150" s="16" t="s">
        <v>11</v>
      </c>
      <c r="B150" s="16" t="s">
        <v>266</v>
      </c>
      <c r="C150" s="17" t="s">
        <v>172</v>
      </c>
      <c r="D150" s="16" t="s">
        <v>274</v>
      </c>
      <c r="E150" s="16" t="s">
        <v>278</v>
      </c>
      <c r="F150" s="18">
        <v>281.69</v>
      </c>
      <c r="G150" s="18">
        <v>281.69</v>
      </c>
      <c r="H150" s="18">
        <f t="shared" si="1"/>
        <v>0</v>
      </c>
      <c r="J150" s="15"/>
    </row>
    <row r="151" ht="13.5" customHeight="1">
      <c r="A151" s="16" t="s">
        <v>11</v>
      </c>
      <c r="B151" s="16" t="s">
        <v>266</v>
      </c>
      <c r="C151" s="17" t="s">
        <v>279</v>
      </c>
      <c r="D151" s="16" t="s">
        <v>274</v>
      </c>
      <c r="E151" s="16" t="s">
        <v>280</v>
      </c>
      <c r="F151" s="18">
        <v>873605.06</v>
      </c>
      <c r="G151" s="18">
        <v>873605.06</v>
      </c>
      <c r="H151" s="18">
        <f t="shared" si="1"/>
        <v>0</v>
      </c>
      <c r="J151" s="15"/>
    </row>
    <row r="152" ht="13.5" customHeight="1">
      <c r="A152" s="16" t="s">
        <v>11</v>
      </c>
      <c r="B152" s="16" t="s">
        <v>266</v>
      </c>
      <c r="C152" s="17" t="s">
        <v>240</v>
      </c>
      <c r="D152" s="16" t="s">
        <v>274</v>
      </c>
      <c r="E152" s="24" t="s">
        <v>281</v>
      </c>
      <c r="F152" s="18">
        <v>8802.79</v>
      </c>
      <c r="G152" s="18">
        <v>8802.79</v>
      </c>
      <c r="H152" s="18">
        <f t="shared" si="1"/>
        <v>0</v>
      </c>
      <c r="J152" s="15"/>
    </row>
    <row r="153" ht="13.5" customHeight="1">
      <c r="A153" s="16" t="s">
        <v>11</v>
      </c>
      <c r="B153" s="16" t="s">
        <v>266</v>
      </c>
      <c r="C153" s="17" t="s">
        <v>240</v>
      </c>
      <c r="D153" s="16" t="s">
        <v>274</v>
      </c>
      <c r="E153" s="24" t="s">
        <v>282</v>
      </c>
      <c r="F153" s="18">
        <v>5697.97</v>
      </c>
      <c r="G153" s="18">
        <v>5697.97</v>
      </c>
      <c r="H153" s="18">
        <f t="shared" si="1"/>
        <v>0</v>
      </c>
      <c r="J153" s="15"/>
    </row>
    <row r="154" ht="13.5" customHeight="1">
      <c r="A154" s="16" t="s">
        <v>11</v>
      </c>
      <c r="B154" s="16" t="s">
        <v>266</v>
      </c>
      <c r="C154" s="17" t="s">
        <v>191</v>
      </c>
      <c r="D154" s="16" t="s">
        <v>274</v>
      </c>
      <c r="E154" s="24" t="s">
        <v>283</v>
      </c>
      <c r="F154" s="18">
        <v>14587.29</v>
      </c>
      <c r="G154" s="18">
        <v>14587.29</v>
      </c>
      <c r="H154" s="18">
        <f t="shared" si="1"/>
        <v>0</v>
      </c>
      <c r="J154" s="15"/>
    </row>
    <row r="155" ht="13.5" customHeight="1">
      <c r="A155" s="16" t="s">
        <v>11</v>
      </c>
      <c r="B155" s="16" t="s">
        <v>266</v>
      </c>
      <c r="C155" s="17" t="s">
        <v>191</v>
      </c>
      <c r="D155" s="16" t="s">
        <v>274</v>
      </c>
      <c r="E155" s="16" t="s">
        <v>284</v>
      </c>
      <c r="F155" s="18">
        <v>618.4</v>
      </c>
      <c r="G155" s="18">
        <v>618.4</v>
      </c>
      <c r="H155" s="18">
        <f t="shared" si="1"/>
        <v>0</v>
      </c>
      <c r="J155" s="15"/>
    </row>
    <row r="156" ht="13.5" customHeight="1">
      <c r="A156" s="16" t="s">
        <v>11</v>
      </c>
      <c r="B156" s="16" t="s">
        <v>266</v>
      </c>
      <c r="C156" s="17" t="s">
        <v>285</v>
      </c>
      <c r="D156" s="16" t="s">
        <v>286</v>
      </c>
      <c r="E156" s="16" t="s">
        <v>287</v>
      </c>
      <c r="F156" s="18">
        <v>13.78</v>
      </c>
      <c r="G156" s="18">
        <v>13.78</v>
      </c>
      <c r="H156" s="18">
        <f t="shared" si="1"/>
        <v>0</v>
      </c>
      <c r="J156" s="15"/>
    </row>
    <row r="157" ht="13.5" customHeight="1">
      <c r="A157" s="16" t="s">
        <v>11</v>
      </c>
      <c r="B157" s="16" t="s">
        <v>266</v>
      </c>
      <c r="C157" s="17" t="s">
        <v>288</v>
      </c>
      <c r="D157" s="16" t="s">
        <v>286</v>
      </c>
      <c r="E157" s="24" t="s">
        <v>289</v>
      </c>
      <c r="F157" s="18">
        <v>24850.51</v>
      </c>
      <c r="G157" s="18">
        <v>24850.51</v>
      </c>
      <c r="H157" s="18">
        <f t="shared" si="1"/>
        <v>0</v>
      </c>
      <c r="J157" s="15"/>
    </row>
    <row r="158" ht="13.5" customHeight="1">
      <c r="A158" s="20" t="s">
        <v>6</v>
      </c>
      <c r="B158" s="21" t="s">
        <v>225</v>
      </c>
      <c r="C158" s="22" t="s">
        <v>226</v>
      </c>
      <c r="D158" s="21" t="s">
        <v>290</v>
      </c>
      <c r="E158" s="21" t="s">
        <v>291</v>
      </c>
      <c r="F158" s="23">
        <v>600000.0</v>
      </c>
      <c r="G158" s="23">
        <v>600000.0</v>
      </c>
      <c r="H158" s="23">
        <f t="shared" si="1"/>
        <v>0</v>
      </c>
      <c r="J158" s="15"/>
    </row>
    <row r="159" ht="13.5" customHeight="1">
      <c r="A159" s="16" t="s">
        <v>11</v>
      </c>
      <c r="B159" s="16" t="s">
        <v>125</v>
      </c>
      <c r="C159" s="17" t="s">
        <v>292</v>
      </c>
      <c r="D159" s="16" t="s">
        <v>293</v>
      </c>
      <c r="E159" s="16" t="s">
        <v>294</v>
      </c>
      <c r="F159" s="18">
        <v>330.0</v>
      </c>
      <c r="G159" s="18">
        <v>330.0</v>
      </c>
      <c r="H159" s="18">
        <f t="shared" si="1"/>
        <v>0</v>
      </c>
      <c r="J159" s="15"/>
    </row>
    <row r="160" ht="13.5" customHeight="1">
      <c r="A160" s="16" t="s">
        <v>11</v>
      </c>
      <c r="B160" s="16" t="s">
        <v>125</v>
      </c>
      <c r="C160" s="17" t="s">
        <v>295</v>
      </c>
      <c r="D160" s="16" t="s">
        <v>296</v>
      </c>
      <c r="E160" s="16" t="s">
        <v>297</v>
      </c>
      <c r="F160" s="18">
        <v>396.0</v>
      </c>
      <c r="G160" s="18">
        <v>396.0</v>
      </c>
      <c r="H160" s="18">
        <f t="shared" si="1"/>
        <v>0</v>
      </c>
      <c r="J160" s="15"/>
    </row>
    <row r="161" ht="13.5" customHeight="1">
      <c r="A161" s="16" t="s">
        <v>11</v>
      </c>
      <c r="B161" s="16" t="s">
        <v>298</v>
      </c>
      <c r="C161" s="17" t="s">
        <v>84</v>
      </c>
      <c r="D161" s="16" t="s">
        <v>299</v>
      </c>
      <c r="E161" s="16" t="s">
        <v>300</v>
      </c>
      <c r="F161" s="18">
        <v>16775.0</v>
      </c>
      <c r="G161" s="18">
        <v>16775.0</v>
      </c>
      <c r="H161" s="18">
        <f t="shared" si="1"/>
        <v>0</v>
      </c>
      <c r="J161" s="15"/>
    </row>
    <row r="162" ht="13.5" customHeight="1">
      <c r="A162" s="16" t="s">
        <v>11</v>
      </c>
      <c r="B162" s="16" t="s">
        <v>298</v>
      </c>
      <c r="C162" s="17" t="s">
        <v>84</v>
      </c>
      <c r="D162" s="16" t="s">
        <v>299</v>
      </c>
      <c r="E162" s="16" t="s">
        <v>300</v>
      </c>
      <c r="F162" s="18">
        <v>17022.5</v>
      </c>
      <c r="G162" s="18">
        <v>17022.5</v>
      </c>
      <c r="H162" s="18">
        <f t="shared" si="1"/>
        <v>0</v>
      </c>
      <c r="J162" s="15"/>
    </row>
    <row r="163" ht="13.5" customHeight="1">
      <c r="A163" s="16" t="s">
        <v>11</v>
      </c>
      <c r="B163" s="16" t="s">
        <v>298</v>
      </c>
      <c r="C163" s="17" t="s">
        <v>84</v>
      </c>
      <c r="D163" s="16" t="s">
        <v>299</v>
      </c>
      <c r="E163" s="16" t="s">
        <v>300</v>
      </c>
      <c r="F163" s="18">
        <v>16879.5</v>
      </c>
      <c r="G163" s="18">
        <v>16879.5</v>
      </c>
      <c r="H163" s="18">
        <f t="shared" si="1"/>
        <v>0</v>
      </c>
      <c r="J163" s="15"/>
    </row>
    <row r="164" ht="13.5" customHeight="1">
      <c r="A164" s="16" t="s">
        <v>11</v>
      </c>
      <c r="B164" s="16" t="s">
        <v>298</v>
      </c>
      <c r="C164" s="17" t="s">
        <v>84</v>
      </c>
      <c r="D164" s="16" t="s">
        <v>299</v>
      </c>
      <c r="E164" s="16" t="s">
        <v>300</v>
      </c>
      <c r="F164" s="18">
        <v>33132.0</v>
      </c>
      <c r="G164" s="18">
        <v>33132.0</v>
      </c>
      <c r="H164" s="18">
        <f t="shared" si="1"/>
        <v>0</v>
      </c>
      <c r="J164" s="15"/>
    </row>
    <row r="165" ht="13.5" customHeight="1">
      <c r="A165" s="16" t="s">
        <v>11</v>
      </c>
      <c r="B165" s="16" t="s">
        <v>66</v>
      </c>
      <c r="C165" s="17" t="s">
        <v>301</v>
      </c>
      <c r="D165" s="16" t="s">
        <v>302</v>
      </c>
      <c r="E165" s="16" t="s">
        <v>303</v>
      </c>
      <c r="F165" s="18">
        <v>50.0</v>
      </c>
      <c r="G165" s="18">
        <v>50.0</v>
      </c>
      <c r="H165" s="18">
        <f t="shared" si="1"/>
        <v>0</v>
      </c>
      <c r="J165" s="15"/>
    </row>
    <row r="166" ht="13.5" customHeight="1">
      <c r="A166" s="16" t="s">
        <v>10</v>
      </c>
      <c r="B166" s="16" t="s">
        <v>66</v>
      </c>
      <c r="C166" s="17" t="s">
        <v>32</v>
      </c>
      <c r="D166" s="16" t="s">
        <v>304</v>
      </c>
      <c r="E166" s="16" t="s">
        <v>305</v>
      </c>
      <c r="F166" s="18">
        <v>300.0</v>
      </c>
      <c r="G166" s="18">
        <v>300.0</v>
      </c>
      <c r="H166" s="18">
        <f t="shared" si="1"/>
        <v>0</v>
      </c>
      <c r="J166" s="15"/>
    </row>
    <row r="167" ht="13.5" customHeight="1">
      <c r="A167" s="16" t="s">
        <v>10</v>
      </c>
      <c r="B167" s="16" t="s">
        <v>222</v>
      </c>
      <c r="C167" s="17" t="s">
        <v>306</v>
      </c>
      <c r="D167" s="16" t="s">
        <v>302</v>
      </c>
      <c r="E167" s="16" t="s">
        <v>307</v>
      </c>
      <c r="F167" s="18">
        <v>500.0</v>
      </c>
      <c r="G167" s="18">
        <v>500.0</v>
      </c>
      <c r="H167" s="18">
        <f t="shared" si="1"/>
        <v>0</v>
      </c>
      <c r="J167" s="15"/>
    </row>
    <row r="168" ht="13.5" customHeight="1">
      <c r="A168" s="16" t="s">
        <v>10</v>
      </c>
      <c r="B168" s="16" t="s">
        <v>222</v>
      </c>
      <c r="C168" s="17" t="s">
        <v>308</v>
      </c>
      <c r="D168" s="16" t="s">
        <v>302</v>
      </c>
      <c r="E168" s="16" t="s">
        <v>223</v>
      </c>
      <c r="F168" s="18">
        <v>300.0</v>
      </c>
      <c r="G168" s="18">
        <v>300.0</v>
      </c>
      <c r="H168" s="18">
        <f t="shared" si="1"/>
        <v>0</v>
      </c>
      <c r="J168" s="15"/>
    </row>
    <row r="169" ht="13.5" customHeight="1">
      <c r="A169" s="16" t="s">
        <v>10</v>
      </c>
      <c r="B169" s="16" t="s">
        <v>222</v>
      </c>
      <c r="C169" s="17" t="s">
        <v>84</v>
      </c>
      <c r="D169" s="16" t="s">
        <v>302</v>
      </c>
      <c r="E169" s="16" t="s">
        <v>223</v>
      </c>
      <c r="F169" s="18">
        <v>500.0</v>
      </c>
      <c r="G169" s="18">
        <v>500.0</v>
      </c>
      <c r="H169" s="18">
        <f t="shared" si="1"/>
        <v>0</v>
      </c>
      <c r="J169" s="15"/>
    </row>
    <row r="170" ht="13.5" customHeight="1">
      <c r="A170" s="16" t="s">
        <v>11</v>
      </c>
      <c r="B170" s="16" t="s">
        <v>66</v>
      </c>
      <c r="C170" s="17" t="s">
        <v>199</v>
      </c>
      <c r="D170" s="16" t="s">
        <v>302</v>
      </c>
      <c r="E170" s="16" t="s">
        <v>303</v>
      </c>
      <c r="F170" s="18">
        <v>500.0</v>
      </c>
      <c r="G170" s="18">
        <v>500.0</v>
      </c>
      <c r="H170" s="18">
        <f t="shared" si="1"/>
        <v>0</v>
      </c>
      <c r="J170" s="15"/>
    </row>
    <row r="171" ht="13.5" customHeight="1">
      <c r="A171" s="16" t="s">
        <v>10</v>
      </c>
      <c r="B171" s="16" t="s">
        <v>91</v>
      </c>
      <c r="C171" s="17" t="s">
        <v>309</v>
      </c>
      <c r="D171" s="16" t="s">
        <v>310</v>
      </c>
      <c r="E171" s="16" t="s">
        <v>100</v>
      </c>
      <c r="F171" s="18">
        <v>328.99</v>
      </c>
      <c r="G171" s="18">
        <v>328.99</v>
      </c>
      <c r="H171" s="18">
        <f t="shared" si="1"/>
        <v>0</v>
      </c>
      <c r="J171" s="15"/>
    </row>
    <row r="172" ht="13.5" customHeight="1">
      <c r="A172" s="16" t="s">
        <v>11</v>
      </c>
      <c r="B172" s="16" t="s">
        <v>87</v>
      </c>
      <c r="C172" s="17" t="s">
        <v>311</v>
      </c>
      <c r="D172" s="16" t="s">
        <v>312</v>
      </c>
      <c r="E172" s="16" t="s">
        <v>313</v>
      </c>
      <c r="F172" s="18">
        <v>968.6</v>
      </c>
      <c r="G172" s="18">
        <v>968.6</v>
      </c>
      <c r="H172" s="18">
        <f t="shared" si="1"/>
        <v>0</v>
      </c>
      <c r="J172" s="15"/>
    </row>
    <row r="173" ht="13.5" customHeight="1">
      <c r="A173" s="16" t="s">
        <v>11</v>
      </c>
      <c r="B173" s="16" t="s">
        <v>314</v>
      </c>
      <c r="C173" s="17" t="s">
        <v>182</v>
      </c>
      <c r="D173" s="16" t="s">
        <v>315</v>
      </c>
      <c r="E173" s="24" t="s">
        <v>316</v>
      </c>
      <c r="F173" s="18">
        <v>1028.69</v>
      </c>
      <c r="G173" s="18">
        <v>1028.69</v>
      </c>
      <c r="H173" s="18">
        <f t="shared" si="1"/>
        <v>0</v>
      </c>
      <c r="J173" s="15"/>
    </row>
    <row r="174" ht="13.5" customHeight="1">
      <c r="A174" s="16" t="s">
        <v>11</v>
      </c>
      <c r="B174" s="16" t="s">
        <v>87</v>
      </c>
      <c r="C174" s="17" t="s">
        <v>317</v>
      </c>
      <c r="D174" s="16" t="s">
        <v>318</v>
      </c>
      <c r="E174" s="16" t="s">
        <v>319</v>
      </c>
      <c r="F174" s="18">
        <v>307.99</v>
      </c>
      <c r="G174" s="18">
        <v>307.99</v>
      </c>
      <c r="H174" s="18">
        <f t="shared" si="1"/>
        <v>0</v>
      </c>
      <c r="J174" s="15"/>
    </row>
    <row r="175" ht="13.5" customHeight="1">
      <c r="A175" s="16" t="s">
        <v>11</v>
      </c>
      <c r="B175" s="16" t="s">
        <v>45</v>
      </c>
      <c r="C175" s="17" t="s">
        <v>46</v>
      </c>
      <c r="D175" s="16" t="s">
        <v>320</v>
      </c>
      <c r="E175" s="16" t="s">
        <v>48</v>
      </c>
      <c r="F175" s="18">
        <v>6400.0</v>
      </c>
      <c r="G175" s="18">
        <v>6400.0</v>
      </c>
      <c r="H175" s="18">
        <f t="shared" si="1"/>
        <v>0</v>
      </c>
      <c r="J175" s="15"/>
    </row>
    <row r="176" ht="13.5" customHeight="1">
      <c r="A176" s="16" t="s">
        <v>11</v>
      </c>
      <c r="B176" s="16" t="s">
        <v>133</v>
      </c>
      <c r="C176" s="17" t="s">
        <v>285</v>
      </c>
      <c r="D176" s="16" t="s">
        <v>321</v>
      </c>
      <c r="E176" s="16" t="s">
        <v>322</v>
      </c>
      <c r="F176" s="18">
        <v>230.0</v>
      </c>
      <c r="G176" s="18">
        <v>230.0</v>
      </c>
      <c r="H176" s="18">
        <f t="shared" si="1"/>
        <v>0</v>
      </c>
      <c r="J176" s="15"/>
    </row>
    <row r="177" ht="13.5" customHeight="1">
      <c r="A177" s="16" t="s">
        <v>10</v>
      </c>
      <c r="B177" s="16" t="s">
        <v>91</v>
      </c>
      <c r="C177" s="17" t="s">
        <v>130</v>
      </c>
      <c r="D177" s="16" t="s">
        <v>323</v>
      </c>
      <c r="E177" s="16" t="s">
        <v>324</v>
      </c>
      <c r="F177" s="18">
        <v>268.0</v>
      </c>
      <c r="G177" s="18">
        <v>268.0</v>
      </c>
      <c r="H177" s="18">
        <f t="shared" si="1"/>
        <v>0</v>
      </c>
      <c r="J177" s="15"/>
    </row>
    <row r="178" ht="13.5" customHeight="1">
      <c r="A178" s="16" t="s">
        <v>11</v>
      </c>
      <c r="B178" s="16" t="s">
        <v>72</v>
      </c>
      <c r="C178" s="17" t="s">
        <v>163</v>
      </c>
      <c r="D178" s="16" t="s">
        <v>325</v>
      </c>
      <c r="E178" s="16" t="s">
        <v>326</v>
      </c>
      <c r="F178" s="18">
        <v>15640.0</v>
      </c>
      <c r="G178" s="18">
        <v>15640.0</v>
      </c>
      <c r="H178" s="18">
        <f t="shared" si="1"/>
        <v>0</v>
      </c>
      <c r="J178" s="15"/>
    </row>
    <row r="179" ht="13.5" customHeight="1">
      <c r="A179" s="16" t="s">
        <v>11</v>
      </c>
      <c r="B179" s="16" t="s">
        <v>72</v>
      </c>
      <c r="C179" s="17" t="s">
        <v>179</v>
      </c>
      <c r="D179" s="16" t="s">
        <v>325</v>
      </c>
      <c r="E179" s="16" t="s">
        <v>327</v>
      </c>
      <c r="F179" s="18">
        <v>15300.0</v>
      </c>
      <c r="G179" s="18">
        <v>15300.0</v>
      </c>
      <c r="H179" s="18">
        <f t="shared" si="1"/>
        <v>0</v>
      </c>
      <c r="J179" s="15"/>
    </row>
    <row r="180" ht="13.5" customHeight="1">
      <c r="A180" s="16" t="s">
        <v>11</v>
      </c>
      <c r="B180" s="16" t="s">
        <v>72</v>
      </c>
      <c r="C180" s="17" t="s">
        <v>328</v>
      </c>
      <c r="D180" s="16" t="s">
        <v>325</v>
      </c>
      <c r="E180" s="16" t="s">
        <v>329</v>
      </c>
      <c r="F180" s="18">
        <v>15640.0</v>
      </c>
      <c r="G180" s="18">
        <v>15640.0</v>
      </c>
      <c r="H180" s="18">
        <f t="shared" si="1"/>
        <v>0</v>
      </c>
      <c r="J180" s="15"/>
    </row>
    <row r="181" ht="13.5" customHeight="1">
      <c r="A181" s="16" t="s">
        <v>11</v>
      </c>
      <c r="B181" s="16" t="s">
        <v>72</v>
      </c>
      <c r="C181" s="17" t="s">
        <v>328</v>
      </c>
      <c r="D181" s="16" t="s">
        <v>325</v>
      </c>
      <c r="E181" s="16" t="s">
        <v>329</v>
      </c>
      <c r="F181" s="18">
        <v>25560.0</v>
      </c>
      <c r="G181" s="18">
        <v>25560.0</v>
      </c>
      <c r="H181" s="18">
        <f t="shared" si="1"/>
        <v>0</v>
      </c>
      <c r="J181" s="15"/>
    </row>
    <row r="182" ht="13.5" customHeight="1">
      <c r="A182" s="16" t="s">
        <v>10</v>
      </c>
      <c r="B182" s="16" t="s">
        <v>91</v>
      </c>
      <c r="C182" s="17" t="s">
        <v>330</v>
      </c>
      <c r="D182" s="16" t="s">
        <v>331</v>
      </c>
      <c r="E182" s="16" t="s">
        <v>332</v>
      </c>
      <c r="F182" s="18">
        <v>3128.05</v>
      </c>
      <c r="G182" s="18">
        <v>3128.05</v>
      </c>
      <c r="H182" s="18">
        <f t="shared" si="1"/>
        <v>0</v>
      </c>
      <c r="J182" s="15"/>
    </row>
    <row r="183" ht="13.5" customHeight="1">
      <c r="A183" s="16" t="s">
        <v>11</v>
      </c>
      <c r="B183" s="16" t="s">
        <v>87</v>
      </c>
      <c r="C183" s="17" t="s">
        <v>272</v>
      </c>
      <c r="D183" s="16" t="s">
        <v>333</v>
      </c>
      <c r="E183" s="24" t="s">
        <v>334</v>
      </c>
      <c r="F183" s="18">
        <v>1126.31</v>
      </c>
      <c r="G183" s="18">
        <v>1126.31</v>
      </c>
      <c r="H183" s="18">
        <f t="shared" si="1"/>
        <v>0</v>
      </c>
      <c r="J183" s="15"/>
    </row>
    <row r="184" ht="13.5" customHeight="1">
      <c r="A184" s="16" t="s">
        <v>11</v>
      </c>
      <c r="B184" s="16" t="s">
        <v>335</v>
      </c>
      <c r="C184" s="17" t="s">
        <v>336</v>
      </c>
      <c r="D184" s="16" t="s">
        <v>337</v>
      </c>
      <c r="E184" s="16" t="s">
        <v>338</v>
      </c>
      <c r="F184" s="18">
        <v>13350.0</v>
      </c>
      <c r="G184" s="18">
        <v>13350.0</v>
      </c>
      <c r="H184" s="18">
        <f t="shared" si="1"/>
        <v>0</v>
      </c>
      <c r="J184" s="15"/>
    </row>
    <row r="185" ht="13.5" customHeight="1">
      <c r="A185" s="16" t="s">
        <v>11</v>
      </c>
      <c r="B185" s="16" t="s">
        <v>335</v>
      </c>
      <c r="C185" s="17" t="s">
        <v>339</v>
      </c>
      <c r="D185" s="16" t="s">
        <v>340</v>
      </c>
      <c r="E185" s="16" t="s">
        <v>341</v>
      </c>
      <c r="F185" s="18">
        <v>11640.0</v>
      </c>
      <c r="G185" s="18">
        <v>11640.0</v>
      </c>
      <c r="H185" s="18">
        <f t="shared" si="1"/>
        <v>0</v>
      </c>
      <c r="J185" s="15"/>
    </row>
    <row r="186" ht="13.5" customHeight="1">
      <c r="A186" s="16" t="s">
        <v>11</v>
      </c>
      <c r="B186" s="16" t="s">
        <v>335</v>
      </c>
      <c r="C186" s="17" t="s">
        <v>76</v>
      </c>
      <c r="D186" s="16" t="s">
        <v>342</v>
      </c>
      <c r="E186" s="16" t="s">
        <v>343</v>
      </c>
      <c r="F186" s="18">
        <v>12720.0</v>
      </c>
      <c r="G186" s="18">
        <v>12720.0</v>
      </c>
      <c r="H186" s="18">
        <f t="shared" si="1"/>
        <v>0</v>
      </c>
      <c r="J186" s="15"/>
    </row>
    <row r="187" ht="13.5" customHeight="1">
      <c r="A187" s="16" t="s">
        <v>11</v>
      </c>
      <c r="B187" s="16" t="s">
        <v>335</v>
      </c>
      <c r="C187" s="17" t="s">
        <v>73</v>
      </c>
      <c r="D187" s="16" t="s">
        <v>344</v>
      </c>
      <c r="E187" s="16" t="s">
        <v>345</v>
      </c>
      <c r="F187" s="18">
        <v>14840.0</v>
      </c>
      <c r="G187" s="18">
        <v>14840.0</v>
      </c>
      <c r="H187" s="18">
        <f t="shared" si="1"/>
        <v>0</v>
      </c>
      <c r="J187" s="15"/>
    </row>
    <row r="188" ht="13.5" customHeight="1">
      <c r="A188" s="16" t="s">
        <v>11</v>
      </c>
      <c r="B188" s="16" t="s">
        <v>335</v>
      </c>
      <c r="C188" s="17" t="s">
        <v>346</v>
      </c>
      <c r="D188" s="16" t="s">
        <v>347</v>
      </c>
      <c r="E188" s="16" t="s">
        <v>348</v>
      </c>
      <c r="F188" s="18">
        <v>16980.0</v>
      </c>
      <c r="G188" s="18">
        <v>16980.0</v>
      </c>
      <c r="H188" s="18">
        <f t="shared" si="1"/>
        <v>0</v>
      </c>
      <c r="J188" s="15"/>
    </row>
    <row r="189" ht="13.5" customHeight="1">
      <c r="A189" s="16" t="s">
        <v>11</v>
      </c>
      <c r="B189" s="16" t="s">
        <v>335</v>
      </c>
      <c r="C189" s="17" t="s">
        <v>82</v>
      </c>
      <c r="D189" s="16" t="s">
        <v>349</v>
      </c>
      <c r="E189" s="16" t="s">
        <v>350</v>
      </c>
      <c r="F189" s="18">
        <v>17780.0</v>
      </c>
      <c r="G189" s="18">
        <v>17780.0</v>
      </c>
      <c r="H189" s="18">
        <f t="shared" si="1"/>
        <v>0</v>
      </c>
      <c r="J189" s="15"/>
    </row>
    <row r="190" ht="13.5" customHeight="1">
      <c r="A190" s="16" t="s">
        <v>11</v>
      </c>
      <c r="B190" s="16" t="s">
        <v>335</v>
      </c>
      <c r="C190" s="17" t="s">
        <v>78</v>
      </c>
      <c r="D190" s="16" t="s">
        <v>351</v>
      </c>
      <c r="E190" s="16" t="s">
        <v>352</v>
      </c>
      <c r="F190" s="18">
        <v>24574.06</v>
      </c>
      <c r="G190" s="18">
        <v>24574.06</v>
      </c>
      <c r="H190" s="18">
        <f t="shared" si="1"/>
        <v>0</v>
      </c>
      <c r="J190" s="15"/>
    </row>
    <row r="191" ht="13.5" customHeight="1">
      <c r="A191" s="16" t="s">
        <v>11</v>
      </c>
      <c r="B191" s="16" t="s">
        <v>335</v>
      </c>
      <c r="C191" s="17" t="s">
        <v>46</v>
      </c>
      <c r="D191" s="16" t="s">
        <v>353</v>
      </c>
      <c r="E191" s="16" t="s">
        <v>354</v>
      </c>
      <c r="F191" s="18">
        <v>28560.0</v>
      </c>
      <c r="G191" s="18">
        <v>28560.0</v>
      </c>
      <c r="H191" s="18">
        <f t="shared" si="1"/>
        <v>0</v>
      </c>
      <c r="J191" s="15"/>
    </row>
    <row r="192" ht="13.5" customHeight="1">
      <c r="A192" s="16" t="s">
        <v>11</v>
      </c>
      <c r="B192" s="16" t="s">
        <v>335</v>
      </c>
      <c r="C192" s="17" t="s">
        <v>44</v>
      </c>
      <c r="D192" s="16" t="s">
        <v>355</v>
      </c>
      <c r="E192" s="16" t="s">
        <v>356</v>
      </c>
      <c r="F192" s="18">
        <v>32920.0</v>
      </c>
      <c r="G192" s="18">
        <v>32920.0</v>
      </c>
      <c r="H192" s="18">
        <f t="shared" si="1"/>
        <v>0</v>
      </c>
      <c r="J192" s="15"/>
    </row>
    <row r="193" ht="13.5" customHeight="1">
      <c r="A193" s="16" t="s">
        <v>11</v>
      </c>
      <c r="B193" s="16" t="s">
        <v>335</v>
      </c>
      <c r="C193" s="17" t="s">
        <v>84</v>
      </c>
      <c r="D193" s="16" t="s">
        <v>357</v>
      </c>
      <c r="E193" s="16" t="s">
        <v>358</v>
      </c>
      <c r="F193" s="18">
        <v>25020.0</v>
      </c>
      <c r="G193" s="18">
        <v>25020.0</v>
      </c>
      <c r="H193" s="18">
        <f t="shared" si="1"/>
        <v>0</v>
      </c>
      <c r="J193" s="15"/>
    </row>
    <row r="194" ht="13.5" customHeight="1">
      <c r="A194" s="16" t="s">
        <v>11</v>
      </c>
      <c r="B194" s="16" t="s">
        <v>335</v>
      </c>
      <c r="C194" s="17" t="s">
        <v>80</v>
      </c>
      <c r="D194" s="16" t="s">
        <v>359</v>
      </c>
      <c r="E194" s="16" t="s">
        <v>360</v>
      </c>
      <c r="F194" s="18">
        <v>20330.0</v>
      </c>
      <c r="G194" s="18">
        <v>20330.0</v>
      </c>
      <c r="H194" s="18">
        <f t="shared" si="1"/>
        <v>0</v>
      </c>
      <c r="J194" s="15"/>
    </row>
    <row r="195" ht="13.5" customHeight="1">
      <c r="A195" s="16" t="s">
        <v>11</v>
      </c>
      <c r="B195" s="16" t="s">
        <v>335</v>
      </c>
      <c r="C195" s="17" t="s">
        <v>361</v>
      </c>
      <c r="D195" s="16" t="s">
        <v>362</v>
      </c>
      <c r="E195" s="16" t="s">
        <v>363</v>
      </c>
      <c r="F195" s="18">
        <v>17890.0</v>
      </c>
      <c r="G195" s="18">
        <v>17890.0</v>
      </c>
      <c r="H195" s="18">
        <f t="shared" si="1"/>
        <v>0</v>
      </c>
      <c r="J195" s="15"/>
    </row>
    <row r="196" ht="13.5" customHeight="1">
      <c r="A196" s="16" t="s">
        <v>11</v>
      </c>
      <c r="B196" s="16" t="s">
        <v>335</v>
      </c>
      <c r="C196" s="17" t="s">
        <v>364</v>
      </c>
      <c r="D196" s="16" t="s">
        <v>365</v>
      </c>
      <c r="E196" s="16" t="s">
        <v>366</v>
      </c>
      <c r="F196" s="18">
        <v>30930.0</v>
      </c>
      <c r="G196" s="18">
        <v>30930.0</v>
      </c>
      <c r="H196" s="18">
        <f t="shared" si="1"/>
        <v>0</v>
      </c>
      <c r="J196" s="15"/>
    </row>
    <row r="197" ht="13.5" customHeight="1">
      <c r="A197" s="16" t="s">
        <v>11</v>
      </c>
      <c r="B197" s="16" t="s">
        <v>335</v>
      </c>
      <c r="C197" s="17" t="s">
        <v>367</v>
      </c>
      <c r="D197" s="16" t="s">
        <v>368</v>
      </c>
      <c r="E197" s="16" t="s">
        <v>369</v>
      </c>
      <c r="F197" s="18">
        <v>20440.0</v>
      </c>
      <c r="G197" s="18">
        <v>20440.0</v>
      </c>
      <c r="H197" s="18">
        <f t="shared" si="1"/>
        <v>0</v>
      </c>
      <c r="J197" s="15"/>
    </row>
    <row r="198" ht="13.5" customHeight="1">
      <c r="A198" s="16" t="s">
        <v>11</v>
      </c>
      <c r="B198" s="16" t="s">
        <v>335</v>
      </c>
      <c r="C198" s="17" t="s">
        <v>370</v>
      </c>
      <c r="D198" s="16" t="s">
        <v>371</v>
      </c>
      <c r="E198" s="16" t="s">
        <v>372</v>
      </c>
      <c r="F198" s="18">
        <v>18200.0</v>
      </c>
      <c r="G198" s="18">
        <v>18200.0</v>
      </c>
      <c r="H198" s="18">
        <f t="shared" si="1"/>
        <v>0</v>
      </c>
      <c r="J198" s="15"/>
    </row>
    <row r="199" ht="13.5" customHeight="1">
      <c r="A199" s="16" t="s">
        <v>11</v>
      </c>
      <c r="B199" s="16" t="s">
        <v>335</v>
      </c>
      <c r="C199" s="17" t="s">
        <v>373</v>
      </c>
      <c r="D199" s="16" t="s">
        <v>374</v>
      </c>
      <c r="E199" s="16" t="s">
        <v>375</v>
      </c>
      <c r="F199" s="18">
        <v>21090.0</v>
      </c>
      <c r="G199" s="18">
        <v>21090.0</v>
      </c>
      <c r="H199" s="18">
        <f t="shared" si="1"/>
        <v>0</v>
      </c>
      <c r="J199" s="15"/>
    </row>
    <row r="200" ht="13.5" customHeight="1">
      <c r="A200" s="16" t="s">
        <v>11</v>
      </c>
      <c r="B200" s="16" t="s">
        <v>335</v>
      </c>
      <c r="C200" s="17" t="s">
        <v>251</v>
      </c>
      <c r="D200" s="16" t="s">
        <v>376</v>
      </c>
      <c r="E200" s="16" t="s">
        <v>377</v>
      </c>
      <c r="F200" s="18">
        <v>23040.0</v>
      </c>
      <c r="G200" s="18">
        <v>23040.0</v>
      </c>
      <c r="H200" s="18">
        <f t="shared" si="1"/>
        <v>0</v>
      </c>
      <c r="J200" s="15"/>
    </row>
    <row r="201" ht="13.5" customHeight="1">
      <c r="A201" s="16" t="s">
        <v>11</v>
      </c>
      <c r="B201" s="16" t="s">
        <v>335</v>
      </c>
      <c r="C201" s="17" t="s">
        <v>40</v>
      </c>
      <c r="D201" s="16" t="s">
        <v>378</v>
      </c>
      <c r="E201" s="16" t="s">
        <v>379</v>
      </c>
      <c r="F201" s="18">
        <v>27490.0</v>
      </c>
      <c r="G201" s="18">
        <v>27490.0</v>
      </c>
      <c r="H201" s="18">
        <f t="shared" si="1"/>
        <v>0</v>
      </c>
      <c r="J201" s="15"/>
    </row>
    <row r="202" ht="13.5" customHeight="1">
      <c r="A202" s="16" t="s">
        <v>11</v>
      </c>
      <c r="B202" s="16" t="s">
        <v>335</v>
      </c>
      <c r="C202" s="17" t="s">
        <v>380</v>
      </c>
      <c r="D202" s="16" t="s">
        <v>381</v>
      </c>
      <c r="E202" s="16" t="s">
        <v>382</v>
      </c>
      <c r="F202" s="18">
        <v>48500.0</v>
      </c>
      <c r="G202" s="18">
        <v>48500.0</v>
      </c>
      <c r="H202" s="18">
        <f t="shared" si="1"/>
        <v>0</v>
      </c>
      <c r="J202" s="15"/>
    </row>
    <row r="203" ht="13.5" customHeight="1">
      <c r="A203" s="16" t="s">
        <v>11</v>
      </c>
      <c r="B203" s="16" t="s">
        <v>335</v>
      </c>
      <c r="C203" s="17" t="s">
        <v>36</v>
      </c>
      <c r="D203" s="16" t="s">
        <v>383</v>
      </c>
      <c r="E203" s="16" t="s">
        <v>384</v>
      </c>
      <c r="F203" s="18">
        <v>26430.0</v>
      </c>
      <c r="G203" s="18">
        <v>26430.0</v>
      </c>
      <c r="H203" s="18">
        <f t="shared" si="1"/>
        <v>0</v>
      </c>
      <c r="J203" s="15"/>
    </row>
    <row r="204" ht="13.5" customHeight="1">
      <c r="A204" s="16" t="s">
        <v>11</v>
      </c>
      <c r="B204" s="16" t="s">
        <v>335</v>
      </c>
      <c r="C204" s="17" t="s">
        <v>385</v>
      </c>
      <c r="D204" s="16" t="s">
        <v>386</v>
      </c>
      <c r="E204" s="16" t="s">
        <v>387</v>
      </c>
      <c r="F204" s="18">
        <v>24230.0</v>
      </c>
      <c r="G204" s="18">
        <v>24230.0</v>
      </c>
      <c r="H204" s="18">
        <f t="shared" si="1"/>
        <v>0</v>
      </c>
      <c r="J204" s="15"/>
    </row>
    <row r="205" ht="13.5" customHeight="1">
      <c r="A205" s="16" t="s">
        <v>11</v>
      </c>
      <c r="B205" s="16" t="s">
        <v>335</v>
      </c>
      <c r="C205" s="17" t="s">
        <v>388</v>
      </c>
      <c r="D205" s="16" t="s">
        <v>389</v>
      </c>
      <c r="E205" s="16" t="s">
        <v>390</v>
      </c>
      <c r="F205" s="18">
        <v>22680.0</v>
      </c>
      <c r="G205" s="18">
        <v>22680.0</v>
      </c>
      <c r="H205" s="18">
        <f t="shared" si="1"/>
        <v>0</v>
      </c>
      <c r="J205" s="15"/>
    </row>
    <row r="206" ht="13.5" customHeight="1">
      <c r="A206" s="16" t="s">
        <v>11</v>
      </c>
      <c r="B206" s="16" t="s">
        <v>335</v>
      </c>
      <c r="C206" s="17" t="s">
        <v>226</v>
      </c>
      <c r="D206" s="16" t="s">
        <v>391</v>
      </c>
      <c r="E206" s="16" t="s">
        <v>392</v>
      </c>
      <c r="F206" s="18">
        <v>24880.0</v>
      </c>
      <c r="G206" s="18">
        <v>24880.0</v>
      </c>
      <c r="H206" s="18">
        <f t="shared" si="1"/>
        <v>0</v>
      </c>
      <c r="J206" s="15"/>
    </row>
    <row r="207" ht="13.5" customHeight="1">
      <c r="A207" s="16" t="s">
        <v>11</v>
      </c>
      <c r="B207" s="16" t="s">
        <v>335</v>
      </c>
      <c r="C207" s="17" t="s">
        <v>393</v>
      </c>
      <c r="D207" s="16" t="s">
        <v>394</v>
      </c>
      <c r="E207" s="16" t="s">
        <v>395</v>
      </c>
      <c r="F207" s="18">
        <v>24680.0</v>
      </c>
      <c r="G207" s="18">
        <v>24680.0</v>
      </c>
      <c r="H207" s="18">
        <f t="shared" si="1"/>
        <v>0</v>
      </c>
      <c r="J207" s="15"/>
    </row>
    <row r="208" ht="13.5" customHeight="1">
      <c r="A208" s="16" t="s">
        <v>11</v>
      </c>
      <c r="B208" s="16" t="s">
        <v>335</v>
      </c>
      <c r="C208" s="17" t="s">
        <v>396</v>
      </c>
      <c r="D208" s="16" t="s">
        <v>397</v>
      </c>
      <c r="E208" s="16" t="s">
        <v>398</v>
      </c>
      <c r="F208" s="18">
        <v>26130.0</v>
      </c>
      <c r="G208" s="18">
        <v>26130.0</v>
      </c>
      <c r="H208" s="18">
        <f t="shared" si="1"/>
        <v>0</v>
      </c>
      <c r="J208" s="15"/>
    </row>
    <row r="209" ht="13.5" customHeight="1">
      <c r="A209" s="16" t="s">
        <v>11</v>
      </c>
      <c r="B209" s="16" t="s">
        <v>335</v>
      </c>
      <c r="C209" s="17" t="s">
        <v>399</v>
      </c>
      <c r="D209" s="16" t="s">
        <v>400</v>
      </c>
      <c r="E209" s="16" t="s">
        <v>401</v>
      </c>
      <c r="F209" s="18">
        <v>26790.0</v>
      </c>
      <c r="G209" s="18">
        <v>26790.0</v>
      </c>
      <c r="H209" s="18">
        <f t="shared" si="1"/>
        <v>0</v>
      </c>
      <c r="J209" s="15"/>
    </row>
    <row r="210" ht="13.5" customHeight="1">
      <c r="A210" s="16" t="s">
        <v>11</v>
      </c>
      <c r="B210" s="16" t="s">
        <v>335</v>
      </c>
      <c r="C210" s="17" t="s">
        <v>402</v>
      </c>
      <c r="D210" s="16" t="s">
        <v>403</v>
      </c>
      <c r="E210" s="16" t="s">
        <v>404</v>
      </c>
      <c r="F210" s="18">
        <v>20280.0</v>
      </c>
      <c r="G210" s="18">
        <v>20280.0</v>
      </c>
      <c r="H210" s="18">
        <f t="shared" si="1"/>
        <v>0</v>
      </c>
      <c r="J210" s="15"/>
    </row>
    <row r="211" ht="13.5" customHeight="1">
      <c r="A211" s="16" t="s">
        <v>11</v>
      </c>
      <c r="B211" s="16" t="s">
        <v>335</v>
      </c>
      <c r="C211" s="17" t="s">
        <v>405</v>
      </c>
      <c r="D211" s="16" t="s">
        <v>406</v>
      </c>
      <c r="E211" s="16" t="s">
        <v>407</v>
      </c>
      <c r="F211" s="18">
        <v>22960.0</v>
      </c>
      <c r="G211" s="18">
        <v>22960.0</v>
      </c>
      <c r="H211" s="18">
        <f t="shared" si="1"/>
        <v>0</v>
      </c>
      <c r="J211" s="15"/>
    </row>
    <row r="212" ht="13.5" customHeight="1">
      <c r="A212" s="16" t="s">
        <v>11</v>
      </c>
      <c r="B212" s="16" t="s">
        <v>335</v>
      </c>
      <c r="C212" s="17" t="s">
        <v>32</v>
      </c>
      <c r="D212" s="16" t="s">
        <v>408</v>
      </c>
      <c r="E212" s="16" t="s">
        <v>409</v>
      </c>
      <c r="F212" s="18">
        <v>33340.04</v>
      </c>
      <c r="G212" s="18">
        <v>33340.04</v>
      </c>
      <c r="H212" s="18">
        <f t="shared" si="1"/>
        <v>0</v>
      </c>
      <c r="J212" s="15"/>
    </row>
    <row r="213" ht="13.5" customHeight="1">
      <c r="A213" s="16" t="s">
        <v>11</v>
      </c>
      <c r="B213" s="16" t="s">
        <v>335</v>
      </c>
      <c r="C213" s="17" t="s">
        <v>410</v>
      </c>
      <c r="D213" s="16" t="s">
        <v>411</v>
      </c>
      <c r="E213" s="16" t="s">
        <v>412</v>
      </c>
      <c r="F213" s="18">
        <v>19520.0</v>
      </c>
      <c r="G213" s="18">
        <v>19520.0</v>
      </c>
      <c r="H213" s="18">
        <f t="shared" si="1"/>
        <v>0</v>
      </c>
      <c r="J213" s="15"/>
    </row>
    <row r="214" ht="13.5" customHeight="1">
      <c r="A214" s="16" t="s">
        <v>11</v>
      </c>
      <c r="B214" s="16" t="s">
        <v>335</v>
      </c>
      <c r="C214" s="17" t="s">
        <v>410</v>
      </c>
      <c r="D214" s="16" t="s">
        <v>413</v>
      </c>
      <c r="E214" s="16" t="s">
        <v>414</v>
      </c>
      <c r="F214" s="18">
        <v>19920.0</v>
      </c>
      <c r="G214" s="18">
        <v>19920.0</v>
      </c>
      <c r="H214" s="18">
        <f t="shared" si="1"/>
        <v>0</v>
      </c>
      <c r="J214" s="15"/>
    </row>
    <row r="215" ht="13.5" customHeight="1">
      <c r="A215" s="16" t="s">
        <v>11</v>
      </c>
      <c r="B215" s="16" t="s">
        <v>335</v>
      </c>
      <c r="C215" s="17" t="s">
        <v>25</v>
      </c>
      <c r="D215" s="16" t="s">
        <v>415</v>
      </c>
      <c r="E215" s="16" t="s">
        <v>416</v>
      </c>
      <c r="F215" s="18">
        <v>24070.0</v>
      </c>
      <c r="G215" s="18">
        <v>24070.0</v>
      </c>
      <c r="H215" s="18">
        <f t="shared" si="1"/>
        <v>0</v>
      </c>
      <c r="J215" s="15"/>
    </row>
    <row r="216" ht="13.5" customHeight="1">
      <c r="A216" s="16" t="s">
        <v>11</v>
      </c>
      <c r="B216" s="16" t="s">
        <v>335</v>
      </c>
      <c r="C216" s="17" t="s">
        <v>92</v>
      </c>
      <c r="D216" s="16" t="s">
        <v>417</v>
      </c>
      <c r="E216" s="16" t="s">
        <v>418</v>
      </c>
      <c r="F216" s="18">
        <v>21670.0</v>
      </c>
      <c r="G216" s="18">
        <v>21670.0</v>
      </c>
      <c r="H216" s="18">
        <f t="shared" si="1"/>
        <v>0</v>
      </c>
      <c r="J216" s="15"/>
    </row>
    <row r="217" ht="13.5" customHeight="1">
      <c r="A217" s="16" t="s">
        <v>11</v>
      </c>
      <c r="B217" s="16" t="s">
        <v>335</v>
      </c>
      <c r="C217" s="17" t="s">
        <v>126</v>
      </c>
      <c r="D217" s="16" t="s">
        <v>419</v>
      </c>
      <c r="E217" s="16" t="s">
        <v>420</v>
      </c>
      <c r="F217" s="18">
        <v>14845.0</v>
      </c>
      <c r="G217" s="18">
        <v>14845.0</v>
      </c>
      <c r="H217" s="18">
        <f t="shared" si="1"/>
        <v>0</v>
      </c>
      <c r="J217" s="15"/>
    </row>
    <row r="218" ht="13.5" customHeight="1">
      <c r="A218" s="16" t="s">
        <v>11</v>
      </c>
      <c r="B218" s="16" t="s">
        <v>335</v>
      </c>
      <c r="C218" s="17" t="s">
        <v>421</v>
      </c>
      <c r="D218" s="16" t="s">
        <v>422</v>
      </c>
      <c r="E218" s="16" t="s">
        <v>423</v>
      </c>
      <c r="F218" s="18">
        <v>15906.0</v>
      </c>
      <c r="G218" s="18">
        <v>15906.0</v>
      </c>
      <c r="H218" s="18">
        <f t="shared" si="1"/>
        <v>0</v>
      </c>
      <c r="J218" s="15"/>
    </row>
    <row r="219" ht="13.5" customHeight="1">
      <c r="A219" s="16" t="s">
        <v>11</v>
      </c>
      <c r="B219" s="16" t="s">
        <v>335</v>
      </c>
      <c r="C219" s="17" t="s">
        <v>95</v>
      </c>
      <c r="D219" s="16" t="s">
        <v>424</v>
      </c>
      <c r="E219" s="16" t="s">
        <v>425</v>
      </c>
      <c r="F219" s="18">
        <v>16820.0</v>
      </c>
      <c r="G219" s="18">
        <v>16820.0</v>
      </c>
      <c r="H219" s="18">
        <f t="shared" si="1"/>
        <v>0</v>
      </c>
      <c r="J219" s="15"/>
    </row>
    <row r="220" ht="13.5" customHeight="1">
      <c r="A220" s="16" t="s">
        <v>11</v>
      </c>
      <c r="B220" s="16" t="s">
        <v>335</v>
      </c>
      <c r="C220" s="17" t="s">
        <v>285</v>
      </c>
      <c r="D220" s="16" t="s">
        <v>426</v>
      </c>
      <c r="E220" s="16" t="s">
        <v>427</v>
      </c>
      <c r="F220" s="18">
        <v>12140.0</v>
      </c>
      <c r="G220" s="18">
        <v>12140.0</v>
      </c>
      <c r="H220" s="18">
        <f t="shared" si="1"/>
        <v>0</v>
      </c>
      <c r="J220" s="15"/>
    </row>
    <row r="221" ht="13.5" customHeight="1">
      <c r="A221" s="16" t="s">
        <v>11</v>
      </c>
      <c r="B221" s="16" t="s">
        <v>335</v>
      </c>
      <c r="C221" s="17" t="s">
        <v>428</v>
      </c>
      <c r="D221" s="16" t="s">
        <v>429</v>
      </c>
      <c r="E221" s="16" t="s">
        <v>430</v>
      </c>
      <c r="F221" s="18">
        <v>10020.0</v>
      </c>
      <c r="G221" s="18">
        <v>10020.0</v>
      </c>
      <c r="H221" s="18">
        <f t="shared" si="1"/>
        <v>0</v>
      </c>
      <c r="J221" s="15"/>
    </row>
    <row r="222" ht="13.5" customHeight="1">
      <c r="A222" s="16" t="s">
        <v>11</v>
      </c>
      <c r="B222" s="16" t="s">
        <v>335</v>
      </c>
      <c r="C222" s="17" t="s">
        <v>328</v>
      </c>
      <c r="D222" s="16" t="s">
        <v>431</v>
      </c>
      <c r="E222" s="16" t="s">
        <v>432</v>
      </c>
      <c r="F222" s="18">
        <v>10620.0</v>
      </c>
      <c r="G222" s="18">
        <v>14180.0</v>
      </c>
      <c r="H222" s="18">
        <f t="shared" si="1"/>
        <v>0</v>
      </c>
      <c r="J222" s="15"/>
    </row>
    <row r="223" ht="13.5" customHeight="1">
      <c r="A223" s="16" t="s">
        <v>11</v>
      </c>
      <c r="B223" s="16" t="s">
        <v>335</v>
      </c>
      <c r="C223" s="17" t="s">
        <v>179</v>
      </c>
      <c r="D223" s="16" t="s">
        <v>433</v>
      </c>
      <c r="E223" s="16" t="s">
        <v>434</v>
      </c>
      <c r="F223" s="18">
        <v>14180.0</v>
      </c>
      <c r="G223" s="18">
        <v>14180.0</v>
      </c>
      <c r="H223" s="18">
        <f t="shared" si="1"/>
        <v>0</v>
      </c>
      <c r="J223" s="15"/>
    </row>
    <row r="224" ht="13.5" customHeight="1">
      <c r="A224" s="16" t="s">
        <v>11</v>
      </c>
      <c r="B224" s="16" t="s">
        <v>335</v>
      </c>
      <c r="C224" s="17" t="s">
        <v>163</v>
      </c>
      <c r="D224" s="16" t="s">
        <v>435</v>
      </c>
      <c r="E224" s="16" t="s">
        <v>436</v>
      </c>
      <c r="F224" s="18">
        <v>12620.0</v>
      </c>
      <c r="G224" s="18">
        <v>12620.0</v>
      </c>
      <c r="H224" s="18">
        <f t="shared" si="1"/>
        <v>0</v>
      </c>
      <c r="J224" s="15"/>
    </row>
    <row r="225" ht="13.5" customHeight="1">
      <c r="A225" s="16" t="s">
        <v>11</v>
      </c>
      <c r="B225" s="16" t="s">
        <v>335</v>
      </c>
      <c r="C225" s="17" t="s">
        <v>144</v>
      </c>
      <c r="D225" s="16" t="s">
        <v>437</v>
      </c>
      <c r="E225" s="16" t="s">
        <v>438</v>
      </c>
      <c r="F225" s="18">
        <v>10020.0</v>
      </c>
      <c r="G225" s="18">
        <v>10020.0</v>
      </c>
      <c r="H225" s="18">
        <f t="shared" si="1"/>
        <v>0</v>
      </c>
      <c r="J225" s="15"/>
    </row>
    <row r="226" ht="13.5" customHeight="1">
      <c r="A226" s="16" t="s">
        <v>11</v>
      </c>
      <c r="B226" s="16" t="s">
        <v>314</v>
      </c>
      <c r="C226" s="17" t="s">
        <v>439</v>
      </c>
      <c r="D226" s="16" t="s">
        <v>440</v>
      </c>
      <c r="E226" s="16" t="s">
        <v>441</v>
      </c>
      <c r="F226" s="18">
        <v>1800.0</v>
      </c>
      <c r="G226" s="18">
        <v>1800.0</v>
      </c>
      <c r="H226" s="18">
        <f t="shared" si="1"/>
        <v>0</v>
      </c>
      <c r="J226" s="15"/>
    </row>
    <row r="227" ht="13.5" customHeight="1">
      <c r="A227" s="16" t="s">
        <v>11</v>
      </c>
      <c r="B227" s="16" t="s">
        <v>314</v>
      </c>
      <c r="C227" s="17" t="s">
        <v>144</v>
      </c>
      <c r="D227" s="16" t="s">
        <v>440</v>
      </c>
      <c r="E227" s="16" t="s">
        <v>441</v>
      </c>
      <c r="F227" s="18">
        <v>1800.0</v>
      </c>
      <c r="G227" s="18">
        <v>1800.0</v>
      </c>
      <c r="H227" s="18">
        <f t="shared" si="1"/>
        <v>0</v>
      </c>
      <c r="J227" s="15"/>
    </row>
    <row r="228" ht="13.5" customHeight="1">
      <c r="A228" s="16" t="s">
        <v>11</v>
      </c>
      <c r="B228" s="16" t="s">
        <v>314</v>
      </c>
      <c r="C228" s="17" t="s">
        <v>73</v>
      </c>
      <c r="D228" s="16" t="s">
        <v>440</v>
      </c>
      <c r="E228" s="16" t="s">
        <v>441</v>
      </c>
      <c r="F228" s="18">
        <v>1800.0</v>
      </c>
      <c r="G228" s="18">
        <v>1800.0</v>
      </c>
      <c r="H228" s="18">
        <f t="shared" si="1"/>
        <v>0</v>
      </c>
      <c r="J228" s="15"/>
    </row>
    <row r="229" ht="13.5" customHeight="1">
      <c r="A229" s="16" t="s">
        <v>11</v>
      </c>
      <c r="B229" s="16" t="s">
        <v>314</v>
      </c>
      <c r="C229" s="17" t="s">
        <v>285</v>
      </c>
      <c r="D229" s="16" t="s">
        <v>440</v>
      </c>
      <c r="E229" s="16" t="s">
        <v>441</v>
      </c>
      <c r="F229" s="18">
        <v>1800.0</v>
      </c>
      <c r="G229" s="18">
        <v>1800.0</v>
      </c>
      <c r="H229" s="18">
        <f t="shared" si="1"/>
        <v>0</v>
      </c>
      <c r="J229" s="15"/>
    </row>
    <row r="230" ht="13.5" customHeight="1">
      <c r="A230" s="16" t="s">
        <v>11</v>
      </c>
      <c r="B230" s="16" t="s">
        <v>314</v>
      </c>
      <c r="C230" s="17" t="s">
        <v>92</v>
      </c>
      <c r="D230" s="16" t="s">
        <v>440</v>
      </c>
      <c r="E230" s="16" t="s">
        <v>441</v>
      </c>
      <c r="F230" s="18">
        <v>1800.0</v>
      </c>
      <c r="G230" s="18">
        <v>1800.0</v>
      </c>
      <c r="H230" s="18">
        <f t="shared" si="1"/>
        <v>0</v>
      </c>
      <c r="J230" s="15"/>
    </row>
    <row r="231" ht="13.5" customHeight="1">
      <c r="A231" s="16" t="s">
        <v>11</v>
      </c>
      <c r="B231" s="16" t="s">
        <v>314</v>
      </c>
      <c r="C231" s="17" t="s">
        <v>46</v>
      </c>
      <c r="D231" s="16" t="s">
        <v>440</v>
      </c>
      <c r="E231" s="16" t="s">
        <v>441</v>
      </c>
      <c r="F231" s="18">
        <v>1800.0</v>
      </c>
      <c r="G231" s="18">
        <v>1800.0</v>
      </c>
      <c r="H231" s="18">
        <f t="shared" si="1"/>
        <v>0</v>
      </c>
      <c r="J231" s="15"/>
    </row>
    <row r="232" ht="13.5" customHeight="1">
      <c r="A232" s="16" t="s">
        <v>11</v>
      </c>
      <c r="B232" s="16" t="s">
        <v>314</v>
      </c>
      <c r="C232" s="17" t="s">
        <v>163</v>
      </c>
      <c r="D232" s="16" t="s">
        <v>440</v>
      </c>
      <c r="E232" s="16" t="s">
        <v>441</v>
      </c>
      <c r="F232" s="18">
        <v>1800.0</v>
      </c>
      <c r="G232" s="18">
        <v>1800.0</v>
      </c>
      <c r="H232" s="18">
        <f t="shared" si="1"/>
        <v>0</v>
      </c>
      <c r="J232" s="15"/>
    </row>
    <row r="233" ht="13.5" customHeight="1">
      <c r="A233" s="16" t="s">
        <v>11</v>
      </c>
      <c r="B233" s="16" t="s">
        <v>314</v>
      </c>
      <c r="C233" s="17" t="s">
        <v>76</v>
      </c>
      <c r="D233" s="16" t="s">
        <v>440</v>
      </c>
      <c r="E233" s="16" t="s">
        <v>441</v>
      </c>
      <c r="F233" s="18">
        <v>1800.0</v>
      </c>
      <c r="G233" s="18">
        <v>1800.0</v>
      </c>
      <c r="H233" s="18">
        <f t="shared" si="1"/>
        <v>0</v>
      </c>
      <c r="J233" s="15"/>
    </row>
    <row r="234" ht="13.5" customHeight="1">
      <c r="A234" s="16" t="s">
        <v>11</v>
      </c>
      <c r="B234" s="16" t="s">
        <v>314</v>
      </c>
      <c r="C234" s="17" t="s">
        <v>95</v>
      </c>
      <c r="D234" s="16" t="s">
        <v>440</v>
      </c>
      <c r="E234" s="16" t="s">
        <v>441</v>
      </c>
      <c r="F234" s="18">
        <v>1800.0</v>
      </c>
      <c r="G234" s="18">
        <v>1800.0</v>
      </c>
      <c r="H234" s="18">
        <f t="shared" si="1"/>
        <v>0</v>
      </c>
      <c r="J234" s="15"/>
    </row>
    <row r="235" ht="13.5" customHeight="1">
      <c r="A235" s="16" t="s">
        <v>11</v>
      </c>
      <c r="B235" s="16" t="s">
        <v>314</v>
      </c>
      <c r="C235" s="17" t="s">
        <v>25</v>
      </c>
      <c r="D235" s="16" t="s">
        <v>440</v>
      </c>
      <c r="E235" s="16" t="s">
        <v>441</v>
      </c>
      <c r="F235" s="18">
        <v>1800.0</v>
      </c>
      <c r="G235" s="18">
        <v>1800.0</v>
      </c>
      <c r="H235" s="18">
        <f t="shared" si="1"/>
        <v>0</v>
      </c>
      <c r="J235" s="15"/>
    </row>
    <row r="236" ht="13.5" customHeight="1">
      <c r="A236" s="16" t="s">
        <v>11</v>
      </c>
      <c r="B236" s="16" t="s">
        <v>314</v>
      </c>
      <c r="C236" s="17" t="s">
        <v>78</v>
      </c>
      <c r="D236" s="16" t="s">
        <v>440</v>
      </c>
      <c r="E236" s="16" t="s">
        <v>441</v>
      </c>
      <c r="F236" s="18">
        <v>1800.0</v>
      </c>
      <c r="G236" s="18">
        <v>1800.0</v>
      </c>
      <c r="H236" s="18">
        <f t="shared" si="1"/>
        <v>0</v>
      </c>
      <c r="J236" s="15"/>
    </row>
    <row r="237" ht="13.5" customHeight="1">
      <c r="A237" s="16" t="s">
        <v>11</v>
      </c>
      <c r="B237" s="16" t="s">
        <v>314</v>
      </c>
      <c r="C237" s="17" t="s">
        <v>179</v>
      </c>
      <c r="D237" s="16" t="s">
        <v>440</v>
      </c>
      <c r="E237" s="16" t="s">
        <v>441</v>
      </c>
      <c r="F237" s="18">
        <v>1800.0</v>
      </c>
      <c r="G237" s="18">
        <v>1800.0</v>
      </c>
      <c r="H237" s="18">
        <f t="shared" si="1"/>
        <v>0</v>
      </c>
      <c r="J237" s="15"/>
    </row>
    <row r="238" ht="13.5" customHeight="1">
      <c r="A238" s="16" t="s">
        <v>11</v>
      </c>
      <c r="B238" s="16" t="s">
        <v>314</v>
      </c>
      <c r="C238" s="17" t="s">
        <v>306</v>
      </c>
      <c r="D238" s="16" t="s">
        <v>440</v>
      </c>
      <c r="E238" s="16" t="s">
        <v>442</v>
      </c>
      <c r="F238" s="18">
        <v>2500.0</v>
      </c>
      <c r="G238" s="18">
        <v>2500.0</v>
      </c>
      <c r="H238" s="18">
        <f t="shared" si="1"/>
        <v>0</v>
      </c>
      <c r="J238" s="15"/>
    </row>
    <row r="239" ht="13.5" customHeight="1">
      <c r="A239" s="16" t="s">
        <v>11</v>
      </c>
      <c r="B239" s="16" t="s">
        <v>314</v>
      </c>
      <c r="C239" s="17" t="s">
        <v>339</v>
      </c>
      <c r="D239" s="16" t="s">
        <v>440</v>
      </c>
      <c r="E239" s="16" t="s">
        <v>441</v>
      </c>
      <c r="F239" s="18">
        <v>1800.0</v>
      </c>
      <c r="G239" s="18">
        <v>1800.0</v>
      </c>
      <c r="H239" s="18">
        <f t="shared" si="1"/>
        <v>0</v>
      </c>
      <c r="J239" s="15"/>
    </row>
    <row r="240" ht="13.5" customHeight="1">
      <c r="A240" s="16" t="s">
        <v>11</v>
      </c>
      <c r="B240" s="16" t="s">
        <v>314</v>
      </c>
      <c r="C240" s="17" t="s">
        <v>421</v>
      </c>
      <c r="D240" s="16" t="s">
        <v>440</v>
      </c>
      <c r="E240" s="16" t="s">
        <v>443</v>
      </c>
      <c r="F240" s="18">
        <v>4100.0</v>
      </c>
      <c r="G240" s="18">
        <v>4100.0</v>
      </c>
      <c r="H240" s="18">
        <f t="shared" si="1"/>
        <v>0</v>
      </c>
      <c r="J240" s="15"/>
    </row>
    <row r="241" ht="13.5" customHeight="1">
      <c r="A241" s="16" t="s">
        <v>11</v>
      </c>
      <c r="B241" s="16" t="s">
        <v>314</v>
      </c>
      <c r="C241" s="17" t="s">
        <v>410</v>
      </c>
      <c r="D241" s="16" t="s">
        <v>440</v>
      </c>
      <c r="E241" s="16" t="s">
        <v>441</v>
      </c>
      <c r="F241" s="18">
        <v>1800.0</v>
      </c>
      <c r="G241" s="18">
        <v>1800.0</v>
      </c>
      <c r="H241" s="18">
        <f t="shared" si="1"/>
        <v>0</v>
      </c>
      <c r="J241" s="15"/>
    </row>
    <row r="242" ht="13.5" customHeight="1">
      <c r="A242" s="16" t="s">
        <v>11</v>
      </c>
      <c r="B242" s="16" t="s">
        <v>314</v>
      </c>
      <c r="C242" s="17" t="s">
        <v>444</v>
      </c>
      <c r="D242" s="16" t="s">
        <v>440</v>
      </c>
      <c r="E242" s="16" t="s">
        <v>445</v>
      </c>
      <c r="F242" s="18">
        <v>600.0</v>
      </c>
      <c r="G242" s="18">
        <v>600.0</v>
      </c>
      <c r="H242" s="18">
        <f t="shared" si="1"/>
        <v>0</v>
      </c>
      <c r="J242" s="15"/>
    </row>
    <row r="243" ht="13.5" customHeight="1">
      <c r="A243" s="16" t="s">
        <v>11</v>
      </c>
      <c r="B243" s="16" t="s">
        <v>314</v>
      </c>
      <c r="C243" s="17" t="s">
        <v>82</v>
      </c>
      <c r="D243" s="16" t="s">
        <v>440</v>
      </c>
      <c r="E243" s="16" t="s">
        <v>441</v>
      </c>
      <c r="F243" s="18">
        <v>1800.0</v>
      </c>
      <c r="G243" s="18">
        <v>1800.0</v>
      </c>
      <c r="H243" s="18">
        <f t="shared" si="1"/>
        <v>0</v>
      </c>
      <c r="J243" s="15"/>
    </row>
    <row r="244" ht="13.5" customHeight="1">
      <c r="A244" s="16" t="s">
        <v>11</v>
      </c>
      <c r="B244" s="16" t="s">
        <v>314</v>
      </c>
      <c r="C244" s="17" t="s">
        <v>446</v>
      </c>
      <c r="D244" s="16" t="s">
        <v>440</v>
      </c>
      <c r="E244" s="16" t="s">
        <v>447</v>
      </c>
      <c r="F244" s="18">
        <v>1000.0</v>
      </c>
      <c r="G244" s="18">
        <v>1000.0</v>
      </c>
      <c r="H244" s="18">
        <f t="shared" si="1"/>
        <v>0</v>
      </c>
      <c r="J244" s="15"/>
    </row>
    <row r="245" ht="13.5" customHeight="1">
      <c r="A245" s="16" t="s">
        <v>11</v>
      </c>
      <c r="B245" s="16" t="s">
        <v>314</v>
      </c>
      <c r="C245" s="17" t="s">
        <v>328</v>
      </c>
      <c r="D245" s="16" t="s">
        <v>440</v>
      </c>
      <c r="E245" s="16" t="s">
        <v>441</v>
      </c>
      <c r="F245" s="18">
        <v>1800.0</v>
      </c>
      <c r="G245" s="18">
        <v>1800.0</v>
      </c>
      <c r="H245" s="18">
        <f t="shared" si="1"/>
        <v>0</v>
      </c>
      <c r="J245" s="15"/>
    </row>
    <row r="246" ht="13.5" customHeight="1">
      <c r="A246" s="16" t="s">
        <v>11</v>
      </c>
      <c r="B246" s="16" t="s">
        <v>314</v>
      </c>
      <c r="C246" s="17" t="s">
        <v>84</v>
      </c>
      <c r="D246" s="16" t="s">
        <v>440</v>
      </c>
      <c r="E246" s="16" t="s">
        <v>441</v>
      </c>
      <c r="F246" s="18">
        <v>1200.0</v>
      </c>
      <c r="G246" s="18">
        <v>1200.0</v>
      </c>
      <c r="H246" s="18">
        <f t="shared" si="1"/>
        <v>0</v>
      </c>
      <c r="J246" s="15"/>
    </row>
    <row r="247" ht="13.5" customHeight="1">
      <c r="A247" s="16" t="s">
        <v>11</v>
      </c>
      <c r="B247" s="16" t="s">
        <v>314</v>
      </c>
      <c r="C247" s="17" t="s">
        <v>336</v>
      </c>
      <c r="D247" s="16" t="s">
        <v>440</v>
      </c>
      <c r="E247" s="16" t="s">
        <v>441</v>
      </c>
      <c r="F247" s="18">
        <v>1800.0</v>
      </c>
      <c r="G247" s="18">
        <v>1800.0</v>
      </c>
      <c r="H247" s="18">
        <f t="shared" si="1"/>
        <v>0</v>
      </c>
      <c r="J247" s="15"/>
    </row>
    <row r="248" ht="13.5" customHeight="1">
      <c r="A248" s="16" t="s">
        <v>11</v>
      </c>
      <c r="B248" s="16" t="s">
        <v>314</v>
      </c>
      <c r="C248" s="17" t="s">
        <v>126</v>
      </c>
      <c r="D248" s="16" t="s">
        <v>440</v>
      </c>
      <c r="E248" s="16" t="s">
        <v>441</v>
      </c>
      <c r="F248" s="18">
        <v>1800.0</v>
      </c>
      <c r="G248" s="18">
        <v>1800.0</v>
      </c>
      <c r="H248" s="18">
        <f t="shared" si="1"/>
        <v>0</v>
      </c>
      <c r="J248" s="15"/>
    </row>
    <row r="249" ht="13.5" customHeight="1">
      <c r="A249" s="16" t="s">
        <v>11</v>
      </c>
      <c r="B249" s="16" t="s">
        <v>314</v>
      </c>
      <c r="C249" s="17" t="s">
        <v>242</v>
      </c>
      <c r="D249" s="16" t="s">
        <v>440</v>
      </c>
      <c r="E249" s="16" t="s">
        <v>441</v>
      </c>
      <c r="F249" s="18">
        <v>1800.0</v>
      </c>
      <c r="G249" s="18">
        <v>1800.0</v>
      </c>
      <c r="H249" s="18">
        <f t="shared" si="1"/>
        <v>0</v>
      </c>
      <c r="J249" s="15"/>
    </row>
    <row r="250" ht="13.5" customHeight="1">
      <c r="A250" s="16" t="s">
        <v>11</v>
      </c>
      <c r="B250" s="16" t="s">
        <v>314</v>
      </c>
      <c r="C250" s="17" t="s">
        <v>346</v>
      </c>
      <c r="D250" s="16" t="s">
        <v>440</v>
      </c>
      <c r="E250" s="16" t="s">
        <v>441</v>
      </c>
      <c r="F250" s="18">
        <v>1800.0</v>
      </c>
      <c r="G250" s="18">
        <v>1800.0</v>
      </c>
      <c r="H250" s="18">
        <f t="shared" si="1"/>
        <v>0</v>
      </c>
      <c r="J250" s="15"/>
    </row>
    <row r="251" ht="13.5" customHeight="1">
      <c r="A251" s="16" t="s">
        <v>11</v>
      </c>
      <c r="B251" s="16" t="s">
        <v>314</v>
      </c>
      <c r="C251" s="17" t="s">
        <v>428</v>
      </c>
      <c r="D251" s="16" t="s">
        <v>440</v>
      </c>
      <c r="E251" s="16" t="s">
        <v>441</v>
      </c>
      <c r="F251" s="18">
        <v>1800.0</v>
      </c>
      <c r="G251" s="18">
        <v>1800.0</v>
      </c>
      <c r="H251" s="18">
        <f t="shared" si="1"/>
        <v>0</v>
      </c>
      <c r="J251" s="15"/>
    </row>
    <row r="252" ht="13.5" customHeight="1">
      <c r="A252" s="16" t="s">
        <v>11</v>
      </c>
      <c r="B252" s="16" t="s">
        <v>314</v>
      </c>
      <c r="C252" s="17" t="s">
        <v>44</v>
      </c>
      <c r="D252" s="16" t="s">
        <v>440</v>
      </c>
      <c r="E252" s="16" t="s">
        <v>441</v>
      </c>
      <c r="F252" s="18">
        <v>1800.0</v>
      </c>
      <c r="G252" s="18">
        <v>1800.0</v>
      </c>
      <c r="H252" s="18">
        <f t="shared" si="1"/>
        <v>0</v>
      </c>
      <c r="J252" s="15"/>
    </row>
    <row r="253" ht="13.5" customHeight="1">
      <c r="A253" s="16" t="s">
        <v>11</v>
      </c>
      <c r="B253" s="16" t="s">
        <v>45</v>
      </c>
      <c r="C253" s="17" t="s">
        <v>46</v>
      </c>
      <c r="D253" s="16" t="s">
        <v>448</v>
      </c>
      <c r="E253" s="16" t="s">
        <v>48</v>
      </c>
      <c r="F253" s="18">
        <v>12240.0</v>
      </c>
      <c r="G253" s="18">
        <v>12240.0</v>
      </c>
      <c r="H253" s="18">
        <f t="shared" si="1"/>
        <v>0</v>
      </c>
      <c r="J253" s="15"/>
    </row>
    <row r="254" ht="13.5" customHeight="1">
      <c r="A254" s="16" t="s">
        <v>11</v>
      </c>
      <c r="B254" s="16" t="s">
        <v>72</v>
      </c>
      <c r="C254" s="17" t="s">
        <v>76</v>
      </c>
      <c r="D254" s="16" t="s">
        <v>448</v>
      </c>
      <c r="E254" s="16" t="s">
        <v>77</v>
      </c>
      <c r="F254" s="18">
        <v>11900.0</v>
      </c>
      <c r="G254" s="18">
        <v>11900.0</v>
      </c>
      <c r="H254" s="18">
        <f t="shared" si="1"/>
        <v>0</v>
      </c>
      <c r="J254" s="15"/>
    </row>
    <row r="255" ht="13.5" customHeight="1">
      <c r="A255" s="16" t="s">
        <v>11</v>
      </c>
      <c r="B255" s="16" t="s">
        <v>72</v>
      </c>
      <c r="C255" s="17" t="s">
        <v>78</v>
      </c>
      <c r="D255" s="16" t="s">
        <v>448</v>
      </c>
      <c r="E255" s="16" t="s">
        <v>79</v>
      </c>
      <c r="F255" s="18">
        <v>29700.0</v>
      </c>
      <c r="G255" s="18">
        <v>29700.0</v>
      </c>
      <c r="H255" s="18">
        <f t="shared" si="1"/>
        <v>0</v>
      </c>
      <c r="J255" s="15"/>
    </row>
    <row r="256" ht="13.5" customHeight="1">
      <c r="A256" s="16" t="s">
        <v>11</v>
      </c>
      <c r="B256" s="16" t="s">
        <v>72</v>
      </c>
      <c r="C256" s="17" t="s">
        <v>339</v>
      </c>
      <c r="D256" s="16" t="s">
        <v>448</v>
      </c>
      <c r="E256" s="16" t="s">
        <v>449</v>
      </c>
      <c r="F256" s="18">
        <v>4080.0</v>
      </c>
      <c r="G256" s="18">
        <v>4080.0</v>
      </c>
      <c r="H256" s="18">
        <f t="shared" si="1"/>
        <v>0</v>
      </c>
      <c r="J256" s="15"/>
    </row>
    <row r="257" ht="13.5" customHeight="1">
      <c r="A257" s="16" t="s">
        <v>11</v>
      </c>
      <c r="B257" s="16" t="s">
        <v>72</v>
      </c>
      <c r="C257" s="17" t="s">
        <v>82</v>
      </c>
      <c r="D257" s="16" t="s">
        <v>448</v>
      </c>
      <c r="E257" s="16" t="s">
        <v>83</v>
      </c>
      <c r="F257" s="18">
        <v>14620.0</v>
      </c>
      <c r="G257" s="18">
        <v>14620.0</v>
      </c>
      <c r="H257" s="18">
        <f t="shared" si="1"/>
        <v>0</v>
      </c>
      <c r="J257" s="15"/>
    </row>
    <row r="258" ht="13.5" customHeight="1">
      <c r="A258" s="16" t="s">
        <v>11</v>
      </c>
      <c r="B258" s="16" t="s">
        <v>72</v>
      </c>
      <c r="C258" s="17" t="s">
        <v>336</v>
      </c>
      <c r="D258" s="16" t="s">
        <v>448</v>
      </c>
      <c r="E258" s="16" t="s">
        <v>450</v>
      </c>
      <c r="F258" s="18">
        <v>340.0</v>
      </c>
      <c r="G258" s="18">
        <v>340.0</v>
      </c>
      <c r="H258" s="18">
        <f t="shared" si="1"/>
        <v>0</v>
      </c>
      <c r="J258" s="15"/>
    </row>
    <row r="259" ht="13.5" customHeight="1">
      <c r="A259" s="16" t="s">
        <v>11</v>
      </c>
      <c r="B259" s="16" t="s">
        <v>72</v>
      </c>
      <c r="C259" s="17" t="s">
        <v>346</v>
      </c>
      <c r="D259" s="16" t="s">
        <v>448</v>
      </c>
      <c r="E259" s="16" t="s">
        <v>451</v>
      </c>
      <c r="F259" s="18">
        <v>3740.0</v>
      </c>
      <c r="G259" s="18">
        <v>3740.0</v>
      </c>
      <c r="H259" s="18">
        <f t="shared" si="1"/>
        <v>0</v>
      </c>
      <c r="J259" s="15"/>
    </row>
    <row r="260" ht="13.5" customHeight="1">
      <c r="A260" s="16" t="s">
        <v>11</v>
      </c>
      <c r="B260" s="16" t="s">
        <v>72</v>
      </c>
      <c r="C260" s="17" t="s">
        <v>346</v>
      </c>
      <c r="D260" s="16" t="s">
        <v>448</v>
      </c>
      <c r="E260" s="16" t="s">
        <v>451</v>
      </c>
      <c r="F260" s="18">
        <v>3740.0</v>
      </c>
      <c r="G260" s="18">
        <v>3740.0</v>
      </c>
      <c r="H260" s="18">
        <f t="shared" si="1"/>
        <v>0</v>
      </c>
      <c r="J260" s="15"/>
    </row>
    <row r="261" ht="13.5" customHeight="1">
      <c r="A261" s="16" t="s">
        <v>11</v>
      </c>
      <c r="B261" s="16" t="s">
        <v>45</v>
      </c>
      <c r="C261" s="17" t="s">
        <v>44</v>
      </c>
      <c r="D261" s="16" t="s">
        <v>448</v>
      </c>
      <c r="E261" s="16" t="s">
        <v>452</v>
      </c>
      <c r="F261" s="18">
        <v>5280.0</v>
      </c>
      <c r="G261" s="18">
        <v>5280.0</v>
      </c>
      <c r="H261" s="18">
        <f t="shared" si="1"/>
        <v>0</v>
      </c>
      <c r="J261" s="15"/>
    </row>
    <row r="262" ht="13.5" customHeight="1">
      <c r="A262" s="16" t="s">
        <v>11</v>
      </c>
      <c r="B262" s="16" t="s">
        <v>140</v>
      </c>
      <c r="C262" s="17" t="s">
        <v>240</v>
      </c>
      <c r="D262" s="16" t="s">
        <v>453</v>
      </c>
      <c r="E262" s="16" t="s">
        <v>454</v>
      </c>
      <c r="F262" s="18">
        <v>29200.0</v>
      </c>
      <c r="G262" s="18">
        <v>29200.0</v>
      </c>
      <c r="H262" s="18">
        <f t="shared" si="1"/>
        <v>0</v>
      </c>
      <c r="J262" s="15"/>
    </row>
    <row r="263" ht="13.5" customHeight="1">
      <c r="A263" s="16" t="s">
        <v>11</v>
      </c>
      <c r="B263" s="16" t="s">
        <v>140</v>
      </c>
      <c r="C263" s="17" t="s">
        <v>199</v>
      </c>
      <c r="D263" s="16" t="s">
        <v>453</v>
      </c>
      <c r="E263" s="16" t="s">
        <v>455</v>
      </c>
      <c r="F263" s="18">
        <v>23000.0</v>
      </c>
      <c r="G263" s="18">
        <v>23000.0</v>
      </c>
      <c r="H263" s="18">
        <f t="shared" si="1"/>
        <v>0</v>
      </c>
      <c r="J263" s="15"/>
    </row>
    <row r="264" ht="13.5" customHeight="1">
      <c r="A264" s="16" t="s">
        <v>11</v>
      </c>
      <c r="B264" s="16" t="s">
        <v>314</v>
      </c>
      <c r="C264" s="17" t="s">
        <v>456</v>
      </c>
      <c r="D264" s="16" t="s">
        <v>457</v>
      </c>
      <c r="E264" s="16" t="s">
        <v>458</v>
      </c>
      <c r="F264" s="18">
        <v>7700.0</v>
      </c>
      <c r="G264" s="18">
        <v>7700.0</v>
      </c>
      <c r="H264" s="18">
        <f t="shared" si="1"/>
        <v>0</v>
      </c>
      <c r="J264" s="15"/>
    </row>
    <row r="265" ht="13.5" customHeight="1">
      <c r="A265" s="16" t="s">
        <v>11</v>
      </c>
      <c r="B265" s="16" t="s">
        <v>133</v>
      </c>
      <c r="C265" s="17" t="s">
        <v>174</v>
      </c>
      <c r="D265" s="16" t="s">
        <v>457</v>
      </c>
      <c r="E265" s="16" t="s">
        <v>459</v>
      </c>
      <c r="F265" s="18">
        <v>4200.0</v>
      </c>
      <c r="G265" s="18">
        <v>4200.0</v>
      </c>
      <c r="H265" s="18">
        <f t="shared" si="1"/>
        <v>0</v>
      </c>
      <c r="J265" s="15"/>
    </row>
    <row r="266" ht="13.5" customHeight="1">
      <c r="A266" s="16" t="s">
        <v>10</v>
      </c>
      <c r="B266" s="16" t="s">
        <v>31</v>
      </c>
      <c r="C266" s="17" t="s">
        <v>460</v>
      </c>
      <c r="D266" s="16" t="s">
        <v>461</v>
      </c>
      <c r="E266" s="16" t="s">
        <v>33</v>
      </c>
      <c r="F266" s="18">
        <v>10533.06</v>
      </c>
      <c r="G266" s="18">
        <v>10533.06</v>
      </c>
      <c r="H266" s="18">
        <f t="shared" si="1"/>
        <v>0</v>
      </c>
      <c r="J266" s="15"/>
    </row>
    <row r="267" ht="13.5" customHeight="1">
      <c r="A267" s="16" t="s">
        <v>10</v>
      </c>
      <c r="B267" s="16" t="s">
        <v>31</v>
      </c>
      <c r="C267" s="17" t="s">
        <v>32</v>
      </c>
      <c r="D267" s="16" t="s">
        <v>461</v>
      </c>
      <c r="E267" s="16" t="s">
        <v>33</v>
      </c>
      <c r="F267" s="18">
        <v>4182.0</v>
      </c>
      <c r="G267" s="18">
        <v>4182.0</v>
      </c>
      <c r="H267" s="18">
        <f t="shared" si="1"/>
        <v>0</v>
      </c>
      <c r="J267" s="15"/>
    </row>
    <row r="268" ht="13.5" customHeight="1">
      <c r="A268" s="16" t="s">
        <v>10</v>
      </c>
      <c r="B268" s="16" t="s">
        <v>31</v>
      </c>
      <c r="C268" s="17" t="s">
        <v>35</v>
      </c>
      <c r="D268" s="16" t="s">
        <v>461</v>
      </c>
      <c r="E268" s="16" t="s">
        <v>33</v>
      </c>
      <c r="F268" s="18">
        <v>4182.0</v>
      </c>
      <c r="G268" s="18">
        <v>4182.0</v>
      </c>
      <c r="H268" s="18">
        <f t="shared" si="1"/>
        <v>0</v>
      </c>
      <c r="J268" s="15"/>
    </row>
    <row r="269" ht="13.5" customHeight="1">
      <c r="A269" s="16" t="s">
        <v>10</v>
      </c>
      <c r="B269" s="16" t="s">
        <v>31</v>
      </c>
      <c r="C269" s="17" t="s">
        <v>36</v>
      </c>
      <c r="D269" s="16" t="s">
        <v>461</v>
      </c>
      <c r="E269" s="16" t="s">
        <v>33</v>
      </c>
      <c r="F269" s="18">
        <v>4182.0</v>
      </c>
      <c r="G269" s="18">
        <v>4182.0</v>
      </c>
      <c r="H269" s="18">
        <f t="shared" si="1"/>
        <v>0</v>
      </c>
      <c r="J269" s="15"/>
    </row>
    <row r="270" ht="13.5" customHeight="1">
      <c r="A270" s="16" t="s">
        <v>10</v>
      </c>
      <c r="B270" s="16" t="s">
        <v>31</v>
      </c>
      <c r="C270" s="17" t="s">
        <v>37</v>
      </c>
      <c r="D270" s="16" t="s">
        <v>461</v>
      </c>
      <c r="E270" s="16" t="s">
        <v>33</v>
      </c>
      <c r="F270" s="18">
        <v>4182.0</v>
      </c>
      <c r="G270" s="18">
        <v>4182.0</v>
      </c>
      <c r="H270" s="18">
        <f t="shared" si="1"/>
        <v>0</v>
      </c>
      <c r="J270" s="15"/>
    </row>
    <row r="271" ht="13.5" customHeight="1">
      <c r="A271" s="16" t="s">
        <v>10</v>
      </c>
      <c r="B271" s="16" t="s">
        <v>31</v>
      </c>
      <c r="C271" s="17" t="s">
        <v>40</v>
      </c>
      <c r="D271" s="16" t="s">
        <v>461</v>
      </c>
      <c r="E271" s="16" t="s">
        <v>33</v>
      </c>
      <c r="F271" s="18">
        <v>4182.0</v>
      </c>
      <c r="G271" s="18">
        <v>4182.0</v>
      </c>
      <c r="H271" s="18">
        <f t="shared" si="1"/>
        <v>0</v>
      </c>
      <c r="J271" s="15"/>
    </row>
    <row r="272" ht="13.5" customHeight="1">
      <c r="A272" s="16" t="s">
        <v>10</v>
      </c>
      <c r="B272" s="16" t="s">
        <v>31</v>
      </c>
      <c r="C272" s="17" t="s">
        <v>41</v>
      </c>
      <c r="D272" s="16" t="s">
        <v>461</v>
      </c>
      <c r="E272" s="16" t="s">
        <v>33</v>
      </c>
      <c r="F272" s="18">
        <v>4182.0</v>
      </c>
      <c r="G272" s="18">
        <v>4182.0</v>
      </c>
      <c r="H272" s="18">
        <f t="shared" si="1"/>
        <v>0</v>
      </c>
      <c r="J272" s="15"/>
    </row>
    <row r="273" ht="13.5" customHeight="1">
      <c r="A273" s="16" t="s">
        <v>10</v>
      </c>
      <c r="B273" s="16" t="s">
        <v>31</v>
      </c>
      <c r="C273" s="17" t="s">
        <v>42</v>
      </c>
      <c r="D273" s="16" t="s">
        <v>461</v>
      </c>
      <c r="E273" s="16" t="s">
        <v>33</v>
      </c>
      <c r="F273" s="18">
        <v>4182.0</v>
      </c>
      <c r="G273" s="18">
        <v>4182.0</v>
      </c>
      <c r="H273" s="18">
        <f t="shared" si="1"/>
        <v>0</v>
      </c>
      <c r="J273" s="15"/>
    </row>
    <row r="274" ht="13.5" customHeight="1">
      <c r="A274" s="16" t="s">
        <v>10</v>
      </c>
      <c r="B274" s="16" t="s">
        <v>31</v>
      </c>
      <c r="C274" s="17" t="s">
        <v>43</v>
      </c>
      <c r="D274" s="16" t="s">
        <v>461</v>
      </c>
      <c r="E274" s="16" t="s">
        <v>33</v>
      </c>
      <c r="F274" s="18">
        <v>4182.0</v>
      </c>
      <c r="G274" s="18">
        <v>4182.0</v>
      </c>
      <c r="H274" s="18">
        <f t="shared" si="1"/>
        <v>0</v>
      </c>
      <c r="J274" s="15"/>
    </row>
    <row r="275" ht="13.5" customHeight="1">
      <c r="A275" s="16" t="s">
        <v>11</v>
      </c>
      <c r="B275" s="16" t="s">
        <v>462</v>
      </c>
      <c r="C275" s="26" t="s">
        <v>99</v>
      </c>
      <c r="D275" s="27" t="s">
        <v>463</v>
      </c>
      <c r="E275" s="28" t="s">
        <v>464</v>
      </c>
      <c r="F275" s="18"/>
      <c r="G275" s="18"/>
      <c r="H275" s="25"/>
      <c r="J275" s="15"/>
    </row>
    <row r="276" ht="13.5" customHeight="1">
      <c r="A276" s="16" t="s">
        <v>11</v>
      </c>
      <c r="B276" s="16" t="s">
        <v>462</v>
      </c>
      <c r="C276" s="26" t="s">
        <v>364</v>
      </c>
      <c r="D276" s="27" t="s">
        <v>463</v>
      </c>
      <c r="E276" s="28" t="s">
        <v>465</v>
      </c>
      <c r="F276" s="18"/>
      <c r="G276" s="18"/>
      <c r="H276" s="25"/>
      <c r="J276" s="15"/>
    </row>
    <row r="277" ht="13.5" customHeight="1">
      <c r="A277" s="16" t="s">
        <v>11</v>
      </c>
      <c r="B277" s="16" t="s">
        <v>462</v>
      </c>
      <c r="C277" s="26" t="s">
        <v>466</v>
      </c>
      <c r="D277" s="27" t="s">
        <v>463</v>
      </c>
      <c r="E277" s="28" t="s">
        <v>467</v>
      </c>
      <c r="F277" s="18"/>
      <c r="G277" s="18"/>
      <c r="H277" s="25"/>
      <c r="J277" s="15"/>
    </row>
    <row r="278" ht="13.5" customHeight="1">
      <c r="A278" s="16" t="s">
        <v>11</v>
      </c>
      <c r="B278" s="16" t="s">
        <v>462</v>
      </c>
      <c r="C278" s="26" t="s">
        <v>130</v>
      </c>
      <c r="D278" s="27" t="s">
        <v>463</v>
      </c>
      <c r="E278" s="27" t="s">
        <v>468</v>
      </c>
      <c r="F278" s="18"/>
      <c r="G278" s="18"/>
      <c r="H278" s="25"/>
      <c r="J278" s="15"/>
    </row>
    <row r="279" ht="13.5" customHeight="1">
      <c r="A279" s="16" t="s">
        <v>11</v>
      </c>
      <c r="B279" s="16" t="s">
        <v>125</v>
      </c>
      <c r="C279" s="17" t="s">
        <v>67</v>
      </c>
      <c r="D279" s="16" t="s">
        <v>469</v>
      </c>
      <c r="E279" s="16" t="s">
        <v>470</v>
      </c>
      <c r="F279" s="18">
        <v>4953.74</v>
      </c>
      <c r="G279" s="18">
        <f>+Datos!$F279</f>
        <v>4953.74</v>
      </c>
      <c r="H279" s="25">
        <f t="shared" ref="H279:H333" si="2">MAX(F279-G279,0)</f>
        <v>0</v>
      </c>
      <c r="J279" s="15"/>
    </row>
    <row r="280" ht="13.5" customHeight="1">
      <c r="A280" s="16" t="s">
        <v>11</v>
      </c>
      <c r="B280" s="16" t="s">
        <v>125</v>
      </c>
      <c r="C280" s="17" t="s">
        <v>471</v>
      </c>
      <c r="D280" s="16" t="s">
        <v>469</v>
      </c>
      <c r="E280" s="16" t="s">
        <v>472</v>
      </c>
      <c r="F280" s="18">
        <v>7207.03</v>
      </c>
      <c r="G280" s="18">
        <v>7207.03</v>
      </c>
      <c r="H280" s="18">
        <f t="shared" si="2"/>
        <v>0</v>
      </c>
      <c r="J280" s="15"/>
    </row>
    <row r="281" ht="13.5" customHeight="1">
      <c r="A281" s="16" t="s">
        <v>11</v>
      </c>
      <c r="B281" s="16" t="s">
        <v>125</v>
      </c>
      <c r="C281" s="17" t="s">
        <v>473</v>
      </c>
      <c r="D281" s="16" t="s">
        <v>469</v>
      </c>
      <c r="E281" s="16" t="s">
        <v>474</v>
      </c>
      <c r="F281" s="18">
        <v>763.28</v>
      </c>
      <c r="G281" s="18">
        <f>+Datos!$F281</f>
        <v>763.28</v>
      </c>
      <c r="H281" s="25">
        <f t="shared" si="2"/>
        <v>0</v>
      </c>
      <c r="J281" s="15"/>
    </row>
    <row r="282" ht="13.5" customHeight="1">
      <c r="A282" s="16" t="s">
        <v>11</v>
      </c>
      <c r="B282" s="16" t="s">
        <v>125</v>
      </c>
      <c r="C282" s="17" t="s">
        <v>475</v>
      </c>
      <c r="D282" s="16" t="s">
        <v>476</v>
      </c>
      <c r="E282" s="16" t="s">
        <v>477</v>
      </c>
      <c r="F282" s="18">
        <v>5800.0</v>
      </c>
      <c r="G282" s="18">
        <v>5800.0</v>
      </c>
      <c r="H282" s="18">
        <f t="shared" si="2"/>
        <v>0</v>
      </c>
      <c r="J282" s="15"/>
    </row>
    <row r="283" ht="13.5" customHeight="1">
      <c r="A283" s="16" t="s">
        <v>11</v>
      </c>
      <c r="B283" s="16" t="s">
        <v>125</v>
      </c>
      <c r="C283" s="17" t="s">
        <v>141</v>
      </c>
      <c r="D283" s="16" t="s">
        <v>478</v>
      </c>
      <c r="E283" s="16" t="s">
        <v>479</v>
      </c>
      <c r="F283" s="18">
        <v>5220.0</v>
      </c>
      <c r="G283" s="18">
        <v>5220.0</v>
      </c>
      <c r="H283" s="18">
        <f t="shared" si="2"/>
        <v>0</v>
      </c>
      <c r="J283" s="15"/>
    </row>
    <row r="284" ht="13.5" customHeight="1">
      <c r="A284" s="16" t="s">
        <v>11</v>
      </c>
      <c r="B284" s="16" t="s">
        <v>125</v>
      </c>
      <c r="C284" s="17" t="s">
        <v>112</v>
      </c>
      <c r="D284" s="16" t="s">
        <v>480</v>
      </c>
      <c r="E284" s="16" t="s">
        <v>481</v>
      </c>
      <c r="F284" s="18">
        <v>9280.0</v>
      </c>
      <c r="G284" s="18">
        <v>9280.0</v>
      </c>
      <c r="H284" s="18">
        <f t="shared" si="2"/>
        <v>0</v>
      </c>
      <c r="J284" s="15"/>
    </row>
    <row r="285" ht="13.5" customHeight="1">
      <c r="A285" s="16" t="s">
        <v>11</v>
      </c>
      <c r="B285" s="16" t="s">
        <v>125</v>
      </c>
      <c r="C285" s="17" t="s">
        <v>112</v>
      </c>
      <c r="D285" s="16" t="s">
        <v>480</v>
      </c>
      <c r="E285" s="24" t="s">
        <v>482</v>
      </c>
      <c r="F285" s="18">
        <v>14732.0</v>
      </c>
      <c r="G285" s="18">
        <v>14732.0</v>
      </c>
      <c r="H285" s="18">
        <f t="shared" si="2"/>
        <v>0</v>
      </c>
      <c r="J285" s="15"/>
    </row>
    <row r="286" ht="13.5" customHeight="1">
      <c r="A286" s="16" t="s">
        <v>11</v>
      </c>
      <c r="B286" s="16" t="s">
        <v>125</v>
      </c>
      <c r="C286" s="17" t="s">
        <v>483</v>
      </c>
      <c r="D286" s="16" t="s">
        <v>478</v>
      </c>
      <c r="E286" s="16" t="s">
        <v>484</v>
      </c>
      <c r="F286" s="18">
        <v>5220.0</v>
      </c>
      <c r="G286" s="18">
        <v>5220.0</v>
      </c>
      <c r="H286" s="18">
        <f t="shared" si="2"/>
        <v>0</v>
      </c>
      <c r="J286" s="15"/>
    </row>
    <row r="287" ht="13.5" customHeight="1">
      <c r="A287" s="16" t="s">
        <v>11</v>
      </c>
      <c r="B287" s="16" t="s">
        <v>125</v>
      </c>
      <c r="C287" s="17" t="s">
        <v>95</v>
      </c>
      <c r="D287" s="16" t="s">
        <v>485</v>
      </c>
      <c r="E287" s="24" t="s">
        <v>486</v>
      </c>
      <c r="F287" s="18">
        <v>1182.0</v>
      </c>
      <c r="G287" s="18">
        <v>1182.0</v>
      </c>
      <c r="H287" s="18">
        <f t="shared" si="2"/>
        <v>0</v>
      </c>
      <c r="J287" s="15"/>
    </row>
    <row r="288" ht="13.5" customHeight="1">
      <c r="A288" s="16" t="s">
        <v>11</v>
      </c>
      <c r="B288" s="16" t="s">
        <v>140</v>
      </c>
      <c r="C288" s="17" t="s">
        <v>144</v>
      </c>
      <c r="D288" s="16" t="s">
        <v>487</v>
      </c>
      <c r="E288" s="16" t="s">
        <v>488</v>
      </c>
      <c r="F288" s="18">
        <v>19380.0</v>
      </c>
      <c r="G288" s="18">
        <v>0.0</v>
      </c>
      <c r="H288" s="25">
        <f t="shared" si="2"/>
        <v>19380</v>
      </c>
      <c r="J288" s="15"/>
    </row>
    <row r="289" ht="13.5" customHeight="1">
      <c r="A289" s="16" t="s">
        <v>11</v>
      </c>
      <c r="B289" s="16" t="s">
        <v>140</v>
      </c>
      <c r="C289" s="17" t="s">
        <v>489</v>
      </c>
      <c r="D289" s="16" t="s">
        <v>487</v>
      </c>
      <c r="E289" s="24" t="s">
        <v>490</v>
      </c>
      <c r="F289" s="18">
        <v>21360.0</v>
      </c>
      <c r="G289" s="18">
        <v>21630.0</v>
      </c>
      <c r="H289" s="25">
        <f t="shared" si="2"/>
        <v>0</v>
      </c>
      <c r="J289" s="15"/>
    </row>
    <row r="290" ht="13.5" customHeight="1">
      <c r="A290" s="16" t="s">
        <v>11</v>
      </c>
      <c r="B290" s="16" t="s">
        <v>140</v>
      </c>
      <c r="C290" s="17" t="s">
        <v>161</v>
      </c>
      <c r="D290" s="16" t="s">
        <v>487</v>
      </c>
      <c r="E290" s="16" t="s">
        <v>491</v>
      </c>
      <c r="F290" s="18">
        <v>22500.0</v>
      </c>
      <c r="G290" s="18">
        <v>0.0</v>
      </c>
      <c r="H290" s="25">
        <f t="shared" si="2"/>
        <v>22500</v>
      </c>
      <c r="J290" s="15"/>
    </row>
    <row r="291" ht="13.5" customHeight="1">
      <c r="A291" s="16" t="s">
        <v>11</v>
      </c>
      <c r="B291" s="16" t="s">
        <v>140</v>
      </c>
      <c r="C291" s="17" t="s">
        <v>165</v>
      </c>
      <c r="D291" s="16" t="s">
        <v>487</v>
      </c>
      <c r="E291" s="16" t="s">
        <v>492</v>
      </c>
      <c r="F291" s="18">
        <v>15000.0</v>
      </c>
      <c r="G291" s="18">
        <v>0.0</v>
      </c>
      <c r="H291" s="25">
        <f t="shared" si="2"/>
        <v>15000</v>
      </c>
      <c r="J291" s="15"/>
    </row>
    <row r="292" ht="13.5" customHeight="1">
      <c r="A292" s="16" t="s">
        <v>11</v>
      </c>
      <c r="B292" s="16" t="s">
        <v>140</v>
      </c>
      <c r="C292" s="17" t="s">
        <v>493</v>
      </c>
      <c r="D292" s="16" t="s">
        <v>487</v>
      </c>
      <c r="E292" s="24" t="s">
        <v>494</v>
      </c>
      <c r="F292" s="18">
        <v>27720.0</v>
      </c>
      <c r="G292" s="18">
        <v>0.0</v>
      </c>
      <c r="H292" s="25">
        <f t="shared" si="2"/>
        <v>27720</v>
      </c>
      <c r="J292" s="15"/>
    </row>
    <row r="293" ht="13.5" customHeight="1">
      <c r="A293" s="16" t="s">
        <v>11</v>
      </c>
      <c r="B293" s="16" t="s">
        <v>140</v>
      </c>
      <c r="C293" s="17" t="s">
        <v>493</v>
      </c>
      <c r="D293" s="16" t="s">
        <v>487</v>
      </c>
      <c r="E293" s="16" t="s">
        <v>495</v>
      </c>
      <c r="F293" s="18">
        <v>6000.0</v>
      </c>
      <c r="G293" s="18">
        <v>0.0</v>
      </c>
      <c r="H293" s="25">
        <f t="shared" si="2"/>
        <v>6000</v>
      </c>
      <c r="J293" s="15"/>
    </row>
    <row r="294" ht="13.5" customHeight="1">
      <c r="A294" s="16" t="s">
        <v>11</v>
      </c>
      <c r="B294" s="16" t="s">
        <v>140</v>
      </c>
      <c r="C294" s="17" t="s">
        <v>493</v>
      </c>
      <c r="D294" s="16" t="s">
        <v>487</v>
      </c>
      <c r="E294" s="16" t="s">
        <v>496</v>
      </c>
      <c r="F294" s="18">
        <v>3000.0</v>
      </c>
      <c r="G294" s="18">
        <v>0.0</v>
      </c>
      <c r="H294" s="25">
        <f t="shared" si="2"/>
        <v>3000</v>
      </c>
      <c r="J294" s="15"/>
    </row>
    <row r="295" ht="13.5" customHeight="1">
      <c r="A295" s="16" t="s">
        <v>11</v>
      </c>
      <c r="B295" s="16" t="s">
        <v>140</v>
      </c>
      <c r="C295" s="17" t="s">
        <v>174</v>
      </c>
      <c r="D295" s="16" t="s">
        <v>487</v>
      </c>
      <c r="E295" s="16" t="s">
        <v>497</v>
      </c>
      <c r="F295" s="18">
        <v>18000.0</v>
      </c>
      <c r="G295" s="18">
        <v>0.0</v>
      </c>
      <c r="H295" s="25">
        <f t="shared" si="2"/>
        <v>18000</v>
      </c>
      <c r="J295" s="15"/>
    </row>
    <row r="296" ht="13.5" customHeight="1">
      <c r="A296" s="16" t="s">
        <v>11</v>
      </c>
      <c r="B296" s="16" t="s">
        <v>140</v>
      </c>
      <c r="C296" s="17" t="s">
        <v>483</v>
      </c>
      <c r="D296" s="16" t="s">
        <v>487</v>
      </c>
      <c r="E296" s="16" t="s">
        <v>498</v>
      </c>
      <c r="F296" s="18">
        <v>721500.0</v>
      </c>
      <c r="G296" s="18">
        <v>130015.0</v>
      </c>
      <c r="H296" s="25">
        <f t="shared" si="2"/>
        <v>591485</v>
      </c>
      <c r="J296" s="15"/>
    </row>
    <row r="297" ht="13.5" customHeight="1">
      <c r="A297" s="16" t="s">
        <v>11</v>
      </c>
      <c r="B297" s="16" t="s">
        <v>140</v>
      </c>
      <c r="C297" s="17" t="s">
        <v>176</v>
      </c>
      <c r="D297" s="16" t="s">
        <v>487</v>
      </c>
      <c r="E297" s="16" t="s">
        <v>457</v>
      </c>
      <c r="F297" s="18">
        <v>76500.0</v>
      </c>
      <c r="G297" s="18">
        <v>0.0</v>
      </c>
      <c r="H297" s="25">
        <f t="shared" si="2"/>
        <v>76500</v>
      </c>
      <c r="J297" s="15"/>
    </row>
    <row r="298" ht="13.5" customHeight="1">
      <c r="A298" s="16" t="s">
        <v>11</v>
      </c>
      <c r="B298" s="16" t="s">
        <v>140</v>
      </c>
      <c r="C298" s="17" t="s">
        <v>212</v>
      </c>
      <c r="D298" s="16" t="s">
        <v>487</v>
      </c>
      <c r="E298" s="16" t="s">
        <v>499</v>
      </c>
      <c r="F298" s="18">
        <v>13500.0</v>
      </c>
      <c r="G298" s="18">
        <v>0.0</v>
      </c>
      <c r="H298" s="25">
        <f t="shared" si="2"/>
        <v>13500</v>
      </c>
      <c r="J298" s="15"/>
    </row>
    <row r="299" ht="13.5" customHeight="1">
      <c r="A299" s="16" t="s">
        <v>11</v>
      </c>
      <c r="B299" s="16" t="s">
        <v>140</v>
      </c>
      <c r="C299" s="17" t="s">
        <v>78</v>
      </c>
      <c r="D299" s="16" t="s">
        <v>487</v>
      </c>
      <c r="E299" s="16" t="s">
        <v>500</v>
      </c>
      <c r="F299" s="18">
        <v>69000.0</v>
      </c>
      <c r="G299" s="18">
        <v>0.0</v>
      </c>
      <c r="H299" s="25">
        <f t="shared" si="2"/>
        <v>69000</v>
      </c>
      <c r="J299" s="15"/>
    </row>
    <row r="300" ht="13.5" customHeight="1">
      <c r="A300" s="16" t="s">
        <v>11</v>
      </c>
      <c r="B300" s="16" t="s">
        <v>140</v>
      </c>
      <c r="C300" s="17" t="s">
        <v>185</v>
      </c>
      <c r="D300" s="16" t="s">
        <v>487</v>
      </c>
      <c r="E300" s="16" t="s">
        <v>501</v>
      </c>
      <c r="F300" s="18">
        <v>19500.0</v>
      </c>
      <c r="G300" s="18">
        <v>0.0</v>
      </c>
      <c r="H300" s="25">
        <f t="shared" si="2"/>
        <v>19500</v>
      </c>
      <c r="J300" s="15"/>
    </row>
    <row r="301" ht="13.5" customHeight="1">
      <c r="A301" s="16" t="s">
        <v>11</v>
      </c>
      <c r="B301" s="16" t="s">
        <v>140</v>
      </c>
      <c r="C301" s="17" t="s">
        <v>80</v>
      </c>
      <c r="D301" s="16" t="s">
        <v>487</v>
      </c>
      <c r="E301" s="16" t="s">
        <v>502</v>
      </c>
      <c r="F301" s="18">
        <v>631470.0</v>
      </c>
      <c r="G301" s="18">
        <v>631470.0</v>
      </c>
      <c r="H301" s="18">
        <f t="shared" si="2"/>
        <v>0</v>
      </c>
      <c r="J301" s="15"/>
    </row>
    <row r="302" ht="13.5" customHeight="1">
      <c r="A302" s="16" t="s">
        <v>11</v>
      </c>
      <c r="B302" s="16" t="s">
        <v>140</v>
      </c>
      <c r="C302" s="17" t="s">
        <v>503</v>
      </c>
      <c r="D302" s="16" t="s">
        <v>487</v>
      </c>
      <c r="E302" s="16" t="s">
        <v>500</v>
      </c>
      <c r="F302" s="18">
        <v>17520.0</v>
      </c>
      <c r="G302" s="18">
        <v>17520.0</v>
      </c>
      <c r="H302" s="18">
        <f t="shared" si="2"/>
        <v>0</v>
      </c>
      <c r="J302" s="15"/>
    </row>
    <row r="303" ht="13.5" customHeight="1">
      <c r="A303" s="16" t="s">
        <v>11</v>
      </c>
      <c r="B303" s="16" t="s">
        <v>140</v>
      </c>
      <c r="C303" s="17" t="s">
        <v>288</v>
      </c>
      <c r="D303" s="16" t="s">
        <v>487</v>
      </c>
      <c r="E303" s="16" t="s">
        <v>504</v>
      </c>
      <c r="F303" s="18">
        <v>15000.0</v>
      </c>
      <c r="G303" s="18">
        <v>0.0</v>
      </c>
      <c r="H303" s="25">
        <f t="shared" si="2"/>
        <v>15000</v>
      </c>
      <c r="J303" s="15"/>
    </row>
    <row r="304" ht="13.5" customHeight="1">
      <c r="A304" s="16" t="s">
        <v>11</v>
      </c>
      <c r="B304" s="16" t="s">
        <v>140</v>
      </c>
      <c r="C304" s="17" t="s">
        <v>308</v>
      </c>
      <c r="D304" s="16" t="s">
        <v>487</v>
      </c>
      <c r="E304" s="16" t="s">
        <v>500</v>
      </c>
      <c r="F304" s="18">
        <v>17520.0</v>
      </c>
      <c r="G304" s="18">
        <v>17520.0</v>
      </c>
      <c r="H304" s="18">
        <f t="shared" si="2"/>
        <v>0</v>
      </c>
      <c r="J304" s="15"/>
    </row>
    <row r="305" ht="13.5" customHeight="1">
      <c r="A305" s="16" t="s">
        <v>11</v>
      </c>
      <c r="B305" s="16" t="s">
        <v>140</v>
      </c>
      <c r="C305" s="17" t="s">
        <v>219</v>
      </c>
      <c r="D305" s="16" t="s">
        <v>487</v>
      </c>
      <c r="E305" s="16" t="s">
        <v>505</v>
      </c>
      <c r="F305" s="18">
        <v>451050.0</v>
      </c>
      <c r="G305" s="18">
        <f>+Datos!$F305</f>
        <v>451050</v>
      </c>
      <c r="H305" s="25">
        <f t="shared" si="2"/>
        <v>0</v>
      </c>
      <c r="J305" s="15"/>
    </row>
    <row r="306" ht="13.5" customHeight="1">
      <c r="A306" s="16" t="s">
        <v>11</v>
      </c>
      <c r="B306" s="16" t="s">
        <v>140</v>
      </c>
      <c r="C306" s="17" t="s">
        <v>446</v>
      </c>
      <c r="D306" s="16" t="s">
        <v>487</v>
      </c>
      <c r="E306" s="16" t="s">
        <v>457</v>
      </c>
      <c r="F306" s="18">
        <v>70000.0</v>
      </c>
      <c r="G306" s="18">
        <v>0.0</v>
      </c>
      <c r="H306" s="25">
        <f t="shared" si="2"/>
        <v>70000</v>
      </c>
      <c r="J306" s="15"/>
    </row>
    <row r="307" ht="13.5" customHeight="1">
      <c r="A307" s="16" t="s">
        <v>11</v>
      </c>
      <c r="B307" s="16" t="s">
        <v>140</v>
      </c>
      <c r="C307" s="17" t="s">
        <v>506</v>
      </c>
      <c r="D307" s="16" t="s">
        <v>487</v>
      </c>
      <c r="E307" s="16" t="s">
        <v>507</v>
      </c>
      <c r="F307" s="18">
        <v>71000.0</v>
      </c>
      <c r="G307" s="18">
        <v>0.0</v>
      </c>
      <c r="H307" s="25">
        <f t="shared" si="2"/>
        <v>71000</v>
      </c>
      <c r="J307" s="15"/>
    </row>
    <row r="308" ht="13.5" customHeight="1">
      <c r="A308" s="16" t="s">
        <v>11</v>
      </c>
      <c r="B308" s="16" t="s">
        <v>140</v>
      </c>
      <c r="C308" s="17" t="s">
        <v>191</v>
      </c>
      <c r="D308" s="16" t="s">
        <v>487</v>
      </c>
      <c r="E308" s="16" t="s">
        <v>508</v>
      </c>
      <c r="F308" s="18">
        <v>24000.0</v>
      </c>
      <c r="G308" s="18">
        <v>0.0</v>
      </c>
      <c r="H308" s="25">
        <f t="shared" si="2"/>
        <v>24000</v>
      </c>
      <c r="J308" s="15"/>
    </row>
    <row r="309" ht="13.5" customHeight="1">
      <c r="A309" s="16" t="s">
        <v>11</v>
      </c>
      <c r="B309" s="16" t="s">
        <v>140</v>
      </c>
      <c r="C309" s="17" t="s">
        <v>191</v>
      </c>
      <c r="D309" s="16" t="s">
        <v>487</v>
      </c>
      <c r="E309" s="16" t="s">
        <v>509</v>
      </c>
      <c r="F309" s="18">
        <v>4355.0</v>
      </c>
      <c r="G309" s="18">
        <v>0.0</v>
      </c>
      <c r="H309" s="25">
        <f t="shared" si="2"/>
        <v>4355</v>
      </c>
      <c r="J309" s="15"/>
    </row>
    <row r="310" ht="13.5" customHeight="1">
      <c r="A310" s="16" t="s">
        <v>11</v>
      </c>
      <c r="B310" s="16" t="s">
        <v>140</v>
      </c>
      <c r="C310" s="17" t="s">
        <v>510</v>
      </c>
      <c r="D310" s="16" t="s">
        <v>487</v>
      </c>
      <c r="E310" s="16" t="s">
        <v>511</v>
      </c>
      <c r="F310" s="18">
        <v>634725.0</v>
      </c>
      <c r="G310" s="18">
        <f>+Datos!$F310</f>
        <v>634725</v>
      </c>
      <c r="H310" s="25">
        <f t="shared" si="2"/>
        <v>0</v>
      </c>
      <c r="J310" s="15"/>
    </row>
    <row r="311" ht="13.5" customHeight="1">
      <c r="A311" s="16" t="s">
        <v>11</v>
      </c>
      <c r="B311" s="16" t="s">
        <v>140</v>
      </c>
      <c r="C311" s="17" t="s">
        <v>199</v>
      </c>
      <c r="D311" s="16" t="s">
        <v>487</v>
      </c>
      <c r="E311" s="24" t="s">
        <v>512</v>
      </c>
      <c r="F311" s="18">
        <v>20040.0</v>
      </c>
      <c r="G311" s="18">
        <f>+Datos!$F311</f>
        <v>20040</v>
      </c>
      <c r="H311" s="25">
        <f t="shared" si="2"/>
        <v>0</v>
      </c>
      <c r="J311" s="15"/>
    </row>
    <row r="312" ht="13.5" customHeight="1">
      <c r="A312" s="16" t="s">
        <v>11</v>
      </c>
      <c r="B312" s="16" t="s">
        <v>140</v>
      </c>
      <c r="C312" s="17" t="s">
        <v>199</v>
      </c>
      <c r="D312" s="16" t="s">
        <v>487</v>
      </c>
      <c r="E312" s="16" t="s">
        <v>513</v>
      </c>
      <c r="F312" s="18">
        <v>7300.0</v>
      </c>
      <c r="G312" s="18">
        <f>+Datos!$F312</f>
        <v>7300</v>
      </c>
      <c r="H312" s="25">
        <f t="shared" si="2"/>
        <v>0</v>
      </c>
      <c r="J312" s="15"/>
    </row>
    <row r="313" ht="13.5" customHeight="1">
      <c r="A313" s="16" t="s">
        <v>11</v>
      </c>
      <c r="B313" s="16" t="s">
        <v>140</v>
      </c>
      <c r="C313" s="17" t="s">
        <v>259</v>
      </c>
      <c r="D313" s="16" t="s">
        <v>487</v>
      </c>
      <c r="E313" s="16" t="s">
        <v>514</v>
      </c>
      <c r="F313" s="18">
        <v>4255.0</v>
      </c>
      <c r="G313" s="18">
        <v>0.0</v>
      </c>
      <c r="H313" s="25">
        <f t="shared" si="2"/>
        <v>4255</v>
      </c>
      <c r="J313" s="15"/>
    </row>
    <row r="314" ht="13.5" customHeight="1">
      <c r="A314" s="16" t="s">
        <v>11</v>
      </c>
      <c r="B314" s="16" t="s">
        <v>140</v>
      </c>
      <c r="C314" s="17" t="s">
        <v>515</v>
      </c>
      <c r="D314" s="16" t="s">
        <v>487</v>
      </c>
      <c r="E314" s="16" t="s">
        <v>457</v>
      </c>
      <c r="F314" s="18">
        <v>28500.0</v>
      </c>
      <c r="G314" s="18">
        <v>0.0</v>
      </c>
      <c r="H314" s="25">
        <f t="shared" si="2"/>
        <v>28500</v>
      </c>
      <c r="J314" s="15"/>
    </row>
    <row r="315" ht="13.5" customHeight="1">
      <c r="A315" s="16" t="s">
        <v>11</v>
      </c>
      <c r="B315" s="16" t="s">
        <v>140</v>
      </c>
      <c r="C315" s="17" t="s">
        <v>317</v>
      </c>
      <c r="D315" s="16" t="s">
        <v>487</v>
      </c>
      <c r="E315" s="16" t="s">
        <v>500</v>
      </c>
      <c r="F315" s="18">
        <v>69000.0</v>
      </c>
      <c r="G315" s="18">
        <f>+Datos!$F315</f>
        <v>69000</v>
      </c>
      <c r="H315" s="25">
        <f t="shared" si="2"/>
        <v>0</v>
      </c>
      <c r="J315" s="15"/>
    </row>
    <row r="316" ht="13.5" customHeight="1">
      <c r="A316" s="16" t="s">
        <v>11</v>
      </c>
      <c r="B316" s="16" t="s">
        <v>140</v>
      </c>
      <c r="C316" s="17" t="s">
        <v>516</v>
      </c>
      <c r="D316" s="16" t="s">
        <v>487</v>
      </c>
      <c r="E316" s="16" t="s">
        <v>517</v>
      </c>
      <c r="F316" s="18">
        <v>69000.0</v>
      </c>
      <c r="G316" s="18">
        <v>0.0</v>
      </c>
      <c r="H316" s="25">
        <f t="shared" si="2"/>
        <v>69000</v>
      </c>
      <c r="J316" s="15"/>
    </row>
    <row r="317" ht="13.5" customHeight="1">
      <c r="A317" s="16" t="s">
        <v>11</v>
      </c>
      <c r="B317" s="16" t="s">
        <v>140</v>
      </c>
      <c r="C317" s="17" t="s">
        <v>428</v>
      </c>
      <c r="D317" s="16" t="s">
        <v>487</v>
      </c>
      <c r="E317" s="16" t="s">
        <v>457</v>
      </c>
      <c r="F317" s="18">
        <v>21000.0</v>
      </c>
      <c r="G317" s="18">
        <v>0.0</v>
      </c>
      <c r="H317" s="25">
        <f t="shared" si="2"/>
        <v>21000</v>
      </c>
      <c r="J317" s="15"/>
    </row>
    <row r="318" ht="13.5" customHeight="1">
      <c r="A318" s="16" t="s">
        <v>11</v>
      </c>
      <c r="B318" s="16" t="s">
        <v>140</v>
      </c>
      <c r="C318" s="17" t="s">
        <v>518</v>
      </c>
      <c r="D318" s="16" t="s">
        <v>487</v>
      </c>
      <c r="E318" s="24" t="s">
        <v>519</v>
      </c>
      <c r="F318" s="18">
        <v>25500.0</v>
      </c>
      <c r="G318" s="18">
        <v>0.0</v>
      </c>
      <c r="H318" s="25">
        <f t="shared" si="2"/>
        <v>25500</v>
      </c>
      <c r="J318" s="15"/>
    </row>
    <row r="319" ht="13.5" customHeight="1">
      <c r="A319" s="16" t="s">
        <v>11</v>
      </c>
      <c r="B319" s="16" t="s">
        <v>133</v>
      </c>
      <c r="C319" s="17" t="s">
        <v>520</v>
      </c>
      <c r="D319" s="16" t="s">
        <v>521</v>
      </c>
      <c r="E319" s="24" t="s">
        <v>522</v>
      </c>
      <c r="F319" s="18">
        <v>5946.97</v>
      </c>
      <c r="G319" s="18">
        <v>5946.97</v>
      </c>
      <c r="H319" s="18">
        <f t="shared" si="2"/>
        <v>0</v>
      </c>
      <c r="J319" s="15"/>
    </row>
    <row r="320" ht="13.5" customHeight="1">
      <c r="A320" s="16" t="s">
        <v>11</v>
      </c>
      <c r="B320" s="16" t="s">
        <v>125</v>
      </c>
      <c r="C320" s="17" t="s">
        <v>523</v>
      </c>
      <c r="D320" s="16" t="s">
        <v>524</v>
      </c>
      <c r="E320" s="24" t="s">
        <v>525</v>
      </c>
      <c r="F320" s="18">
        <v>1516.4</v>
      </c>
      <c r="G320" s="18">
        <v>1516.4</v>
      </c>
      <c r="H320" s="18">
        <f t="shared" si="2"/>
        <v>0</v>
      </c>
      <c r="J320" s="15"/>
    </row>
    <row r="321" ht="13.5" customHeight="1">
      <c r="A321" s="16" t="s">
        <v>11</v>
      </c>
      <c r="B321" s="16" t="s">
        <v>125</v>
      </c>
      <c r="C321" s="17" t="s">
        <v>361</v>
      </c>
      <c r="D321" s="16" t="s">
        <v>524</v>
      </c>
      <c r="E321" s="16" t="s">
        <v>526</v>
      </c>
      <c r="F321" s="18">
        <v>1740.0</v>
      </c>
      <c r="G321" s="18">
        <v>1740.0</v>
      </c>
      <c r="H321" s="18">
        <f t="shared" si="2"/>
        <v>0</v>
      </c>
      <c r="J321" s="15"/>
    </row>
    <row r="322" ht="13.5" customHeight="1">
      <c r="A322" s="16" t="s">
        <v>11</v>
      </c>
      <c r="B322" s="16" t="s">
        <v>133</v>
      </c>
      <c r="C322" s="17" t="s">
        <v>25</v>
      </c>
      <c r="D322" s="16" t="s">
        <v>527</v>
      </c>
      <c r="E322" s="16" t="s">
        <v>528</v>
      </c>
      <c r="F322" s="18">
        <v>2800.01</v>
      </c>
      <c r="G322" s="18">
        <v>2800.01</v>
      </c>
      <c r="H322" s="18">
        <f t="shared" si="2"/>
        <v>0</v>
      </c>
      <c r="J322" s="15"/>
    </row>
    <row r="323" ht="13.5" customHeight="1">
      <c r="A323" s="16" t="s">
        <v>11</v>
      </c>
      <c r="B323" s="16" t="s">
        <v>133</v>
      </c>
      <c r="C323" s="17" t="s">
        <v>317</v>
      </c>
      <c r="D323" s="16" t="s">
        <v>527</v>
      </c>
      <c r="E323" s="16" t="s">
        <v>528</v>
      </c>
      <c r="F323" s="18">
        <v>3100.0</v>
      </c>
      <c r="G323" s="18">
        <v>3100.0</v>
      </c>
      <c r="H323" s="18">
        <f t="shared" si="2"/>
        <v>0</v>
      </c>
      <c r="J323" s="15"/>
    </row>
    <row r="324" ht="13.5" customHeight="1">
      <c r="A324" s="16" t="s">
        <v>10</v>
      </c>
      <c r="B324" s="16" t="s">
        <v>91</v>
      </c>
      <c r="C324" s="17" t="s">
        <v>529</v>
      </c>
      <c r="D324" s="16" t="s">
        <v>530</v>
      </c>
      <c r="E324" s="16" t="s">
        <v>531</v>
      </c>
      <c r="F324" s="18">
        <v>550.0</v>
      </c>
      <c r="G324" s="18">
        <v>550.0</v>
      </c>
      <c r="H324" s="18">
        <f t="shared" si="2"/>
        <v>0</v>
      </c>
      <c r="J324" s="15"/>
    </row>
    <row r="325" ht="13.5" customHeight="1">
      <c r="A325" s="16" t="s">
        <v>10</v>
      </c>
      <c r="B325" s="16" t="s">
        <v>91</v>
      </c>
      <c r="C325" s="17" t="s">
        <v>99</v>
      </c>
      <c r="D325" s="16" t="s">
        <v>530</v>
      </c>
      <c r="E325" s="16" t="s">
        <v>532</v>
      </c>
      <c r="F325" s="18">
        <v>550.0</v>
      </c>
      <c r="G325" s="18">
        <v>550.0</v>
      </c>
      <c r="H325" s="18">
        <f t="shared" si="2"/>
        <v>0</v>
      </c>
      <c r="J325" s="15"/>
    </row>
    <row r="326" ht="13.5" customHeight="1">
      <c r="A326" s="16" t="s">
        <v>10</v>
      </c>
      <c r="B326" s="16" t="s">
        <v>91</v>
      </c>
      <c r="C326" s="17" t="s">
        <v>101</v>
      </c>
      <c r="D326" s="16" t="s">
        <v>530</v>
      </c>
      <c r="E326" s="16" t="s">
        <v>533</v>
      </c>
      <c r="F326" s="18">
        <v>550.0</v>
      </c>
      <c r="G326" s="18">
        <v>550.0</v>
      </c>
      <c r="H326" s="18">
        <f t="shared" si="2"/>
        <v>0</v>
      </c>
      <c r="J326" s="15"/>
    </row>
    <row r="327" ht="13.5" customHeight="1">
      <c r="A327" s="16" t="s">
        <v>10</v>
      </c>
      <c r="B327" s="16" t="s">
        <v>91</v>
      </c>
      <c r="C327" s="17" t="s">
        <v>534</v>
      </c>
      <c r="D327" s="16" t="s">
        <v>530</v>
      </c>
      <c r="E327" s="16" t="s">
        <v>535</v>
      </c>
      <c r="F327" s="18">
        <v>550.0</v>
      </c>
      <c r="G327" s="18">
        <v>550.0</v>
      </c>
      <c r="H327" s="18">
        <f t="shared" si="2"/>
        <v>0</v>
      </c>
      <c r="J327" s="15"/>
    </row>
    <row r="328" ht="13.5" customHeight="1">
      <c r="A328" s="16" t="s">
        <v>10</v>
      </c>
      <c r="B328" s="16" t="s">
        <v>91</v>
      </c>
      <c r="C328" s="17" t="s">
        <v>148</v>
      </c>
      <c r="D328" s="16" t="s">
        <v>530</v>
      </c>
      <c r="E328" s="16" t="s">
        <v>536</v>
      </c>
      <c r="F328" s="18">
        <v>580.0</v>
      </c>
      <c r="G328" s="18">
        <v>580.0</v>
      </c>
      <c r="H328" s="18">
        <f t="shared" si="2"/>
        <v>0</v>
      </c>
      <c r="J328" s="15"/>
    </row>
    <row r="329" ht="13.5" customHeight="1">
      <c r="A329" s="16" t="s">
        <v>10</v>
      </c>
      <c r="B329" s="16" t="s">
        <v>91</v>
      </c>
      <c r="C329" s="17" t="s">
        <v>537</v>
      </c>
      <c r="D329" s="16" t="s">
        <v>538</v>
      </c>
      <c r="E329" s="16" t="s">
        <v>539</v>
      </c>
      <c r="F329" s="18">
        <v>550.0</v>
      </c>
      <c r="G329" s="18">
        <v>550.0</v>
      </c>
      <c r="H329" s="18">
        <f t="shared" si="2"/>
        <v>0</v>
      </c>
      <c r="J329" s="15"/>
    </row>
    <row r="330" ht="13.5" customHeight="1">
      <c r="A330" s="16" t="s">
        <v>10</v>
      </c>
      <c r="B330" s="16" t="s">
        <v>91</v>
      </c>
      <c r="C330" s="17" t="s">
        <v>489</v>
      </c>
      <c r="D330" s="16" t="s">
        <v>530</v>
      </c>
      <c r="E330" s="16" t="s">
        <v>540</v>
      </c>
      <c r="F330" s="18">
        <v>550.0</v>
      </c>
      <c r="G330" s="18">
        <v>550.0</v>
      </c>
      <c r="H330" s="18">
        <f t="shared" si="2"/>
        <v>0</v>
      </c>
      <c r="J330" s="15"/>
    </row>
    <row r="331" ht="13.5" customHeight="1">
      <c r="A331" s="16" t="s">
        <v>10</v>
      </c>
      <c r="B331" s="16" t="s">
        <v>91</v>
      </c>
      <c r="C331" s="17" t="s">
        <v>541</v>
      </c>
      <c r="D331" s="16" t="s">
        <v>542</v>
      </c>
      <c r="E331" s="16" t="s">
        <v>543</v>
      </c>
      <c r="F331" s="18">
        <v>580.0</v>
      </c>
      <c r="G331" s="18">
        <v>580.0</v>
      </c>
      <c r="H331" s="18">
        <f t="shared" si="2"/>
        <v>0</v>
      </c>
      <c r="J331" s="15"/>
    </row>
    <row r="332" ht="13.5" customHeight="1">
      <c r="A332" s="16" t="s">
        <v>10</v>
      </c>
      <c r="B332" s="16" t="s">
        <v>91</v>
      </c>
      <c r="C332" s="17" t="s">
        <v>63</v>
      </c>
      <c r="D332" s="16" t="s">
        <v>542</v>
      </c>
      <c r="E332" s="16" t="s">
        <v>544</v>
      </c>
      <c r="F332" s="18">
        <v>580.0</v>
      </c>
      <c r="G332" s="18">
        <v>580.0</v>
      </c>
      <c r="H332" s="18">
        <f t="shared" si="2"/>
        <v>0</v>
      </c>
      <c r="J332" s="15"/>
    </row>
    <row r="333" ht="13.5" customHeight="1">
      <c r="A333" s="16" t="s">
        <v>11</v>
      </c>
      <c r="B333" s="16" t="s">
        <v>133</v>
      </c>
      <c r="C333" s="17" t="s">
        <v>545</v>
      </c>
      <c r="D333" s="16" t="s">
        <v>546</v>
      </c>
      <c r="E333" s="16" t="s">
        <v>547</v>
      </c>
      <c r="F333" s="18">
        <v>803.25</v>
      </c>
      <c r="G333" s="18">
        <v>803.25</v>
      </c>
      <c r="H333" s="18">
        <f t="shared" si="2"/>
        <v>0</v>
      </c>
      <c r="J333" s="15"/>
    </row>
    <row r="334" ht="13.5" customHeight="1">
      <c r="A334" s="16" t="s">
        <v>10</v>
      </c>
      <c r="B334" s="16" t="s">
        <v>548</v>
      </c>
      <c r="C334" s="29">
        <v>46015.0</v>
      </c>
      <c r="D334" s="16" t="s">
        <v>549</v>
      </c>
      <c r="E334" s="16" t="s">
        <v>550</v>
      </c>
      <c r="F334" s="18"/>
      <c r="G334" s="18"/>
      <c r="H334" s="25"/>
      <c r="J334" s="15"/>
    </row>
    <row r="335" ht="13.5" customHeight="1">
      <c r="A335" s="16" t="s">
        <v>10</v>
      </c>
      <c r="B335" s="16" t="s">
        <v>548</v>
      </c>
      <c r="C335" s="17" t="s">
        <v>219</v>
      </c>
      <c r="D335" s="16" t="s">
        <v>549</v>
      </c>
      <c r="E335" s="16" t="s">
        <v>550</v>
      </c>
      <c r="F335" s="18"/>
      <c r="G335" s="18"/>
      <c r="H335" s="25"/>
      <c r="J335" s="15"/>
    </row>
    <row r="336" ht="13.5" customHeight="1">
      <c r="A336" s="16" t="s">
        <v>10</v>
      </c>
      <c r="B336" s="16" t="s">
        <v>548</v>
      </c>
      <c r="C336" s="17" t="s">
        <v>118</v>
      </c>
      <c r="D336" s="16" t="s">
        <v>549</v>
      </c>
      <c r="E336" s="16" t="s">
        <v>550</v>
      </c>
      <c r="F336" s="18"/>
      <c r="G336" s="18"/>
      <c r="H336" s="25"/>
      <c r="J336" s="15"/>
    </row>
    <row r="337" ht="13.5" customHeight="1">
      <c r="A337" s="16" t="s">
        <v>10</v>
      </c>
      <c r="B337" s="16" t="s">
        <v>548</v>
      </c>
      <c r="C337" s="17" t="s">
        <v>191</v>
      </c>
      <c r="D337" s="16" t="s">
        <v>549</v>
      </c>
      <c r="E337" s="16" t="s">
        <v>550</v>
      </c>
      <c r="F337" s="18"/>
      <c r="G337" s="18"/>
      <c r="H337" s="25"/>
      <c r="J337" s="15"/>
    </row>
    <row r="338" ht="13.5" customHeight="1">
      <c r="A338" s="16" t="s">
        <v>10</v>
      </c>
      <c r="B338" s="16" t="s">
        <v>548</v>
      </c>
      <c r="C338" s="17" t="s">
        <v>272</v>
      </c>
      <c r="D338" s="16" t="s">
        <v>549</v>
      </c>
      <c r="E338" s="16" t="s">
        <v>550</v>
      </c>
      <c r="F338" s="18"/>
      <c r="G338" s="18"/>
      <c r="H338" s="25"/>
      <c r="J338" s="15"/>
    </row>
    <row r="339" ht="13.5" customHeight="1">
      <c r="A339" s="16" t="s">
        <v>10</v>
      </c>
      <c r="B339" s="16" t="s">
        <v>548</v>
      </c>
      <c r="C339" s="29">
        <v>45864.0</v>
      </c>
      <c r="D339" s="16" t="s">
        <v>549</v>
      </c>
      <c r="E339" s="16" t="s">
        <v>550</v>
      </c>
      <c r="F339" s="18">
        <v>25000.01</v>
      </c>
      <c r="G339" s="18">
        <v>25000.01</v>
      </c>
      <c r="H339" s="18">
        <f t="shared" ref="H339:H927" si="3">MAX(F339-G339,0)</f>
        <v>0</v>
      </c>
      <c r="J339" s="15"/>
    </row>
    <row r="340" ht="13.5" customHeight="1">
      <c r="A340" s="16" t="s">
        <v>11</v>
      </c>
      <c r="B340" s="16" t="s">
        <v>551</v>
      </c>
      <c r="C340" s="17" t="s">
        <v>92</v>
      </c>
      <c r="D340" s="16" t="s">
        <v>552</v>
      </c>
      <c r="E340" s="16" t="s">
        <v>553</v>
      </c>
      <c r="F340" s="18">
        <v>3860.0</v>
      </c>
      <c r="G340" s="18">
        <v>3860.0</v>
      </c>
      <c r="H340" s="18">
        <f t="shared" si="3"/>
        <v>0</v>
      </c>
      <c r="J340" s="15"/>
    </row>
    <row r="341" ht="13.5" customHeight="1">
      <c r="A341" s="16" t="s">
        <v>11</v>
      </c>
      <c r="B341" s="16" t="s">
        <v>551</v>
      </c>
      <c r="C341" s="17" t="s">
        <v>25</v>
      </c>
      <c r="D341" s="16" t="s">
        <v>552</v>
      </c>
      <c r="E341" s="16" t="s">
        <v>554</v>
      </c>
      <c r="F341" s="18">
        <v>3860.0</v>
      </c>
      <c r="G341" s="18">
        <v>3860.0</v>
      </c>
      <c r="H341" s="18">
        <f t="shared" si="3"/>
        <v>0</v>
      </c>
      <c r="J341" s="15"/>
    </row>
    <row r="342" ht="13.5" customHeight="1">
      <c r="A342" s="16" t="s">
        <v>11</v>
      </c>
      <c r="B342" s="16" t="s">
        <v>551</v>
      </c>
      <c r="C342" s="17" t="s">
        <v>421</v>
      </c>
      <c r="D342" s="16" t="s">
        <v>552</v>
      </c>
      <c r="E342" s="16" t="s">
        <v>555</v>
      </c>
      <c r="F342" s="18">
        <v>2400.0</v>
      </c>
      <c r="G342" s="18">
        <v>2400.0</v>
      </c>
      <c r="H342" s="18">
        <f t="shared" si="3"/>
        <v>0</v>
      </c>
      <c r="J342" s="15"/>
    </row>
    <row r="343" ht="13.5" customHeight="1">
      <c r="A343" s="16" t="s">
        <v>11</v>
      </c>
      <c r="B343" s="16" t="s">
        <v>551</v>
      </c>
      <c r="C343" s="17" t="s">
        <v>410</v>
      </c>
      <c r="D343" s="16" t="s">
        <v>552</v>
      </c>
      <c r="E343" s="16" t="s">
        <v>556</v>
      </c>
      <c r="F343" s="18">
        <v>3860.0</v>
      </c>
      <c r="G343" s="18">
        <v>3860.0</v>
      </c>
      <c r="H343" s="18">
        <f t="shared" si="3"/>
        <v>0</v>
      </c>
      <c r="J343" s="15"/>
    </row>
    <row r="344" ht="13.5" customHeight="1">
      <c r="A344" s="16" t="s">
        <v>11</v>
      </c>
      <c r="B344" s="16" t="s">
        <v>551</v>
      </c>
      <c r="C344" s="17" t="s">
        <v>126</v>
      </c>
      <c r="D344" s="16" t="s">
        <v>552</v>
      </c>
      <c r="E344" s="16" t="s">
        <v>557</v>
      </c>
      <c r="F344" s="18">
        <v>3360.0</v>
      </c>
      <c r="G344" s="18">
        <v>3360.0</v>
      </c>
      <c r="H344" s="18">
        <f t="shared" si="3"/>
        <v>0</v>
      </c>
      <c r="J344" s="15"/>
    </row>
    <row r="345" ht="13.5" customHeight="1">
      <c r="A345" s="16" t="s">
        <v>11</v>
      </c>
      <c r="B345" s="16" t="s">
        <v>551</v>
      </c>
      <c r="C345" s="17" t="s">
        <v>242</v>
      </c>
      <c r="D345" s="16" t="s">
        <v>552</v>
      </c>
      <c r="E345" s="16" t="s">
        <v>558</v>
      </c>
      <c r="F345" s="18">
        <v>3860.0</v>
      </c>
      <c r="G345" s="18">
        <v>3860.0</v>
      </c>
      <c r="H345" s="18">
        <f t="shared" si="3"/>
        <v>0</v>
      </c>
      <c r="J345" s="15"/>
    </row>
    <row r="346" ht="13.5" customHeight="1">
      <c r="A346" s="16" t="s">
        <v>11</v>
      </c>
      <c r="B346" s="16" t="s">
        <v>45</v>
      </c>
      <c r="C346" s="17" t="s">
        <v>254</v>
      </c>
      <c r="D346" s="16" t="s">
        <v>559</v>
      </c>
      <c r="E346" s="16" t="s">
        <v>560</v>
      </c>
      <c r="F346" s="18">
        <v>31777.75</v>
      </c>
      <c r="G346" s="18">
        <v>31777.75</v>
      </c>
      <c r="H346" s="18">
        <f t="shared" si="3"/>
        <v>0</v>
      </c>
      <c r="J346" s="15"/>
    </row>
    <row r="347" ht="13.5" customHeight="1">
      <c r="A347" s="16" t="s">
        <v>11</v>
      </c>
      <c r="B347" s="16" t="s">
        <v>45</v>
      </c>
      <c r="C347" s="17" t="s">
        <v>80</v>
      </c>
      <c r="D347" s="16" t="s">
        <v>559</v>
      </c>
      <c r="E347" s="16" t="s">
        <v>561</v>
      </c>
      <c r="F347" s="18">
        <v>40391.0</v>
      </c>
      <c r="G347" s="18">
        <v>40391.0</v>
      </c>
      <c r="H347" s="18">
        <f t="shared" si="3"/>
        <v>0</v>
      </c>
      <c r="J347" s="15"/>
    </row>
    <row r="348" ht="13.5" customHeight="1">
      <c r="A348" s="16" t="s">
        <v>11</v>
      </c>
      <c r="B348" s="16" t="s">
        <v>45</v>
      </c>
      <c r="C348" s="17" t="s">
        <v>84</v>
      </c>
      <c r="D348" s="16" t="s">
        <v>559</v>
      </c>
      <c r="E348" s="16" t="s">
        <v>562</v>
      </c>
      <c r="F348" s="18">
        <v>27300.0</v>
      </c>
      <c r="G348" s="18">
        <v>27300.0</v>
      </c>
      <c r="H348" s="18">
        <f t="shared" si="3"/>
        <v>0</v>
      </c>
      <c r="J348" s="15"/>
    </row>
    <row r="349" ht="13.5" customHeight="1">
      <c r="A349" s="16" t="s">
        <v>11</v>
      </c>
      <c r="B349" s="16" t="s">
        <v>45</v>
      </c>
      <c r="C349" s="17" t="s">
        <v>44</v>
      </c>
      <c r="D349" s="16" t="s">
        <v>559</v>
      </c>
      <c r="E349" s="16" t="s">
        <v>563</v>
      </c>
      <c r="F349" s="18">
        <v>73501.3</v>
      </c>
      <c r="G349" s="18">
        <v>73501.3</v>
      </c>
      <c r="H349" s="18">
        <f t="shared" si="3"/>
        <v>0</v>
      </c>
      <c r="J349" s="15"/>
    </row>
    <row r="350" ht="13.5" customHeight="1">
      <c r="A350" s="16" t="s">
        <v>11</v>
      </c>
      <c r="B350" s="16" t="s">
        <v>125</v>
      </c>
      <c r="C350" s="17" t="s">
        <v>113</v>
      </c>
      <c r="D350" s="16" t="s">
        <v>564</v>
      </c>
      <c r="E350" s="16" t="s">
        <v>565</v>
      </c>
      <c r="F350" s="18">
        <v>270.0</v>
      </c>
      <c r="G350" s="18">
        <v>270.0</v>
      </c>
      <c r="H350" s="18">
        <f t="shared" si="3"/>
        <v>0</v>
      </c>
      <c r="J350" s="15"/>
    </row>
    <row r="351" ht="13.5" customHeight="1">
      <c r="A351" s="16" t="s">
        <v>11</v>
      </c>
      <c r="B351" s="16" t="s">
        <v>314</v>
      </c>
      <c r="C351" s="17" t="s">
        <v>566</v>
      </c>
      <c r="D351" s="16" t="s">
        <v>564</v>
      </c>
      <c r="E351" s="16" t="s">
        <v>567</v>
      </c>
      <c r="F351" s="18">
        <v>339.9</v>
      </c>
      <c r="G351" s="18">
        <v>339.9</v>
      </c>
      <c r="H351" s="18">
        <f t="shared" si="3"/>
        <v>0</v>
      </c>
      <c r="J351" s="15"/>
    </row>
    <row r="352" ht="13.5" customHeight="1">
      <c r="A352" s="16" t="s">
        <v>11</v>
      </c>
      <c r="B352" s="16" t="s">
        <v>125</v>
      </c>
      <c r="C352" s="17" t="s">
        <v>568</v>
      </c>
      <c r="D352" s="16" t="s">
        <v>564</v>
      </c>
      <c r="E352" s="16" t="s">
        <v>569</v>
      </c>
      <c r="F352" s="18">
        <v>320.0</v>
      </c>
      <c r="G352" s="18">
        <v>320.0</v>
      </c>
      <c r="H352" s="18">
        <f t="shared" si="3"/>
        <v>0</v>
      </c>
      <c r="J352" s="15"/>
    </row>
    <row r="353" ht="13.5" customHeight="1">
      <c r="A353" s="16" t="s">
        <v>11</v>
      </c>
      <c r="B353" s="16" t="s">
        <v>125</v>
      </c>
      <c r="C353" s="17" t="s">
        <v>50</v>
      </c>
      <c r="D353" s="16" t="s">
        <v>564</v>
      </c>
      <c r="E353" s="16" t="s">
        <v>570</v>
      </c>
      <c r="F353" s="18">
        <v>200.0</v>
      </c>
      <c r="G353" s="18">
        <v>200.0</v>
      </c>
      <c r="H353" s="18">
        <f t="shared" si="3"/>
        <v>0</v>
      </c>
      <c r="J353" s="15"/>
    </row>
    <row r="354" ht="13.5" customHeight="1">
      <c r="A354" s="16" t="s">
        <v>11</v>
      </c>
      <c r="B354" s="16" t="s">
        <v>125</v>
      </c>
      <c r="C354" s="17" t="s">
        <v>534</v>
      </c>
      <c r="D354" s="16" t="s">
        <v>571</v>
      </c>
      <c r="E354" s="24" t="s">
        <v>572</v>
      </c>
      <c r="F354" s="18">
        <v>425.74</v>
      </c>
      <c r="G354" s="18">
        <v>425.74</v>
      </c>
      <c r="H354" s="18">
        <f t="shared" si="3"/>
        <v>0</v>
      </c>
      <c r="J354" s="15"/>
    </row>
    <row r="355" ht="13.5" customHeight="1">
      <c r="A355" s="16" t="s">
        <v>11</v>
      </c>
      <c r="B355" s="16" t="s">
        <v>87</v>
      </c>
      <c r="C355" s="17" t="s">
        <v>272</v>
      </c>
      <c r="D355" s="16" t="s">
        <v>573</v>
      </c>
      <c r="E355" s="24" t="s">
        <v>574</v>
      </c>
      <c r="F355" s="18">
        <v>253.63</v>
      </c>
      <c r="G355" s="18">
        <v>253.63</v>
      </c>
      <c r="H355" s="18">
        <f t="shared" si="3"/>
        <v>0</v>
      </c>
      <c r="J355" s="15"/>
    </row>
    <row r="356" ht="13.5" customHeight="1">
      <c r="A356" s="16" t="s">
        <v>11</v>
      </c>
      <c r="B356" s="16" t="s">
        <v>551</v>
      </c>
      <c r="C356" s="17" t="s">
        <v>22</v>
      </c>
      <c r="D356" s="16" t="s">
        <v>575</v>
      </c>
      <c r="E356" s="16" t="s">
        <v>33</v>
      </c>
      <c r="F356" s="18">
        <v>6000.0</v>
      </c>
      <c r="G356" s="18">
        <v>6000.0</v>
      </c>
      <c r="H356" s="18">
        <f t="shared" si="3"/>
        <v>0</v>
      </c>
      <c r="J356" s="15"/>
    </row>
    <row r="357" ht="13.5" customHeight="1">
      <c r="A357" s="16" t="s">
        <v>11</v>
      </c>
      <c r="B357" s="16" t="s">
        <v>551</v>
      </c>
      <c r="C357" s="17" t="s">
        <v>25</v>
      </c>
      <c r="D357" s="16" t="s">
        <v>575</v>
      </c>
      <c r="E357" s="16" t="s">
        <v>33</v>
      </c>
      <c r="F357" s="18">
        <v>6000.0</v>
      </c>
      <c r="G357" s="18">
        <v>6000.0</v>
      </c>
      <c r="H357" s="18">
        <f t="shared" si="3"/>
        <v>0</v>
      </c>
      <c r="J357" s="15"/>
    </row>
    <row r="358" ht="13.5" customHeight="1">
      <c r="A358" s="20" t="s">
        <v>6</v>
      </c>
      <c r="B358" s="21" t="s">
        <v>225</v>
      </c>
      <c r="C358" s="22" t="s">
        <v>576</v>
      </c>
      <c r="D358" s="21" t="s">
        <v>577</v>
      </c>
      <c r="E358" s="21" t="s">
        <v>578</v>
      </c>
      <c r="F358" s="23">
        <v>617187.5</v>
      </c>
      <c r="G358" s="23">
        <v>617187.5</v>
      </c>
      <c r="H358" s="23">
        <f t="shared" si="3"/>
        <v>0</v>
      </c>
      <c r="J358" s="15"/>
    </row>
    <row r="359" ht="13.5" customHeight="1">
      <c r="A359" s="20" t="s">
        <v>6</v>
      </c>
      <c r="B359" s="21" t="s">
        <v>225</v>
      </c>
      <c r="C359" s="22" t="s">
        <v>576</v>
      </c>
      <c r="D359" s="21" t="s">
        <v>577</v>
      </c>
      <c r="E359" s="21" t="s">
        <v>578</v>
      </c>
      <c r="F359" s="23">
        <v>617187.5</v>
      </c>
      <c r="G359" s="23">
        <v>617187.5</v>
      </c>
      <c r="H359" s="23">
        <f t="shared" si="3"/>
        <v>0</v>
      </c>
      <c r="J359" s="15"/>
    </row>
    <row r="360" ht="13.5" customHeight="1">
      <c r="A360" s="20" t="s">
        <v>6</v>
      </c>
      <c r="B360" s="21" t="s">
        <v>225</v>
      </c>
      <c r="C360" s="22" t="s">
        <v>579</v>
      </c>
      <c r="D360" s="21" t="s">
        <v>577</v>
      </c>
      <c r="E360" s="21" t="s">
        <v>578</v>
      </c>
      <c r="F360" s="23">
        <v>617187.5</v>
      </c>
      <c r="G360" s="23">
        <v>617187.5</v>
      </c>
      <c r="H360" s="23">
        <f t="shared" si="3"/>
        <v>0</v>
      </c>
      <c r="J360" s="15"/>
    </row>
    <row r="361" ht="13.5" customHeight="1">
      <c r="A361" s="16" t="s">
        <v>11</v>
      </c>
      <c r="B361" s="16" t="s">
        <v>551</v>
      </c>
      <c r="C361" s="17" t="s">
        <v>32</v>
      </c>
      <c r="D361" s="16" t="s">
        <v>575</v>
      </c>
      <c r="E361" s="16" t="s">
        <v>33</v>
      </c>
      <c r="F361" s="18">
        <v>6000.0</v>
      </c>
      <c r="G361" s="18">
        <v>6000.0</v>
      </c>
      <c r="H361" s="18">
        <f t="shared" si="3"/>
        <v>0</v>
      </c>
      <c r="J361" s="15"/>
    </row>
    <row r="362" ht="13.5" customHeight="1">
      <c r="A362" s="16" t="s">
        <v>11</v>
      </c>
      <c r="B362" s="16" t="s">
        <v>551</v>
      </c>
      <c r="C362" s="17" t="s">
        <v>34</v>
      </c>
      <c r="D362" s="16" t="s">
        <v>575</v>
      </c>
      <c r="E362" s="16" t="s">
        <v>33</v>
      </c>
      <c r="F362" s="18">
        <v>6000.0</v>
      </c>
      <c r="G362" s="18">
        <v>6000.0</v>
      </c>
      <c r="H362" s="18">
        <f t="shared" si="3"/>
        <v>0</v>
      </c>
      <c r="J362" s="15"/>
    </row>
    <row r="363" ht="13.5" customHeight="1">
      <c r="A363" s="16" t="s">
        <v>11</v>
      </c>
      <c r="B363" s="16" t="s">
        <v>551</v>
      </c>
      <c r="C363" s="17" t="s">
        <v>580</v>
      </c>
      <c r="D363" s="16" t="s">
        <v>575</v>
      </c>
      <c r="E363" s="16" t="s">
        <v>33</v>
      </c>
      <c r="F363" s="18">
        <v>6000.0</v>
      </c>
      <c r="G363" s="18">
        <v>6000.0</v>
      </c>
      <c r="H363" s="18">
        <f t="shared" si="3"/>
        <v>0</v>
      </c>
      <c r="J363" s="15"/>
    </row>
    <row r="364" ht="13.5" customHeight="1">
      <c r="A364" s="16" t="s">
        <v>11</v>
      </c>
      <c r="B364" s="16" t="s">
        <v>551</v>
      </c>
      <c r="C364" s="17" t="s">
        <v>35</v>
      </c>
      <c r="D364" s="16" t="s">
        <v>575</v>
      </c>
      <c r="E364" s="16" t="s">
        <v>33</v>
      </c>
      <c r="F364" s="18">
        <v>6000.0</v>
      </c>
      <c r="G364" s="18">
        <v>6000.0</v>
      </c>
      <c r="H364" s="18">
        <f t="shared" si="3"/>
        <v>0</v>
      </c>
      <c r="J364" s="15"/>
    </row>
    <row r="365" ht="13.5" customHeight="1">
      <c r="A365" s="16" t="s">
        <v>11</v>
      </c>
      <c r="B365" s="16" t="s">
        <v>551</v>
      </c>
      <c r="C365" s="17" t="s">
        <v>36</v>
      </c>
      <c r="D365" s="16" t="s">
        <v>575</v>
      </c>
      <c r="E365" s="16" t="s">
        <v>33</v>
      </c>
      <c r="F365" s="18">
        <v>6000.0</v>
      </c>
      <c r="G365" s="18">
        <v>6000.0</v>
      </c>
      <c r="H365" s="18">
        <f t="shared" si="3"/>
        <v>0</v>
      </c>
      <c r="J365" s="15"/>
    </row>
    <row r="366" ht="13.5" customHeight="1">
      <c r="A366" s="16" t="s">
        <v>11</v>
      </c>
      <c r="B366" s="16" t="s">
        <v>551</v>
      </c>
      <c r="C366" s="17" t="s">
        <v>37</v>
      </c>
      <c r="D366" s="16" t="s">
        <v>575</v>
      </c>
      <c r="E366" s="16" t="s">
        <v>33</v>
      </c>
      <c r="F366" s="18">
        <v>6000.0</v>
      </c>
      <c r="G366" s="18">
        <v>6000.0</v>
      </c>
      <c r="H366" s="18">
        <f t="shared" si="3"/>
        <v>0</v>
      </c>
      <c r="J366" s="15"/>
    </row>
    <row r="367" ht="13.5" customHeight="1">
      <c r="A367" s="16" t="s">
        <v>11</v>
      </c>
      <c r="B367" s="16" t="s">
        <v>551</v>
      </c>
      <c r="C367" s="17" t="s">
        <v>581</v>
      </c>
      <c r="D367" s="16" t="s">
        <v>575</v>
      </c>
      <c r="E367" s="16" t="s">
        <v>33</v>
      </c>
      <c r="F367" s="18">
        <v>6000.0</v>
      </c>
      <c r="G367" s="18">
        <v>6000.0</v>
      </c>
      <c r="H367" s="18">
        <f t="shared" si="3"/>
        <v>0</v>
      </c>
      <c r="J367" s="15"/>
    </row>
    <row r="368" ht="13.5" customHeight="1">
      <c r="A368" s="16" t="s">
        <v>11</v>
      </c>
      <c r="B368" s="16" t="s">
        <v>551</v>
      </c>
      <c r="C368" s="17" t="s">
        <v>582</v>
      </c>
      <c r="D368" s="16" t="s">
        <v>575</v>
      </c>
      <c r="E368" s="16" t="s">
        <v>33</v>
      </c>
      <c r="F368" s="18">
        <v>6000.0</v>
      </c>
      <c r="G368" s="18">
        <v>6000.0</v>
      </c>
      <c r="H368" s="18">
        <f t="shared" si="3"/>
        <v>0</v>
      </c>
      <c r="J368" s="15"/>
    </row>
    <row r="369" ht="13.5" customHeight="1">
      <c r="A369" s="16" t="s">
        <v>11</v>
      </c>
      <c r="B369" s="16" t="s">
        <v>551</v>
      </c>
      <c r="C369" s="17" t="s">
        <v>126</v>
      </c>
      <c r="D369" s="16" t="s">
        <v>575</v>
      </c>
      <c r="E369" s="16" t="s">
        <v>33</v>
      </c>
      <c r="F369" s="18">
        <v>6000.0</v>
      </c>
      <c r="G369" s="18">
        <v>6000.0</v>
      </c>
      <c r="H369" s="18">
        <f t="shared" si="3"/>
        <v>0</v>
      </c>
      <c r="J369" s="15"/>
    </row>
    <row r="370" ht="13.5" customHeight="1">
      <c r="A370" s="16" t="s">
        <v>11</v>
      </c>
      <c r="B370" s="16" t="s">
        <v>551</v>
      </c>
      <c r="C370" s="17" t="s">
        <v>40</v>
      </c>
      <c r="D370" s="16" t="s">
        <v>575</v>
      </c>
      <c r="E370" s="16" t="s">
        <v>33</v>
      </c>
      <c r="F370" s="18">
        <v>6000.0</v>
      </c>
      <c r="G370" s="18">
        <v>6000.0</v>
      </c>
      <c r="H370" s="18">
        <f t="shared" si="3"/>
        <v>0</v>
      </c>
      <c r="J370" s="15"/>
    </row>
    <row r="371" ht="13.5" customHeight="1">
      <c r="A371" s="16" t="s">
        <v>11</v>
      </c>
      <c r="B371" s="16" t="s">
        <v>551</v>
      </c>
      <c r="C371" s="17" t="s">
        <v>428</v>
      </c>
      <c r="D371" s="16" t="s">
        <v>575</v>
      </c>
      <c r="E371" s="16" t="s">
        <v>33</v>
      </c>
      <c r="F371" s="18">
        <v>6000.0</v>
      </c>
      <c r="G371" s="18">
        <v>6000.0</v>
      </c>
      <c r="H371" s="18">
        <f t="shared" si="3"/>
        <v>0</v>
      </c>
      <c r="J371" s="15"/>
    </row>
    <row r="372" ht="13.5" customHeight="1">
      <c r="A372" s="16" t="s">
        <v>11</v>
      </c>
      <c r="B372" s="16" t="s">
        <v>551</v>
      </c>
      <c r="C372" s="17" t="s">
        <v>41</v>
      </c>
      <c r="D372" s="16" t="s">
        <v>575</v>
      </c>
      <c r="E372" s="16" t="s">
        <v>33</v>
      </c>
      <c r="F372" s="18">
        <v>6000.0</v>
      </c>
      <c r="G372" s="18">
        <v>6000.0</v>
      </c>
      <c r="H372" s="18">
        <f t="shared" si="3"/>
        <v>0</v>
      </c>
      <c r="J372" s="15"/>
    </row>
    <row r="373" ht="13.5" customHeight="1">
      <c r="A373" s="16" t="s">
        <v>11</v>
      </c>
      <c r="B373" s="16" t="s">
        <v>551</v>
      </c>
      <c r="C373" s="17" t="s">
        <v>42</v>
      </c>
      <c r="D373" s="16" t="s">
        <v>575</v>
      </c>
      <c r="E373" s="16" t="s">
        <v>33</v>
      </c>
      <c r="F373" s="18">
        <v>6000.0</v>
      </c>
      <c r="G373" s="18">
        <v>6000.0</v>
      </c>
      <c r="H373" s="18">
        <f t="shared" si="3"/>
        <v>0</v>
      </c>
      <c r="J373" s="15"/>
    </row>
    <row r="374" ht="13.5" customHeight="1">
      <c r="A374" s="16" t="s">
        <v>11</v>
      </c>
      <c r="B374" s="16" t="s">
        <v>551</v>
      </c>
      <c r="C374" s="17" t="s">
        <v>583</v>
      </c>
      <c r="D374" s="16" t="s">
        <v>575</v>
      </c>
      <c r="E374" s="16" t="s">
        <v>33</v>
      </c>
      <c r="F374" s="18">
        <v>6000.0</v>
      </c>
      <c r="G374" s="18">
        <v>6000.0</v>
      </c>
      <c r="H374" s="18">
        <f t="shared" si="3"/>
        <v>0</v>
      </c>
      <c r="J374" s="15"/>
    </row>
    <row r="375" ht="13.5" customHeight="1">
      <c r="A375" s="16" t="s">
        <v>11</v>
      </c>
      <c r="B375" s="16" t="s">
        <v>551</v>
      </c>
      <c r="C375" s="17" t="s">
        <v>43</v>
      </c>
      <c r="D375" s="16" t="s">
        <v>575</v>
      </c>
      <c r="E375" s="16" t="s">
        <v>33</v>
      </c>
      <c r="F375" s="18">
        <v>6000.0</v>
      </c>
      <c r="G375" s="18">
        <v>6000.0</v>
      </c>
      <c r="H375" s="18">
        <f t="shared" si="3"/>
        <v>0</v>
      </c>
      <c r="J375" s="15"/>
    </row>
    <row r="376" ht="13.5" customHeight="1">
      <c r="A376" s="16" t="s">
        <v>11</v>
      </c>
      <c r="B376" s="16" t="s">
        <v>551</v>
      </c>
      <c r="C376" s="17" t="s">
        <v>44</v>
      </c>
      <c r="D376" s="16" t="s">
        <v>575</v>
      </c>
      <c r="E376" s="16" t="s">
        <v>33</v>
      </c>
      <c r="F376" s="18">
        <v>6000.0</v>
      </c>
      <c r="G376" s="18">
        <v>6000.0</v>
      </c>
      <c r="H376" s="18">
        <f t="shared" si="3"/>
        <v>0</v>
      </c>
      <c r="J376" s="15"/>
    </row>
    <row r="377" ht="13.5" customHeight="1">
      <c r="A377" s="16" t="s">
        <v>11</v>
      </c>
      <c r="B377" s="16" t="s">
        <v>551</v>
      </c>
      <c r="C377" s="17" t="s">
        <v>518</v>
      </c>
      <c r="D377" s="16" t="s">
        <v>575</v>
      </c>
      <c r="E377" s="16" t="s">
        <v>33</v>
      </c>
      <c r="F377" s="18">
        <v>6000.0</v>
      </c>
      <c r="G377" s="18">
        <v>6000.0</v>
      </c>
      <c r="H377" s="18">
        <f t="shared" si="3"/>
        <v>0</v>
      </c>
      <c r="J377" s="15"/>
    </row>
    <row r="378" ht="13.5" customHeight="1">
      <c r="A378" s="16" t="s">
        <v>11</v>
      </c>
      <c r="B378" s="16" t="s">
        <v>129</v>
      </c>
      <c r="C378" s="17" t="s">
        <v>584</v>
      </c>
      <c r="D378" s="16" t="s">
        <v>585</v>
      </c>
      <c r="E378" s="16" t="s">
        <v>586</v>
      </c>
      <c r="F378" s="18">
        <v>1825000.0</v>
      </c>
      <c r="G378" s="18">
        <v>1825000.0</v>
      </c>
      <c r="H378" s="18">
        <f t="shared" si="3"/>
        <v>0</v>
      </c>
      <c r="J378" s="15"/>
    </row>
    <row r="379" ht="13.5" customHeight="1">
      <c r="A379" s="16" t="s">
        <v>11</v>
      </c>
      <c r="B379" s="16" t="s">
        <v>587</v>
      </c>
      <c r="C379" s="17" t="s">
        <v>148</v>
      </c>
      <c r="D379" s="16" t="s">
        <v>588</v>
      </c>
      <c r="E379" s="16" t="s">
        <v>589</v>
      </c>
      <c r="F379" s="18">
        <v>85770.0</v>
      </c>
      <c r="G379" s="18">
        <v>85770.0</v>
      </c>
      <c r="H379" s="18">
        <f t="shared" si="3"/>
        <v>0</v>
      </c>
      <c r="J379" s="15"/>
    </row>
    <row r="380" ht="13.5" customHeight="1">
      <c r="A380" s="16" t="s">
        <v>11</v>
      </c>
      <c r="B380" s="16" t="s">
        <v>298</v>
      </c>
      <c r="C380" s="17" t="s">
        <v>475</v>
      </c>
      <c r="D380" s="16" t="s">
        <v>590</v>
      </c>
      <c r="E380" s="16" t="s">
        <v>591</v>
      </c>
      <c r="F380" s="18">
        <v>41513.92</v>
      </c>
      <c r="G380" s="18">
        <v>41513.92</v>
      </c>
      <c r="H380" s="18">
        <f t="shared" si="3"/>
        <v>0</v>
      </c>
      <c r="J380" s="15"/>
    </row>
    <row r="381" ht="13.5" customHeight="1">
      <c r="A381" s="16" t="s">
        <v>11</v>
      </c>
      <c r="B381" s="16" t="s">
        <v>133</v>
      </c>
      <c r="C381" s="17" t="s">
        <v>40</v>
      </c>
      <c r="D381" s="16" t="s">
        <v>592</v>
      </c>
      <c r="E381" s="16" t="s">
        <v>593</v>
      </c>
      <c r="F381" s="18">
        <v>628.72</v>
      </c>
      <c r="G381" s="18">
        <v>628.72</v>
      </c>
      <c r="H381" s="18">
        <f t="shared" si="3"/>
        <v>0</v>
      </c>
      <c r="J381" s="15"/>
    </row>
    <row r="382" ht="13.5" customHeight="1">
      <c r="A382" s="16" t="s">
        <v>11</v>
      </c>
      <c r="B382" s="16" t="s">
        <v>125</v>
      </c>
      <c r="C382" s="17" t="s">
        <v>568</v>
      </c>
      <c r="D382" s="16" t="s">
        <v>594</v>
      </c>
      <c r="E382" s="16" t="s">
        <v>595</v>
      </c>
      <c r="F382" s="18">
        <v>696.0</v>
      </c>
      <c r="G382" s="18">
        <v>696.0</v>
      </c>
      <c r="H382" s="18">
        <f t="shared" si="3"/>
        <v>0</v>
      </c>
      <c r="J382" s="15"/>
    </row>
    <row r="383" ht="13.5" customHeight="1">
      <c r="A383" s="16" t="s">
        <v>11</v>
      </c>
      <c r="B383" s="16" t="s">
        <v>125</v>
      </c>
      <c r="C383" s="17" t="s">
        <v>38</v>
      </c>
      <c r="D383" s="16" t="s">
        <v>594</v>
      </c>
      <c r="E383" s="16" t="s">
        <v>596</v>
      </c>
      <c r="F383" s="18">
        <v>556.8</v>
      </c>
      <c r="G383" s="18">
        <v>556.8</v>
      </c>
      <c r="H383" s="18">
        <f t="shared" si="3"/>
        <v>0</v>
      </c>
      <c r="J383" s="15"/>
    </row>
    <row r="384" ht="13.5" customHeight="1">
      <c r="A384" s="16" t="s">
        <v>11</v>
      </c>
      <c r="B384" s="16" t="s">
        <v>125</v>
      </c>
      <c r="C384" s="17" t="s">
        <v>259</v>
      </c>
      <c r="D384" s="16" t="s">
        <v>594</v>
      </c>
      <c r="E384" s="24" t="s">
        <v>597</v>
      </c>
      <c r="F384" s="18">
        <v>6380.0</v>
      </c>
      <c r="G384" s="18">
        <v>6380.0</v>
      </c>
      <c r="H384" s="18">
        <f t="shared" si="3"/>
        <v>0</v>
      </c>
      <c r="J384" s="15"/>
    </row>
    <row r="385" ht="13.5" customHeight="1">
      <c r="A385" s="16" t="s">
        <v>11</v>
      </c>
      <c r="B385" s="16" t="s">
        <v>133</v>
      </c>
      <c r="C385" s="17" t="s">
        <v>41</v>
      </c>
      <c r="D385" s="16" t="s">
        <v>598</v>
      </c>
      <c r="E385" s="16" t="s">
        <v>599</v>
      </c>
      <c r="F385" s="18">
        <v>16356.0</v>
      </c>
      <c r="G385" s="18">
        <v>16356.0</v>
      </c>
      <c r="H385" s="18">
        <f t="shared" si="3"/>
        <v>0</v>
      </c>
      <c r="J385" s="15"/>
    </row>
    <row r="386" ht="13.5" customHeight="1">
      <c r="A386" s="16" t="s">
        <v>11</v>
      </c>
      <c r="B386" s="16" t="s">
        <v>133</v>
      </c>
      <c r="C386" s="17" t="s">
        <v>600</v>
      </c>
      <c r="D386" s="16" t="s">
        <v>601</v>
      </c>
      <c r="E386" s="24" t="s">
        <v>602</v>
      </c>
      <c r="F386" s="18">
        <v>858.4</v>
      </c>
      <c r="G386" s="18">
        <v>858.4</v>
      </c>
      <c r="H386" s="18">
        <f t="shared" si="3"/>
        <v>0</v>
      </c>
      <c r="J386" s="15"/>
    </row>
    <row r="387" ht="13.5" customHeight="1">
      <c r="A387" s="16" t="s">
        <v>10</v>
      </c>
      <c r="B387" s="16" t="s">
        <v>603</v>
      </c>
      <c r="C387" s="17" t="s">
        <v>126</v>
      </c>
      <c r="D387" s="16" t="s">
        <v>604</v>
      </c>
      <c r="E387" s="16" t="s">
        <v>605</v>
      </c>
      <c r="F387" s="18">
        <v>2937.08</v>
      </c>
      <c r="G387" s="18">
        <v>2937.08</v>
      </c>
      <c r="H387" s="18">
        <f t="shared" si="3"/>
        <v>0</v>
      </c>
      <c r="J387" s="15"/>
    </row>
    <row r="388" ht="13.5" customHeight="1">
      <c r="A388" s="16" t="s">
        <v>10</v>
      </c>
      <c r="B388" s="16" t="s">
        <v>603</v>
      </c>
      <c r="C388" s="17" t="s">
        <v>126</v>
      </c>
      <c r="D388" s="16" t="s">
        <v>604</v>
      </c>
      <c r="E388" s="16" t="s">
        <v>605</v>
      </c>
      <c r="F388" s="18">
        <v>1571.02</v>
      </c>
      <c r="G388" s="18">
        <v>1571.02</v>
      </c>
      <c r="H388" s="18">
        <f t="shared" si="3"/>
        <v>0</v>
      </c>
      <c r="J388" s="15"/>
    </row>
    <row r="389" ht="13.5" customHeight="1">
      <c r="A389" s="16" t="s">
        <v>10</v>
      </c>
      <c r="B389" s="16" t="s">
        <v>603</v>
      </c>
      <c r="C389" s="17" t="s">
        <v>217</v>
      </c>
      <c r="D389" s="16" t="s">
        <v>606</v>
      </c>
      <c r="E389" s="16" t="s">
        <v>605</v>
      </c>
      <c r="F389" s="18">
        <v>1571.02</v>
      </c>
      <c r="G389" s="18">
        <v>1571.02</v>
      </c>
      <c r="H389" s="18">
        <f t="shared" si="3"/>
        <v>0</v>
      </c>
      <c r="J389" s="15"/>
    </row>
    <row r="390" ht="13.5" customHeight="1">
      <c r="A390" s="16" t="s">
        <v>10</v>
      </c>
      <c r="B390" s="16" t="s">
        <v>603</v>
      </c>
      <c r="C390" s="17" t="s">
        <v>217</v>
      </c>
      <c r="D390" s="16" t="s">
        <v>606</v>
      </c>
      <c r="E390" s="16" t="s">
        <v>605</v>
      </c>
      <c r="F390" s="18">
        <v>2937.08</v>
      </c>
      <c r="G390" s="18">
        <v>2937.08</v>
      </c>
      <c r="H390" s="18">
        <f t="shared" si="3"/>
        <v>0</v>
      </c>
      <c r="J390" s="15"/>
    </row>
    <row r="391" ht="13.5" customHeight="1">
      <c r="A391" s="16" t="s">
        <v>10</v>
      </c>
      <c r="B391" s="16" t="s">
        <v>603</v>
      </c>
      <c r="C391" s="17" t="s">
        <v>217</v>
      </c>
      <c r="D391" s="16" t="s">
        <v>606</v>
      </c>
      <c r="E391" s="16" t="s">
        <v>605</v>
      </c>
      <c r="F391" s="18">
        <v>3142.04</v>
      </c>
      <c r="G391" s="18">
        <v>3142.04</v>
      </c>
      <c r="H391" s="18">
        <f t="shared" si="3"/>
        <v>0</v>
      </c>
      <c r="J391" s="15"/>
    </row>
    <row r="392" ht="13.5" customHeight="1">
      <c r="A392" s="16" t="s">
        <v>10</v>
      </c>
      <c r="B392" s="16" t="s">
        <v>603</v>
      </c>
      <c r="C392" s="17" t="s">
        <v>217</v>
      </c>
      <c r="D392" s="16" t="s">
        <v>606</v>
      </c>
      <c r="E392" s="16" t="s">
        <v>605</v>
      </c>
      <c r="F392" s="18">
        <v>10279.78</v>
      </c>
      <c r="G392" s="18">
        <v>10279.78</v>
      </c>
      <c r="H392" s="18">
        <f t="shared" si="3"/>
        <v>0</v>
      </c>
      <c r="J392" s="15"/>
    </row>
    <row r="393" ht="13.5" customHeight="1">
      <c r="A393" s="16" t="s">
        <v>10</v>
      </c>
      <c r="B393" s="16" t="s">
        <v>603</v>
      </c>
      <c r="C393" s="17" t="s">
        <v>545</v>
      </c>
      <c r="D393" s="16" t="s">
        <v>606</v>
      </c>
      <c r="E393" s="16" t="s">
        <v>605</v>
      </c>
      <c r="F393" s="18">
        <v>6979.0</v>
      </c>
      <c r="G393" s="18">
        <v>6979.0</v>
      </c>
      <c r="H393" s="18">
        <f t="shared" si="3"/>
        <v>0</v>
      </c>
      <c r="J393" s="15"/>
    </row>
    <row r="394" ht="13.5" customHeight="1">
      <c r="A394" s="16" t="s">
        <v>10</v>
      </c>
      <c r="B394" s="16" t="s">
        <v>603</v>
      </c>
      <c r="C394" s="17" t="s">
        <v>545</v>
      </c>
      <c r="D394" s="16" t="s">
        <v>606</v>
      </c>
      <c r="E394" s="16" t="s">
        <v>605</v>
      </c>
      <c r="F394" s="18">
        <v>4951.24</v>
      </c>
      <c r="G394" s="18">
        <v>4951.24</v>
      </c>
      <c r="H394" s="18">
        <f t="shared" si="3"/>
        <v>0</v>
      </c>
      <c r="J394" s="15"/>
    </row>
    <row r="395" ht="13.5" customHeight="1">
      <c r="A395" s="16" t="s">
        <v>10</v>
      </c>
      <c r="B395" s="16" t="s">
        <v>603</v>
      </c>
      <c r="C395" s="17" t="s">
        <v>545</v>
      </c>
      <c r="D395" s="16" t="s">
        <v>606</v>
      </c>
      <c r="E395" s="16" t="s">
        <v>605</v>
      </c>
      <c r="F395" s="18">
        <v>25249.76</v>
      </c>
      <c r="G395" s="18">
        <v>25249.76</v>
      </c>
      <c r="H395" s="18">
        <f t="shared" si="3"/>
        <v>0</v>
      </c>
      <c r="J395" s="15"/>
    </row>
    <row r="396" ht="13.5" customHeight="1">
      <c r="A396" s="16" t="s">
        <v>10</v>
      </c>
      <c r="B396" s="16" t="s">
        <v>603</v>
      </c>
      <c r="C396" s="17" t="s">
        <v>545</v>
      </c>
      <c r="D396" s="16" t="s">
        <v>606</v>
      </c>
      <c r="E396" s="16" t="s">
        <v>605</v>
      </c>
      <c r="F396" s="18">
        <v>2280.13</v>
      </c>
      <c r="G396" s="18">
        <v>2280.13</v>
      </c>
      <c r="H396" s="18">
        <f t="shared" si="3"/>
        <v>0</v>
      </c>
      <c r="J396" s="15"/>
    </row>
    <row r="397" ht="13.5" customHeight="1">
      <c r="A397" s="16" t="s">
        <v>10</v>
      </c>
      <c r="B397" s="16" t="s">
        <v>603</v>
      </c>
      <c r="C397" s="17" t="s">
        <v>545</v>
      </c>
      <c r="D397" s="16" t="s">
        <v>606</v>
      </c>
      <c r="E397" s="16" t="s">
        <v>605</v>
      </c>
      <c r="F397" s="18">
        <v>2933.24</v>
      </c>
      <c r="G397" s="18">
        <v>2933.24</v>
      </c>
      <c r="H397" s="18">
        <f t="shared" si="3"/>
        <v>0</v>
      </c>
      <c r="J397" s="15"/>
    </row>
    <row r="398" ht="13.5" customHeight="1">
      <c r="A398" s="16" t="s">
        <v>10</v>
      </c>
      <c r="B398" s="16" t="s">
        <v>603</v>
      </c>
      <c r="C398" s="17" t="s">
        <v>607</v>
      </c>
      <c r="D398" s="16" t="s">
        <v>606</v>
      </c>
      <c r="E398" s="16" t="s">
        <v>605</v>
      </c>
      <c r="F398" s="18">
        <v>43565.79</v>
      </c>
      <c r="G398" s="18">
        <v>43565.79</v>
      </c>
      <c r="H398" s="18">
        <f t="shared" si="3"/>
        <v>0</v>
      </c>
      <c r="J398" s="15"/>
    </row>
    <row r="399" ht="13.5" customHeight="1">
      <c r="A399" s="16" t="s">
        <v>10</v>
      </c>
      <c r="B399" s="16" t="s">
        <v>603</v>
      </c>
      <c r="C399" s="17" t="s">
        <v>607</v>
      </c>
      <c r="D399" s="16" t="s">
        <v>606</v>
      </c>
      <c r="E399" s="16" t="s">
        <v>605</v>
      </c>
      <c r="F399" s="18">
        <v>7093.92</v>
      </c>
      <c r="G399" s="18">
        <v>7093.92</v>
      </c>
      <c r="H399" s="18">
        <f t="shared" si="3"/>
        <v>0</v>
      </c>
      <c r="J399" s="15"/>
    </row>
    <row r="400" ht="13.5" customHeight="1">
      <c r="A400" s="16" t="s">
        <v>10</v>
      </c>
      <c r="B400" s="16" t="s">
        <v>603</v>
      </c>
      <c r="C400" s="17" t="s">
        <v>607</v>
      </c>
      <c r="D400" s="16" t="s">
        <v>606</v>
      </c>
      <c r="E400" s="16" t="s">
        <v>605</v>
      </c>
      <c r="F400" s="18">
        <v>11497.12</v>
      </c>
      <c r="G400" s="18">
        <v>11497.12</v>
      </c>
      <c r="H400" s="18">
        <f t="shared" si="3"/>
        <v>0</v>
      </c>
      <c r="J400" s="15"/>
    </row>
    <row r="401" ht="13.5" customHeight="1">
      <c r="A401" s="16" t="s">
        <v>10</v>
      </c>
      <c r="B401" s="16" t="s">
        <v>603</v>
      </c>
      <c r="C401" s="17" t="s">
        <v>607</v>
      </c>
      <c r="D401" s="16" t="s">
        <v>606</v>
      </c>
      <c r="E401" s="16" t="s">
        <v>605</v>
      </c>
      <c r="F401" s="18">
        <v>59848.88</v>
      </c>
      <c r="G401" s="18">
        <v>59848.88</v>
      </c>
      <c r="H401" s="18">
        <f t="shared" si="3"/>
        <v>0</v>
      </c>
      <c r="J401" s="15"/>
    </row>
    <row r="402" ht="13.5" customHeight="1">
      <c r="A402" s="16" t="s">
        <v>10</v>
      </c>
      <c r="B402" s="16" t="s">
        <v>603</v>
      </c>
      <c r="C402" s="17" t="s">
        <v>607</v>
      </c>
      <c r="D402" s="16" t="s">
        <v>606</v>
      </c>
      <c r="E402" s="16" t="s">
        <v>605</v>
      </c>
      <c r="F402" s="18">
        <v>21127.46</v>
      </c>
      <c r="G402" s="18">
        <v>21127.46</v>
      </c>
      <c r="H402" s="18">
        <f t="shared" si="3"/>
        <v>0</v>
      </c>
      <c r="J402" s="15"/>
    </row>
    <row r="403" ht="13.5" customHeight="1">
      <c r="A403" s="16" t="s">
        <v>10</v>
      </c>
      <c r="B403" s="16" t="s">
        <v>603</v>
      </c>
      <c r="C403" s="17" t="s">
        <v>608</v>
      </c>
      <c r="D403" s="16" t="s">
        <v>606</v>
      </c>
      <c r="E403" s="16" t="s">
        <v>605</v>
      </c>
      <c r="F403" s="18">
        <v>1425.08</v>
      </c>
      <c r="G403" s="18">
        <v>1425.08</v>
      </c>
      <c r="H403" s="18">
        <f t="shared" si="3"/>
        <v>0</v>
      </c>
      <c r="J403" s="15"/>
    </row>
    <row r="404" ht="13.5" customHeight="1">
      <c r="A404" s="16" t="s">
        <v>10</v>
      </c>
      <c r="B404" s="16" t="s">
        <v>603</v>
      </c>
      <c r="C404" s="17" t="s">
        <v>608</v>
      </c>
      <c r="D404" s="16" t="s">
        <v>606</v>
      </c>
      <c r="E404" s="16" t="s">
        <v>605</v>
      </c>
      <c r="F404" s="18">
        <v>2850.16</v>
      </c>
      <c r="G404" s="18">
        <v>2850.16</v>
      </c>
      <c r="H404" s="18">
        <f t="shared" si="3"/>
        <v>0</v>
      </c>
      <c r="J404" s="15"/>
    </row>
    <row r="405" ht="13.5" customHeight="1">
      <c r="A405" s="16" t="s">
        <v>10</v>
      </c>
      <c r="B405" s="16" t="s">
        <v>603</v>
      </c>
      <c r="C405" s="17" t="s">
        <v>608</v>
      </c>
      <c r="D405" s="16" t="s">
        <v>606</v>
      </c>
      <c r="E405" s="16" t="s">
        <v>605</v>
      </c>
      <c r="F405" s="18">
        <v>5398.34</v>
      </c>
      <c r="G405" s="18">
        <v>5398.34</v>
      </c>
      <c r="H405" s="18">
        <f t="shared" si="3"/>
        <v>0</v>
      </c>
      <c r="J405" s="15"/>
    </row>
    <row r="406" ht="13.5" customHeight="1">
      <c r="A406" s="16" t="s">
        <v>10</v>
      </c>
      <c r="B406" s="16" t="s">
        <v>603</v>
      </c>
      <c r="C406" s="17" t="s">
        <v>608</v>
      </c>
      <c r="D406" s="16" t="s">
        <v>606</v>
      </c>
      <c r="E406" s="16" t="s">
        <v>605</v>
      </c>
      <c r="F406" s="18">
        <v>13520.38</v>
      </c>
      <c r="G406" s="18">
        <v>13520.38</v>
      </c>
      <c r="H406" s="18">
        <f t="shared" si="3"/>
        <v>0</v>
      </c>
      <c r="J406" s="15"/>
    </row>
    <row r="407" ht="13.5" customHeight="1">
      <c r="A407" s="16" t="s">
        <v>10</v>
      </c>
      <c r="B407" s="16" t="s">
        <v>603</v>
      </c>
      <c r="C407" s="17" t="s">
        <v>609</v>
      </c>
      <c r="D407" s="16" t="s">
        <v>606</v>
      </c>
      <c r="E407" s="16" t="s">
        <v>605</v>
      </c>
      <c r="F407" s="18">
        <v>3949.63</v>
      </c>
      <c r="G407" s="18">
        <v>3949.63</v>
      </c>
      <c r="H407" s="18">
        <f t="shared" si="3"/>
        <v>0</v>
      </c>
      <c r="J407" s="15"/>
    </row>
    <row r="408" ht="13.5" customHeight="1">
      <c r="A408" s="16" t="s">
        <v>10</v>
      </c>
      <c r="B408" s="16" t="s">
        <v>603</v>
      </c>
      <c r="C408" s="17" t="s">
        <v>609</v>
      </c>
      <c r="D408" s="16" t="s">
        <v>606</v>
      </c>
      <c r="E408" s="16" t="s">
        <v>605</v>
      </c>
      <c r="F408" s="18">
        <v>7899.26</v>
      </c>
      <c r="G408" s="18">
        <v>7899.26</v>
      </c>
      <c r="H408" s="18">
        <f t="shared" si="3"/>
        <v>0</v>
      </c>
      <c r="J408" s="15"/>
    </row>
    <row r="409" ht="13.5" customHeight="1">
      <c r="A409" s="16" t="s">
        <v>10</v>
      </c>
      <c r="B409" s="16" t="s">
        <v>603</v>
      </c>
      <c r="C409" s="17" t="s">
        <v>609</v>
      </c>
      <c r="D409" s="16" t="s">
        <v>606</v>
      </c>
      <c r="E409" s="16" t="s">
        <v>605</v>
      </c>
      <c r="F409" s="18">
        <v>11214.43</v>
      </c>
      <c r="G409" s="18">
        <v>11214.43</v>
      </c>
      <c r="H409" s="18">
        <f t="shared" si="3"/>
        <v>0</v>
      </c>
      <c r="J409" s="15"/>
    </row>
    <row r="410" ht="13.5" customHeight="1">
      <c r="A410" s="16" t="s">
        <v>10</v>
      </c>
      <c r="B410" s="16" t="s">
        <v>603</v>
      </c>
      <c r="C410" s="17" t="s">
        <v>609</v>
      </c>
      <c r="D410" s="16" t="s">
        <v>606</v>
      </c>
      <c r="E410" s="16" t="s">
        <v>605</v>
      </c>
      <c r="F410" s="18">
        <v>54668.73</v>
      </c>
      <c r="G410" s="18">
        <v>54668.73</v>
      </c>
      <c r="H410" s="18">
        <f t="shared" si="3"/>
        <v>0</v>
      </c>
      <c r="J410" s="15"/>
    </row>
    <row r="411" ht="13.5" customHeight="1">
      <c r="A411" s="16" t="s">
        <v>10</v>
      </c>
      <c r="B411" s="16" t="s">
        <v>603</v>
      </c>
      <c r="C411" s="17" t="s">
        <v>610</v>
      </c>
      <c r="D411" s="16" t="s">
        <v>606</v>
      </c>
      <c r="E411" s="16" t="s">
        <v>605</v>
      </c>
      <c r="F411" s="18">
        <v>30586.02</v>
      </c>
      <c r="G411" s="18">
        <v>30586.02</v>
      </c>
      <c r="H411" s="18">
        <f t="shared" si="3"/>
        <v>0</v>
      </c>
      <c r="J411" s="15"/>
    </row>
    <row r="412" ht="13.5" customHeight="1">
      <c r="A412" s="16" t="s">
        <v>10</v>
      </c>
      <c r="B412" s="16" t="s">
        <v>603</v>
      </c>
      <c r="C412" s="17" t="s">
        <v>611</v>
      </c>
      <c r="D412" s="16" t="s">
        <v>606</v>
      </c>
      <c r="E412" s="16" t="s">
        <v>605</v>
      </c>
      <c r="F412" s="18">
        <v>2945.18</v>
      </c>
      <c r="G412" s="18">
        <v>2945.18</v>
      </c>
      <c r="H412" s="18">
        <f t="shared" si="3"/>
        <v>0</v>
      </c>
      <c r="J412" s="15"/>
    </row>
    <row r="413" ht="13.5" customHeight="1">
      <c r="A413" s="16" t="s">
        <v>10</v>
      </c>
      <c r="B413" s="16" t="s">
        <v>603</v>
      </c>
      <c r="C413" s="17" t="s">
        <v>611</v>
      </c>
      <c r="D413" s="16" t="s">
        <v>606</v>
      </c>
      <c r="E413" s="16" t="s">
        <v>605</v>
      </c>
      <c r="F413" s="18">
        <v>5578.28</v>
      </c>
      <c r="G413" s="18">
        <v>5578.28</v>
      </c>
      <c r="H413" s="18">
        <f t="shared" si="3"/>
        <v>0</v>
      </c>
      <c r="J413" s="15"/>
    </row>
    <row r="414" ht="13.5" customHeight="1">
      <c r="A414" s="16" t="s">
        <v>10</v>
      </c>
      <c r="B414" s="16" t="s">
        <v>603</v>
      </c>
      <c r="C414" s="17" t="s">
        <v>50</v>
      </c>
      <c r="D414" s="16" t="s">
        <v>606</v>
      </c>
      <c r="E414" s="16" t="s">
        <v>612</v>
      </c>
      <c r="F414" s="18">
        <v>11812.04</v>
      </c>
      <c r="G414" s="18">
        <v>11812.04</v>
      </c>
      <c r="H414" s="18">
        <f t="shared" si="3"/>
        <v>0</v>
      </c>
      <c r="J414" s="15"/>
    </row>
    <row r="415" ht="13.5" customHeight="1">
      <c r="A415" s="16" t="s">
        <v>10</v>
      </c>
      <c r="B415" s="16" t="s">
        <v>603</v>
      </c>
      <c r="C415" s="17" t="s">
        <v>613</v>
      </c>
      <c r="D415" s="16" t="s">
        <v>606</v>
      </c>
      <c r="E415" s="16" t="s">
        <v>605</v>
      </c>
      <c r="F415" s="18">
        <v>10279.78</v>
      </c>
      <c r="G415" s="18">
        <v>10279.78</v>
      </c>
      <c r="H415" s="18">
        <f t="shared" si="3"/>
        <v>0</v>
      </c>
      <c r="J415" s="15"/>
    </row>
    <row r="416" ht="13.5" customHeight="1">
      <c r="A416" s="16" t="s">
        <v>10</v>
      </c>
      <c r="B416" s="16" t="s">
        <v>603</v>
      </c>
      <c r="C416" s="17" t="s">
        <v>53</v>
      </c>
      <c r="D416" s="16" t="s">
        <v>606</v>
      </c>
      <c r="E416" s="16" t="s">
        <v>605</v>
      </c>
      <c r="F416" s="18">
        <v>3846.87</v>
      </c>
      <c r="G416" s="18">
        <v>3846.87</v>
      </c>
      <c r="H416" s="18">
        <f t="shared" si="3"/>
        <v>0</v>
      </c>
      <c r="J416" s="15"/>
    </row>
    <row r="417" ht="13.5" customHeight="1">
      <c r="A417" s="16" t="s">
        <v>10</v>
      </c>
      <c r="B417" s="16" t="s">
        <v>603</v>
      </c>
      <c r="C417" s="17" t="s">
        <v>53</v>
      </c>
      <c r="D417" s="16" t="s">
        <v>606</v>
      </c>
      <c r="E417" s="16" t="s">
        <v>605</v>
      </c>
      <c r="F417" s="18">
        <v>2992.69</v>
      </c>
      <c r="G417" s="18">
        <v>2992.69</v>
      </c>
      <c r="H417" s="18">
        <f t="shared" si="3"/>
        <v>0</v>
      </c>
      <c r="J417" s="15"/>
    </row>
    <row r="418" ht="13.5" customHeight="1">
      <c r="A418" s="16" t="s">
        <v>10</v>
      </c>
      <c r="B418" s="16" t="s">
        <v>603</v>
      </c>
      <c r="C418" s="17" t="s">
        <v>367</v>
      </c>
      <c r="D418" s="16" t="s">
        <v>606</v>
      </c>
      <c r="E418" s="16" t="s">
        <v>612</v>
      </c>
      <c r="F418" s="18">
        <v>148.41</v>
      </c>
      <c r="G418" s="18">
        <v>148.41</v>
      </c>
      <c r="H418" s="18">
        <f t="shared" si="3"/>
        <v>0</v>
      </c>
      <c r="J418" s="15"/>
    </row>
    <row r="419" ht="13.5" customHeight="1">
      <c r="A419" s="16" t="s">
        <v>10</v>
      </c>
      <c r="B419" s="16" t="s">
        <v>603</v>
      </c>
      <c r="C419" s="17" t="s">
        <v>367</v>
      </c>
      <c r="D419" s="16" t="s">
        <v>606</v>
      </c>
      <c r="E419" s="24" t="s">
        <v>614</v>
      </c>
      <c r="F419" s="18">
        <v>6028.57</v>
      </c>
      <c r="G419" s="18">
        <v>6028.57</v>
      </c>
      <c r="H419" s="18">
        <f t="shared" si="3"/>
        <v>0</v>
      </c>
      <c r="J419" s="15"/>
    </row>
    <row r="420" ht="13.5" customHeight="1">
      <c r="A420" s="16" t="s">
        <v>10</v>
      </c>
      <c r="B420" s="16" t="s">
        <v>603</v>
      </c>
      <c r="C420" s="17" t="s">
        <v>126</v>
      </c>
      <c r="D420" s="16" t="s">
        <v>606</v>
      </c>
      <c r="E420" s="16" t="s">
        <v>605</v>
      </c>
      <c r="F420" s="18">
        <v>3142.04</v>
      </c>
      <c r="G420" s="18">
        <v>3142.04</v>
      </c>
      <c r="H420" s="18">
        <f t="shared" si="3"/>
        <v>0</v>
      </c>
      <c r="J420" s="15"/>
    </row>
    <row r="421" ht="13.5" customHeight="1">
      <c r="A421" s="16" t="s">
        <v>10</v>
      </c>
      <c r="B421" s="16" t="s">
        <v>603</v>
      </c>
      <c r="C421" s="17" t="s">
        <v>126</v>
      </c>
      <c r="D421" s="16" t="s">
        <v>606</v>
      </c>
      <c r="E421" s="16" t="s">
        <v>605</v>
      </c>
      <c r="F421" s="18">
        <v>4070.46</v>
      </c>
      <c r="G421" s="18">
        <v>4070.46</v>
      </c>
      <c r="H421" s="18">
        <f t="shared" si="3"/>
        <v>0</v>
      </c>
      <c r="J421" s="15"/>
    </row>
    <row r="422" ht="13.5" customHeight="1">
      <c r="A422" s="16" t="s">
        <v>10</v>
      </c>
      <c r="B422" s="16" t="s">
        <v>603</v>
      </c>
      <c r="C422" s="17" t="s">
        <v>272</v>
      </c>
      <c r="D422" s="16" t="s">
        <v>606</v>
      </c>
      <c r="E422" s="24" t="s">
        <v>614</v>
      </c>
      <c r="F422" s="18">
        <v>31039.82</v>
      </c>
      <c r="G422" s="18">
        <v>31039.82</v>
      </c>
      <c r="H422" s="18">
        <f t="shared" si="3"/>
        <v>0</v>
      </c>
      <c r="J422" s="15"/>
    </row>
    <row r="423" ht="13.5" customHeight="1">
      <c r="A423" s="16" t="s">
        <v>10</v>
      </c>
      <c r="B423" s="16" t="s">
        <v>603</v>
      </c>
      <c r="C423" s="17" t="s">
        <v>259</v>
      </c>
      <c r="D423" s="16" t="s">
        <v>606</v>
      </c>
      <c r="E423" s="16" t="s">
        <v>605</v>
      </c>
      <c r="F423" s="18">
        <v>5954.56</v>
      </c>
      <c r="G423" s="18">
        <v>5954.56</v>
      </c>
      <c r="H423" s="18">
        <f t="shared" si="3"/>
        <v>0</v>
      </c>
      <c r="J423" s="15"/>
    </row>
    <row r="424" ht="13.5" customHeight="1">
      <c r="A424" s="16" t="s">
        <v>10</v>
      </c>
      <c r="B424" s="16" t="s">
        <v>603</v>
      </c>
      <c r="C424" s="17" t="s">
        <v>346</v>
      </c>
      <c r="D424" s="16" t="s">
        <v>606</v>
      </c>
      <c r="E424" s="16" t="s">
        <v>605</v>
      </c>
      <c r="F424" s="18">
        <v>11711.47</v>
      </c>
      <c r="G424" s="18">
        <v>11711.47</v>
      </c>
      <c r="H424" s="18">
        <f t="shared" si="3"/>
        <v>0</v>
      </c>
      <c r="J424" s="15"/>
    </row>
    <row r="425" ht="13.5" customHeight="1">
      <c r="A425" s="16" t="s">
        <v>10</v>
      </c>
      <c r="B425" s="16" t="s">
        <v>603</v>
      </c>
      <c r="C425" s="17" t="s">
        <v>346</v>
      </c>
      <c r="D425" s="16" t="s">
        <v>606</v>
      </c>
      <c r="E425" s="16" t="s">
        <v>605</v>
      </c>
      <c r="F425" s="18">
        <v>4366.83</v>
      </c>
      <c r="G425" s="18">
        <v>4366.83</v>
      </c>
      <c r="H425" s="18">
        <f t="shared" si="3"/>
        <v>0</v>
      </c>
      <c r="J425" s="15"/>
    </row>
    <row r="426" ht="13.5" customHeight="1">
      <c r="A426" s="16" t="s">
        <v>10</v>
      </c>
      <c r="B426" s="16" t="s">
        <v>603</v>
      </c>
      <c r="C426" s="17" t="s">
        <v>317</v>
      </c>
      <c r="D426" s="16" t="s">
        <v>606</v>
      </c>
      <c r="E426" s="16" t="s">
        <v>615</v>
      </c>
      <c r="F426" s="18">
        <v>5398.34</v>
      </c>
      <c r="G426" s="18">
        <v>5398.34</v>
      </c>
      <c r="H426" s="18">
        <f t="shared" si="3"/>
        <v>0</v>
      </c>
      <c r="J426" s="15"/>
    </row>
    <row r="427" ht="13.5" customHeight="1">
      <c r="A427" s="16" t="s">
        <v>10</v>
      </c>
      <c r="B427" s="16" t="s">
        <v>603</v>
      </c>
      <c r="C427" s="17" t="s">
        <v>317</v>
      </c>
      <c r="D427" s="16" t="s">
        <v>606</v>
      </c>
      <c r="E427" s="16" t="s">
        <v>615</v>
      </c>
      <c r="F427" s="18">
        <v>14857.7</v>
      </c>
      <c r="G427" s="18">
        <v>14857.7</v>
      </c>
      <c r="H427" s="18">
        <f t="shared" si="3"/>
        <v>0</v>
      </c>
      <c r="J427" s="15"/>
    </row>
    <row r="428" ht="13.5" customHeight="1">
      <c r="A428" s="16" t="s">
        <v>10</v>
      </c>
      <c r="B428" s="16" t="s">
        <v>91</v>
      </c>
      <c r="C428" s="17" t="s">
        <v>616</v>
      </c>
      <c r="D428" s="16" t="s">
        <v>617</v>
      </c>
      <c r="E428" s="16" t="s">
        <v>618</v>
      </c>
      <c r="F428" s="18">
        <v>480.0</v>
      </c>
      <c r="G428" s="18">
        <v>480.0</v>
      </c>
      <c r="H428" s="18">
        <f t="shared" si="3"/>
        <v>0</v>
      </c>
      <c r="J428" s="15"/>
    </row>
    <row r="429" ht="13.5" customHeight="1">
      <c r="A429" s="16" t="s">
        <v>10</v>
      </c>
      <c r="B429" s="16" t="s">
        <v>91</v>
      </c>
      <c r="C429" s="17" t="s">
        <v>616</v>
      </c>
      <c r="D429" s="16" t="s">
        <v>617</v>
      </c>
      <c r="E429" s="16" t="s">
        <v>619</v>
      </c>
      <c r="F429" s="18">
        <v>480.0</v>
      </c>
      <c r="G429" s="18">
        <v>480.0</v>
      </c>
      <c r="H429" s="18">
        <f t="shared" si="3"/>
        <v>0</v>
      </c>
      <c r="J429" s="15"/>
    </row>
    <row r="430" ht="13.5" customHeight="1">
      <c r="A430" s="16" t="s">
        <v>10</v>
      </c>
      <c r="B430" s="16" t="s">
        <v>91</v>
      </c>
      <c r="C430" s="17" t="s">
        <v>620</v>
      </c>
      <c r="D430" s="16" t="s">
        <v>617</v>
      </c>
      <c r="E430" s="16" t="s">
        <v>621</v>
      </c>
      <c r="F430" s="18">
        <v>1273.0</v>
      </c>
      <c r="G430" s="18">
        <v>1273.0</v>
      </c>
      <c r="H430" s="18">
        <f t="shared" si="3"/>
        <v>0</v>
      </c>
      <c r="J430" s="15"/>
    </row>
    <row r="431" ht="13.5" customHeight="1">
      <c r="A431" s="16" t="s">
        <v>10</v>
      </c>
      <c r="B431" s="16" t="s">
        <v>91</v>
      </c>
      <c r="C431" s="17" t="s">
        <v>620</v>
      </c>
      <c r="D431" s="16" t="s">
        <v>617</v>
      </c>
      <c r="E431" s="16" t="s">
        <v>622</v>
      </c>
      <c r="F431" s="18">
        <v>1273.0</v>
      </c>
      <c r="G431" s="18">
        <v>1273.0</v>
      </c>
      <c r="H431" s="18">
        <f t="shared" si="3"/>
        <v>0</v>
      </c>
      <c r="J431" s="15"/>
    </row>
    <row r="432" ht="13.5" customHeight="1">
      <c r="A432" s="16" t="s">
        <v>11</v>
      </c>
      <c r="B432" s="16" t="s">
        <v>133</v>
      </c>
      <c r="C432" s="17" t="s">
        <v>27</v>
      </c>
      <c r="D432" s="16" t="s">
        <v>623</v>
      </c>
      <c r="E432" s="16" t="s">
        <v>624</v>
      </c>
      <c r="F432" s="18">
        <v>5309.0</v>
      </c>
      <c r="G432" s="18">
        <v>5309.0</v>
      </c>
      <c r="H432" s="18">
        <f t="shared" si="3"/>
        <v>0</v>
      </c>
      <c r="J432" s="15"/>
    </row>
    <row r="433" ht="13.5" customHeight="1">
      <c r="A433" s="16" t="s">
        <v>11</v>
      </c>
      <c r="B433" s="16" t="s">
        <v>125</v>
      </c>
      <c r="C433" s="17" t="s">
        <v>32</v>
      </c>
      <c r="D433" s="16" t="s">
        <v>625</v>
      </c>
      <c r="E433" s="24" t="s">
        <v>626</v>
      </c>
      <c r="F433" s="18">
        <v>693.99</v>
      </c>
      <c r="G433" s="18">
        <v>693.99</v>
      </c>
      <c r="H433" s="18">
        <f t="shared" si="3"/>
        <v>0</v>
      </c>
      <c r="J433" s="15"/>
    </row>
    <row r="434" ht="13.5" customHeight="1">
      <c r="A434" s="16" t="s">
        <v>11</v>
      </c>
      <c r="B434" s="16" t="s">
        <v>125</v>
      </c>
      <c r="C434" s="17" t="s">
        <v>25</v>
      </c>
      <c r="D434" s="16" t="s">
        <v>627</v>
      </c>
      <c r="E434" s="24" t="s">
        <v>628</v>
      </c>
      <c r="F434" s="18">
        <v>371.77</v>
      </c>
      <c r="G434" s="18">
        <v>371.77</v>
      </c>
      <c r="H434" s="18">
        <f t="shared" si="3"/>
        <v>0</v>
      </c>
      <c r="J434" s="15"/>
    </row>
    <row r="435" ht="13.5" customHeight="1">
      <c r="A435" s="16" t="s">
        <v>10</v>
      </c>
      <c r="B435" s="16" t="s">
        <v>548</v>
      </c>
      <c r="C435" s="17" t="s">
        <v>141</v>
      </c>
      <c r="D435" s="16" t="s">
        <v>629</v>
      </c>
      <c r="E435" s="16" t="s">
        <v>630</v>
      </c>
      <c r="F435" s="18">
        <v>6440.0</v>
      </c>
      <c r="G435" s="18">
        <v>6440.0</v>
      </c>
      <c r="H435" s="18">
        <f t="shared" si="3"/>
        <v>0</v>
      </c>
      <c r="J435" s="15"/>
    </row>
    <row r="436" ht="13.5" customHeight="1">
      <c r="A436" s="16" t="s">
        <v>10</v>
      </c>
      <c r="B436" s="16" t="s">
        <v>548</v>
      </c>
      <c r="C436" s="17" t="s">
        <v>410</v>
      </c>
      <c r="D436" s="16" t="s">
        <v>629</v>
      </c>
      <c r="E436" s="16" t="s">
        <v>631</v>
      </c>
      <c r="F436" s="18">
        <v>29000.0</v>
      </c>
      <c r="G436" s="18">
        <v>29000.0</v>
      </c>
      <c r="H436" s="18">
        <f t="shared" si="3"/>
        <v>0</v>
      </c>
      <c r="J436" s="15"/>
    </row>
    <row r="437" ht="13.5" customHeight="1">
      <c r="A437" s="16" t="s">
        <v>10</v>
      </c>
      <c r="B437" s="16" t="s">
        <v>31</v>
      </c>
      <c r="C437" s="17" t="s">
        <v>22</v>
      </c>
      <c r="D437" s="16" t="s">
        <v>632</v>
      </c>
      <c r="E437" s="16" t="s">
        <v>33</v>
      </c>
      <c r="F437" s="18">
        <v>9126.0</v>
      </c>
      <c r="G437" s="18">
        <v>9126.0</v>
      </c>
      <c r="H437" s="18">
        <f t="shared" si="3"/>
        <v>0</v>
      </c>
      <c r="J437" s="15"/>
    </row>
    <row r="438" ht="13.5" customHeight="1">
      <c r="A438" s="16" t="s">
        <v>10</v>
      </c>
      <c r="B438" s="16" t="s">
        <v>31</v>
      </c>
      <c r="C438" s="17" t="s">
        <v>25</v>
      </c>
      <c r="D438" s="16" t="s">
        <v>632</v>
      </c>
      <c r="E438" s="16" t="s">
        <v>33</v>
      </c>
      <c r="F438" s="18">
        <v>9126.0</v>
      </c>
      <c r="G438" s="18">
        <v>9126.0</v>
      </c>
      <c r="H438" s="18">
        <f t="shared" si="3"/>
        <v>0</v>
      </c>
      <c r="J438" s="15"/>
    </row>
    <row r="439" ht="13.5" customHeight="1">
      <c r="A439" s="16" t="s">
        <v>10</v>
      </c>
      <c r="B439" s="16" t="s">
        <v>31</v>
      </c>
      <c r="C439" s="17" t="s">
        <v>32</v>
      </c>
      <c r="D439" s="16" t="s">
        <v>632</v>
      </c>
      <c r="E439" s="16" t="s">
        <v>33</v>
      </c>
      <c r="F439" s="18">
        <v>9126.0</v>
      </c>
      <c r="G439" s="18">
        <v>9126.0</v>
      </c>
      <c r="H439" s="18">
        <f t="shared" si="3"/>
        <v>0</v>
      </c>
      <c r="J439" s="15"/>
    </row>
    <row r="440" ht="13.5" customHeight="1">
      <c r="A440" s="16" t="s">
        <v>10</v>
      </c>
      <c r="B440" s="16" t="s">
        <v>31</v>
      </c>
      <c r="C440" s="17" t="s">
        <v>34</v>
      </c>
      <c r="D440" s="16" t="s">
        <v>632</v>
      </c>
      <c r="E440" s="16" t="s">
        <v>33</v>
      </c>
      <c r="F440" s="18">
        <v>9126.0</v>
      </c>
      <c r="G440" s="18">
        <v>9126.0</v>
      </c>
      <c r="H440" s="18">
        <f t="shared" si="3"/>
        <v>0</v>
      </c>
      <c r="J440" s="15"/>
    </row>
    <row r="441" ht="13.5" customHeight="1">
      <c r="A441" s="16" t="s">
        <v>10</v>
      </c>
      <c r="B441" s="16" t="s">
        <v>31</v>
      </c>
      <c r="C441" s="17" t="s">
        <v>580</v>
      </c>
      <c r="D441" s="16" t="s">
        <v>632</v>
      </c>
      <c r="E441" s="16" t="s">
        <v>33</v>
      </c>
      <c r="F441" s="18">
        <v>9126.0</v>
      </c>
      <c r="G441" s="18">
        <v>9126.0</v>
      </c>
      <c r="H441" s="19">
        <f t="shared" si="3"/>
        <v>0</v>
      </c>
      <c r="J441" s="15"/>
    </row>
    <row r="442" ht="13.5" customHeight="1">
      <c r="A442" s="16" t="s">
        <v>10</v>
      </c>
      <c r="B442" s="16" t="s">
        <v>31</v>
      </c>
      <c r="C442" s="17" t="s">
        <v>35</v>
      </c>
      <c r="D442" s="16" t="s">
        <v>632</v>
      </c>
      <c r="E442" s="16" t="s">
        <v>33</v>
      </c>
      <c r="F442" s="18">
        <v>9126.0</v>
      </c>
      <c r="G442" s="18">
        <v>9126.0</v>
      </c>
      <c r="H442" s="19">
        <f t="shared" si="3"/>
        <v>0</v>
      </c>
      <c r="J442" s="15"/>
    </row>
    <row r="443" ht="13.5" customHeight="1">
      <c r="A443" s="16" t="s">
        <v>10</v>
      </c>
      <c r="B443" s="16" t="s">
        <v>31</v>
      </c>
      <c r="C443" s="17" t="s">
        <v>36</v>
      </c>
      <c r="D443" s="16" t="s">
        <v>632</v>
      </c>
      <c r="E443" s="16" t="s">
        <v>33</v>
      </c>
      <c r="F443" s="18">
        <v>9126.0</v>
      </c>
      <c r="G443" s="18">
        <v>9126.0</v>
      </c>
      <c r="H443" s="19">
        <f t="shared" si="3"/>
        <v>0</v>
      </c>
      <c r="J443" s="15"/>
    </row>
    <row r="444" ht="13.5" customHeight="1">
      <c r="A444" s="16" t="s">
        <v>10</v>
      </c>
      <c r="B444" s="16" t="s">
        <v>31</v>
      </c>
      <c r="C444" s="17" t="s">
        <v>37</v>
      </c>
      <c r="D444" s="16" t="s">
        <v>632</v>
      </c>
      <c r="E444" s="16" t="s">
        <v>33</v>
      </c>
      <c r="F444" s="18">
        <v>9126.0</v>
      </c>
      <c r="G444" s="18">
        <f>+Datos!$F444</f>
        <v>9126</v>
      </c>
      <c r="H444" s="19">
        <f t="shared" si="3"/>
        <v>0</v>
      </c>
      <c r="J444" s="15"/>
    </row>
    <row r="445" ht="13.5" customHeight="1">
      <c r="A445" s="16" t="s">
        <v>10</v>
      </c>
      <c r="B445" s="16" t="s">
        <v>31</v>
      </c>
      <c r="C445" s="17" t="s">
        <v>38</v>
      </c>
      <c r="D445" s="16" t="s">
        <v>632</v>
      </c>
      <c r="E445" s="16" t="s">
        <v>33</v>
      </c>
      <c r="F445" s="18">
        <v>9126.0</v>
      </c>
      <c r="G445" s="18">
        <v>9126.0</v>
      </c>
      <c r="H445" s="19">
        <f t="shared" si="3"/>
        <v>0</v>
      </c>
      <c r="J445" s="15"/>
    </row>
    <row r="446" ht="13.5" customHeight="1">
      <c r="A446" s="16" t="s">
        <v>10</v>
      </c>
      <c r="B446" s="16" t="s">
        <v>31</v>
      </c>
      <c r="C446" s="17" t="s">
        <v>582</v>
      </c>
      <c r="D446" s="16" t="s">
        <v>632</v>
      </c>
      <c r="E446" s="16" t="s">
        <v>33</v>
      </c>
      <c r="F446" s="18">
        <v>9126.0</v>
      </c>
      <c r="G446" s="18">
        <v>9126.0</v>
      </c>
      <c r="H446" s="19">
        <f t="shared" si="3"/>
        <v>0</v>
      </c>
      <c r="J446" s="15"/>
    </row>
    <row r="447" ht="13.5" customHeight="1">
      <c r="A447" s="16" t="s">
        <v>10</v>
      </c>
      <c r="B447" s="16" t="s">
        <v>31</v>
      </c>
      <c r="C447" s="17" t="s">
        <v>126</v>
      </c>
      <c r="D447" s="16" t="s">
        <v>632</v>
      </c>
      <c r="E447" s="16" t="s">
        <v>33</v>
      </c>
      <c r="F447" s="18">
        <v>9126.0</v>
      </c>
      <c r="G447" s="18">
        <v>9126.0</v>
      </c>
      <c r="H447" s="19">
        <f t="shared" si="3"/>
        <v>0</v>
      </c>
      <c r="J447" s="15"/>
    </row>
    <row r="448" ht="13.5" customHeight="1">
      <c r="A448" s="16" t="s">
        <v>10</v>
      </c>
      <c r="B448" s="16" t="s">
        <v>31</v>
      </c>
      <c r="C448" s="17" t="s">
        <v>39</v>
      </c>
      <c r="D448" s="16" t="s">
        <v>632</v>
      </c>
      <c r="E448" s="16" t="s">
        <v>33</v>
      </c>
      <c r="F448" s="18">
        <v>9126.0</v>
      </c>
      <c r="G448" s="18">
        <v>9126.0</v>
      </c>
      <c r="H448" s="19">
        <f t="shared" si="3"/>
        <v>0</v>
      </c>
      <c r="J448" s="15"/>
    </row>
    <row r="449" ht="13.5" customHeight="1">
      <c r="A449" s="16" t="s">
        <v>10</v>
      </c>
      <c r="B449" s="16" t="s">
        <v>31</v>
      </c>
      <c r="C449" s="17" t="s">
        <v>40</v>
      </c>
      <c r="D449" s="16" t="s">
        <v>632</v>
      </c>
      <c r="E449" s="16" t="s">
        <v>33</v>
      </c>
      <c r="F449" s="18">
        <v>9126.0</v>
      </c>
      <c r="G449" s="18">
        <v>9126.0</v>
      </c>
      <c r="H449" s="18">
        <f t="shared" si="3"/>
        <v>0</v>
      </c>
      <c r="J449" s="15"/>
    </row>
    <row r="450" ht="13.5" customHeight="1">
      <c r="A450" s="16" t="s">
        <v>10</v>
      </c>
      <c r="B450" s="16" t="s">
        <v>31</v>
      </c>
      <c r="C450" s="17" t="s">
        <v>428</v>
      </c>
      <c r="D450" s="16" t="s">
        <v>632</v>
      </c>
      <c r="E450" s="16" t="s">
        <v>33</v>
      </c>
      <c r="F450" s="18">
        <v>9126.0</v>
      </c>
      <c r="G450" s="18">
        <v>9126.0</v>
      </c>
      <c r="H450" s="18">
        <f t="shared" si="3"/>
        <v>0</v>
      </c>
      <c r="J450" s="15"/>
    </row>
    <row r="451" ht="13.5" customHeight="1">
      <c r="A451" s="16" t="s">
        <v>10</v>
      </c>
      <c r="B451" s="16" t="s">
        <v>31</v>
      </c>
      <c r="C451" s="17" t="s">
        <v>197</v>
      </c>
      <c r="D451" s="16" t="s">
        <v>632</v>
      </c>
      <c r="E451" s="16" t="s">
        <v>33</v>
      </c>
      <c r="F451" s="18">
        <v>9126.0</v>
      </c>
      <c r="G451" s="18">
        <v>9126.0</v>
      </c>
      <c r="H451" s="18">
        <f t="shared" si="3"/>
        <v>0</v>
      </c>
      <c r="J451" s="15"/>
    </row>
    <row r="452" ht="13.5" customHeight="1">
      <c r="A452" s="16" t="s">
        <v>10</v>
      </c>
      <c r="B452" s="16" t="s">
        <v>31</v>
      </c>
      <c r="C452" s="17" t="s">
        <v>41</v>
      </c>
      <c r="D452" s="16" t="s">
        <v>632</v>
      </c>
      <c r="E452" s="16" t="s">
        <v>33</v>
      </c>
      <c r="F452" s="18">
        <v>9126.0</v>
      </c>
      <c r="G452" s="18">
        <v>9126.0</v>
      </c>
      <c r="H452" s="18">
        <f t="shared" si="3"/>
        <v>0</v>
      </c>
      <c r="J452" s="15"/>
    </row>
    <row r="453" ht="13.5" customHeight="1">
      <c r="A453" s="16" t="s">
        <v>10</v>
      </c>
      <c r="B453" s="16" t="s">
        <v>31</v>
      </c>
      <c r="C453" s="17" t="s">
        <v>42</v>
      </c>
      <c r="D453" s="16" t="s">
        <v>632</v>
      </c>
      <c r="E453" s="16" t="s">
        <v>33</v>
      </c>
      <c r="F453" s="18">
        <v>9126.0</v>
      </c>
      <c r="G453" s="18">
        <v>9126.0</v>
      </c>
      <c r="H453" s="18">
        <f t="shared" si="3"/>
        <v>0</v>
      </c>
      <c r="J453" s="15"/>
    </row>
    <row r="454" ht="13.5" customHeight="1">
      <c r="A454" s="16" t="s">
        <v>10</v>
      </c>
      <c r="B454" s="16" t="s">
        <v>31</v>
      </c>
      <c r="C454" s="17" t="s">
        <v>43</v>
      </c>
      <c r="D454" s="16" t="s">
        <v>632</v>
      </c>
      <c r="E454" s="16" t="s">
        <v>33</v>
      </c>
      <c r="F454" s="18">
        <v>9126.0</v>
      </c>
      <c r="G454" s="18">
        <v>9126.0</v>
      </c>
      <c r="H454" s="18">
        <f t="shared" si="3"/>
        <v>0</v>
      </c>
      <c r="J454" s="15"/>
    </row>
    <row r="455" ht="13.5" customHeight="1">
      <c r="A455" s="16" t="s">
        <v>10</v>
      </c>
      <c r="B455" s="16" t="s">
        <v>31</v>
      </c>
      <c r="C455" s="17" t="s">
        <v>44</v>
      </c>
      <c r="D455" s="16" t="s">
        <v>632</v>
      </c>
      <c r="E455" s="16" t="s">
        <v>33</v>
      </c>
      <c r="F455" s="18">
        <v>9126.0</v>
      </c>
      <c r="G455" s="18">
        <v>9126.0</v>
      </c>
      <c r="H455" s="18">
        <f t="shared" si="3"/>
        <v>0</v>
      </c>
      <c r="J455" s="15"/>
    </row>
    <row r="456" ht="13.5" customHeight="1">
      <c r="A456" s="16" t="s">
        <v>10</v>
      </c>
      <c r="B456" s="16" t="s">
        <v>31</v>
      </c>
      <c r="C456" s="17" t="s">
        <v>518</v>
      </c>
      <c r="D456" s="16" t="s">
        <v>632</v>
      </c>
      <c r="E456" s="16" t="s">
        <v>33</v>
      </c>
      <c r="F456" s="18">
        <v>9126.0</v>
      </c>
      <c r="G456" s="18">
        <v>9126.0</v>
      </c>
      <c r="H456" s="18">
        <f t="shared" si="3"/>
        <v>0</v>
      </c>
      <c r="J456" s="15"/>
    </row>
    <row r="457" ht="13.5" customHeight="1">
      <c r="A457" s="16" t="s">
        <v>11</v>
      </c>
      <c r="B457" s="16" t="s">
        <v>314</v>
      </c>
      <c r="C457" s="17" t="s">
        <v>67</v>
      </c>
      <c r="D457" s="16" t="s">
        <v>633</v>
      </c>
      <c r="E457" s="16" t="s">
        <v>634</v>
      </c>
      <c r="F457" s="18">
        <v>398.0</v>
      </c>
      <c r="G457" s="18">
        <v>398.0</v>
      </c>
      <c r="H457" s="18">
        <f t="shared" si="3"/>
        <v>0</v>
      </c>
      <c r="J457" s="15"/>
    </row>
    <row r="458" ht="13.5" customHeight="1">
      <c r="A458" s="16" t="s">
        <v>11</v>
      </c>
      <c r="B458" s="16" t="s">
        <v>62</v>
      </c>
      <c r="C458" s="17" t="s">
        <v>67</v>
      </c>
      <c r="D458" s="16" t="s">
        <v>633</v>
      </c>
      <c r="E458" s="16" t="s">
        <v>635</v>
      </c>
      <c r="F458" s="18">
        <v>990.0</v>
      </c>
      <c r="G458" s="18">
        <v>990.0</v>
      </c>
      <c r="H458" s="18">
        <f t="shared" si="3"/>
        <v>0</v>
      </c>
      <c r="J458" s="15"/>
    </row>
    <row r="459" ht="13.5" customHeight="1">
      <c r="A459" s="16" t="s">
        <v>11</v>
      </c>
      <c r="B459" s="16" t="s">
        <v>87</v>
      </c>
      <c r="C459" s="17" t="s">
        <v>545</v>
      </c>
      <c r="D459" s="16" t="s">
        <v>633</v>
      </c>
      <c r="E459" s="24" t="s">
        <v>636</v>
      </c>
      <c r="F459" s="18">
        <v>348.0</v>
      </c>
      <c r="G459" s="18">
        <v>348.0</v>
      </c>
      <c r="H459" s="18">
        <f t="shared" si="3"/>
        <v>0</v>
      </c>
      <c r="J459" s="15"/>
    </row>
    <row r="460" ht="13.5" customHeight="1">
      <c r="A460" s="16" t="s">
        <v>11</v>
      </c>
      <c r="B460" s="16" t="s">
        <v>62</v>
      </c>
      <c r="C460" s="17" t="s">
        <v>230</v>
      </c>
      <c r="D460" s="16" t="s">
        <v>633</v>
      </c>
      <c r="E460" s="24" t="s">
        <v>637</v>
      </c>
      <c r="F460" s="18">
        <v>1093.01</v>
      </c>
      <c r="G460" s="18">
        <v>1093.01</v>
      </c>
      <c r="H460" s="18">
        <f t="shared" si="3"/>
        <v>0</v>
      </c>
      <c r="J460" s="15"/>
    </row>
    <row r="461" ht="13.5" customHeight="1">
      <c r="A461" s="16" t="s">
        <v>11</v>
      </c>
      <c r="B461" s="16" t="s">
        <v>125</v>
      </c>
      <c r="C461" s="17" t="s">
        <v>288</v>
      </c>
      <c r="D461" s="16" t="s">
        <v>638</v>
      </c>
      <c r="E461" s="16" t="s">
        <v>639</v>
      </c>
      <c r="F461" s="18">
        <v>622.4</v>
      </c>
      <c r="G461" s="18">
        <v>622.4</v>
      </c>
      <c r="H461" s="18">
        <f t="shared" si="3"/>
        <v>0</v>
      </c>
      <c r="J461" s="15"/>
    </row>
    <row r="462" ht="13.5" customHeight="1">
      <c r="A462" s="16" t="s">
        <v>11</v>
      </c>
      <c r="B462" s="16" t="s">
        <v>125</v>
      </c>
      <c r="C462" s="17" t="s">
        <v>285</v>
      </c>
      <c r="D462" s="16" t="s">
        <v>640</v>
      </c>
      <c r="E462" s="16" t="s">
        <v>641</v>
      </c>
      <c r="F462" s="18">
        <v>229.62</v>
      </c>
      <c r="G462" s="18">
        <v>229.62</v>
      </c>
      <c r="H462" s="18">
        <f t="shared" si="3"/>
        <v>0</v>
      </c>
      <c r="J462" s="15"/>
    </row>
    <row r="463" ht="13.5" customHeight="1">
      <c r="A463" s="16" t="s">
        <v>11</v>
      </c>
      <c r="B463" s="16" t="s">
        <v>125</v>
      </c>
      <c r="C463" s="17" t="s">
        <v>288</v>
      </c>
      <c r="D463" s="16" t="s">
        <v>640</v>
      </c>
      <c r="E463" s="16" t="s">
        <v>642</v>
      </c>
      <c r="F463" s="18">
        <v>180.0</v>
      </c>
      <c r="G463" s="18">
        <v>180.0</v>
      </c>
      <c r="H463" s="18">
        <f t="shared" si="3"/>
        <v>0</v>
      </c>
      <c r="J463" s="15"/>
    </row>
    <row r="464" ht="13.5" customHeight="1">
      <c r="A464" s="16" t="s">
        <v>11</v>
      </c>
      <c r="B464" s="16" t="s">
        <v>125</v>
      </c>
      <c r="C464" s="17" t="s">
        <v>643</v>
      </c>
      <c r="D464" s="16" t="s">
        <v>640</v>
      </c>
      <c r="E464" s="16" t="s">
        <v>644</v>
      </c>
      <c r="F464" s="18">
        <v>144.62</v>
      </c>
      <c r="G464" s="18">
        <v>144.62</v>
      </c>
      <c r="H464" s="18">
        <f t="shared" si="3"/>
        <v>0</v>
      </c>
      <c r="J464" s="15"/>
    </row>
    <row r="465" ht="13.5" customHeight="1">
      <c r="A465" s="16" t="s">
        <v>10</v>
      </c>
      <c r="B465" s="16" t="s">
        <v>91</v>
      </c>
      <c r="C465" s="17" t="s">
        <v>645</v>
      </c>
      <c r="D465" s="16" t="s">
        <v>646</v>
      </c>
      <c r="E465" s="24" t="s">
        <v>647</v>
      </c>
      <c r="F465" s="18">
        <v>6001.0</v>
      </c>
      <c r="G465" s="18">
        <v>6001.0</v>
      </c>
      <c r="H465" s="18">
        <f t="shared" si="3"/>
        <v>0</v>
      </c>
      <c r="J465" s="15"/>
    </row>
    <row r="466" ht="13.5" customHeight="1">
      <c r="A466" s="16" t="s">
        <v>11</v>
      </c>
      <c r="B466" s="16" t="s">
        <v>133</v>
      </c>
      <c r="C466" s="17" t="s">
        <v>226</v>
      </c>
      <c r="D466" s="16" t="s">
        <v>648</v>
      </c>
      <c r="E466" s="16" t="s">
        <v>649</v>
      </c>
      <c r="F466" s="18">
        <v>11716.0</v>
      </c>
      <c r="G466" s="18">
        <v>11716.0</v>
      </c>
      <c r="H466" s="18">
        <f t="shared" si="3"/>
        <v>0</v>
      </c>
      <c r="J466" s="15"/>
    </row>
    <row r="467" ht="13.5" customHeight="1">
      <c r="A467" s="16" t="s">
        <v>11</v>
      </c>
      <c r="B467" s="16" t="s">
        <v>66</v>
      </c>
      <c r="C467" s="17" t="s">
        <v>88</v>
      </c>
      <c r="D467" s="16" t="s">
        <v>650</v>
      </c>
      <c r="E467" s="16" t="s">
        <v>651</v>
      </c>
      <c r="F467" s="18">
        <v>500.0</v>
      </c>
      <c r="G467" s="18">
        <v>500.0</v>
      </c>
      <c r="H467" s="18">
        <f t="shared" si="3"/>
        <v>0</v>
      </c>
      <c r="J467" s="15"/>
    </row>
    <row r="468" ht="13.5" customHeight="1">
      <c r="A468" s="16" t="s">
        <v>10</v>
      </c>
      <c r="B468" s="16" t="s">
        <v>66</v>
      </c>
      <c r="C468" s="17" t="s">
        <v>405</v>
      </c>
      <c r="D468" s="16" t="s">
        <v>652</v>
      </c>
      <c r="E468" s="16" t="s">
        <v>653</v>
      </c>
      <c r="F468" s="18">
        <v>500.0</v>
      </c>
      <c r="G468" s="18">
        <v>500.0</v>
      </c>
      <c r="H468" s="18">
        <f t="shared" si="3"/>
        <v>0</v>
      </c>
      <c r="J468" s="15"/>
    </row>
    <row r="469" ht="13.5" customHeight="1">
      <c r="A469" s="16" t="s">
        <v>10</v>
      </c>
      <c r="B469" s="16" t="s">
        <v>91</v>
      </c>
      <c r="C469" s="17" t="s">
        <v>654</v>
      </c>
      <c r="D469" s="16" t="s">
        <v>655</v>
      </c>
      <c r="E469" s="16" t="s">
        <v>305</v>
      </c>
      <c r="F469" s="18">
        <v>300.0</v>
      </c>
      <c r="G469" s="18">
        <v>300.0</v>
      </c>
      <c r="H469" s="18">
        <f t="shared" si="3"/>
        <v>0</v>
      </c>
      <c r="J469" s="15"/>
    </row>
    <row r="470" ht="13.5" customHeight="1">
      <c r="A470" s="16" t="s">
        <v>11</v>
      </c>
      <c r="B470" s="16" t="s">
        <v>66</v>
      </c>
      <c r="C470" s="17" t="s">
        <v>534</v>
      </c>
      <c r="D470" s="16" t="s">
        <v>656</v>
      </c>
      <c r="E470" s="16" t="s">
        <v>657</v>
      </c>
      <c r="F470" s="18">
        <v>200.0</v>
      </c>
      <c r="G470" s="18">
        <v>200.0</v>
      </c>
      <c r="H470" s="18">
        <f t="shared" si="3"/>
        <v>0</v>
      </c>
      <c r="J470" s="15"/>
    </row>
    <row r="471" ht="13.5" customHeight="1">
      <c r="A471" s="16" t="s">
        <v>11</v>
      </c>
      <c r="B471" s="16" t="s">
        <v>66</v>
      </c>
      <c r="C471" s="17" t="s">
        <v>106</v>
      </c>
      <c r="D471" s="16" t="s">
        <v>656</v>
      </c>
      <c r="E471" s="16" t="s">
        <v>658</v>
      </c>
      <c r="F471" s="18">
        <v>150.0</v>
      </c>
      <c r="G471" s="18">
        <v>150.0</v>
      </c>
      <c r="H471" s="18">
        <f t="shared" si="3"/>
        <v>0</v>
      </c>
      <c r="J471" s="15"/>
    </row>
    <row r="472" ht="13.5" customHeight="1">
      <c r="A472" s="16" t="s">
        <v>11</v>
      </c>
      <c r="B472" s="16" t="s">
        <v>66</v>
      </c>
      <c r="C472" s="17" t="s">
        <v>106</v>
      </c>
      <c r="D472" s="16" t="s">
        <v>656</v>
      </c>
      <c r="E472" s="16" t="s">
        <v>659</v>
      </c>
      <c r="F472" s="18">
        <v>200.0</v>
      </c>
      <c r="G472" s="18">
        <v>200.0</v>
      </c>
      <c r="H472" s="18">
        <f t="shared" si="3"/>
        <v>0</v>
      </c>
      <c r="J472" s="15"/>
    </row>
    <row r="473" ht="13.5" customHeight="1">
      <c r="A473" s="16" t="s">
        <v>11</v>
      </c>
      <c r="B473" s="16" t="s">
        <v>66</v>
      </c>
      <c r="C473" s="17" t="s">
        <v>660</v>
      </c>
      <c r="D473" s="16" t="s">
        <v>656</v>
      </c>
      <c r="E473" s="16" t="s">
        <v>661</v>
      </c>
      <c r="F473" s="18">
        <v>100.0</v>
      </c>
      <c r="G473" s="18">
        <v>100.0</v>
      </c>
      <c r="H473" s="18">
        <f t="shared" si="3"/>
        <v>0</v>
      </c>
      <c r="J473" s="15"/>
    </row>
    <row r="474" ht="13.5" customHeight="1">
      <c r="A474" s="16" t="s">
        <v>11</v>
      </c>
      <c r="B474" s="16" t="s">
        <v>66</v>
      </c>
      <c r="C474" s="17" t="s">
        <v>67</v>
      </c>
      <c r="D474" s="16" t="s">
        <v>656</v>
      </c>
      <c r="E474" s="16" t="s">
        <v>662</v>
      </c>
      <c r="F474" s="18">
        <v>200.0</v>
      </c>
      <c r="G474" s="18">
        <v>200.0</v>
      </c>
      <c r="H474" s="18">
        <f t="shared" si="3"/>
        <v>0</v>
      </c>
      <c r="J474" s="15"/>
    </row>
    <row r="475" ht="13.5" customHeight="1">
      <c r="A475" s="16" t="s">
        <v>11</v>
      </c>
      <c r="B475" s="16" t="s">
        <v>66</v>
      </c>
      <c r="C475" s="17" t="s">
        <v>92</v>
      </c>
      <c r="D475" s="16" t="s">
        <v>656</v>
      </c>
      <c r="E475" s="16" t="s">
        <v>662</v>
      </c>
      <c r="F475" s="18">
        <v>200.0</v>
      </c>
      <c r="G475" s="18">
        <v>200.0</v>
      </c>
      <c r="H475" s="18">
        <f t="shared" si="3"/>
        <v>0</v>
      </c>
      <c r="J475" s="15"/>
    </row>
    <row r="476" ht="13.5" customHeight="1">
      <c r="A476" s="16" t="s">
        <v>11</v>
      </c>
      <c r="B476" s="16" t="s">
        <v>66</v>
      </c>
      <c r="C476" s="17" t="s">
        <v>566</v>
      </c>
      <c r="D476" s="16" t="s">
        <v>656</v>
      </c>
      <c r="E476" s="16" t="s">
        <v>659</v>
      </c>
      <c r="F476" s="18">
        <v>200.0</v>
      </c>
      <c r="G476" s="18">
        <v>200.0</v>
      </c>
      <c r="H476" s="18">
        <f t="shared" si="3"/>
        <v>0</v>
      </c>
      <c r="J476" s="15"/>
    </row>
    <row r="477" ht="13.5" customHeight="1">
      <c r="A477" s="16" t="s">
        <v>11</v>
      </c>
      <c r="B477" s="16" t="s">
        <v>66</v>
      </c>
      <c r="C477" s="17" t="s">
        <v>361</v>
      </c>
      <c r="D477" s="16" t="s">
        <v>656</v>
      </c>
      <c r="E477" s="16" t="s">
        <v>651</v>
      </c>
      <c r="F477" s="18">
        <v>100.0</v>
      </c>
      <c r="G477" s="18">
        <v>100.0</v>
      </c>
      <c r="H477" s="18">
        <f t="shared" si="3"/>
        <v>0</v>
      </c>
      <c r="J477" s="15"/>
    </row>
    <row r="478" ht="13.5" customHeight="1">
      <c r="A478" s="16" t="s">
        <v>11</v>
      </c>
      <c r="B478" s="16" t="s">
        <v>66</v>
      </c>
      <c r="C478" s="17" t="s">
        <v>279</v>
      </c>
      <c r="D478" s="16" t="s">
        <v>656</v>
      </c>
      <c r="E478" s="16" t="s">
        <v>651</v>
      </c>
      <c r="F478" s="18">
        <v>130.0</v>
      </c>
      <c r="G478" s="18">
        <v>130.0</v>
      </c>
      <c r="H478" s="18">
        <f t="shared" si="3"/>
        <v>0</v>
      </c>
      <c r="J478" s="15"/>
    </row>
    <row r="479" ht="13.5" customHeight="1">
      <c r="A479" s="16" t="s">
        <v>11</v>
      </c>
      <c r="B479" s="16" t="s">
        <v>66</v>
      </c>
      <c r="C479" s="17" t="s">
        <v>96</v>
      </c>
      <c r="D479" s="16" t="s">
        <v>656</v>
      </c>
      <c r="E479" s="16" t="s">
        <v>662</v>
      </c>
      <c r="F479" s="18">
        <v>200.0</v>
      </c>
      <c r="G479" s="18">
        <v>200.0</v>
      </c>
      <c r="H479" s="18">
        <f t="shared" si="3"/>
        <v>0</v>
      </c>
      <c r="J479" s="15"/>
    </row>
    <row r="480" ht="13.5" customHeight="1">
      <c r="A480" s="16" t="s">
        <v>11</v>
      </c>
      <c r="B480" s="16" t="s">
        <v>66</v>
      </c>
      <c r="C480" s="17" t="s">
        <v>38</v>
      </c>
      <c r="D480" s="16" t="s">
        <v>656</v>
      </c>
      <c r="E480" s="16" t="s">
        <v>651</v>
      </c>
      <c r="F480" s="18">
        <v>100.0</v>
      </c>
      <c r="G480" s="18">
        <v>100.0</v>
      </c>
      <c r="H480" s="18">
        <f t="shared" si="3"/>
        <v>0</v>
      </c>
      <c r="J480" s="15"/>
    </row>
    <row r="481" ht="13.5" customHeight="1">
      <c r="A481" s="16" t="s">
        <v>11</v>
      </c>
      <c r="B481" s="16" t="s">
        <v>66</v>
      </c>
      <c r="C481" s="17" t="s">
        <v>663</v>
      </c>
      <c r="D481" s="16" t="s">
        <v>656</v>
      </c>
      <c r="E481" s="16" t="s">
        <v>664</v>
      </c>
      <c r="F481" s="18">
        <v>500.07</v>
      </c>
      <c r="G481" s="18">
        <v>500.07</v>
      </c>
      <c r="H481" s="18">
        <f t="shared" si="3"/>
        <v>0</v>
      </c>
      <c r="J481" s="15"/>
    </row>
    <row r="482" ht="13.5" customHeight="1">
      <c r="A482" s="16" t="s">
        <v>11</v>
      </c>
      <c r="B482" s="16" t="s">
        <v>66</v>
      </c>
      <c r="C482" s="17" t="s">
        <v>236</v>
      </c>
      <c r="D482" s="16" t="s">
        <v>656</v>
      </c>
      <c r="E482" s="16" t="s">
        <v>665</v>
      </c>
      <c r="F482" s="18">
        <v>500.0</v>
      </c>
      <c r="G482" s="18">
        <v>500.0</v>
      </c>
      <c r="H482" s="18">
        <f t="shared" si="3"/>
        <v>0</v>
      </c>
      <c r="J482" s="15"/>
    </row>
    <row r="483" ht="13.5" customHeight="1">
      <c r="A483" s="16" t="s">
        <v>11</v>
      </c>
      <c r="B483" s="16" t="s">
        <v>66</v>
      </c>
      <c r="C483" s="17" t="s">
        <v>288</v>
      </c>
      <c r="D483" s="16" t="s">
        <v>656</v>
      </c>
      <c r="E483" s="16" t="s">
        <v>659</v>
      </c>
      <c r="F483" s="18">
        <v>199.84</v>
      </c>
      <c r="G483" s="18">
        <v>199.84</v>
      </c>
      <c r="H483" s="18">
        <f t="shared" si="3"/>
        <v>0</v>
      </c>
      <c r="J483" s="15"/>
    </row>
    <row r="484" ht="13.5" customHeight="1">
      <c r="A484" s="16" t="s">
        <v>11</v>
      </c>
      <c r="B484" s="16" t="s">
        <v>66</v>
      </c>
      <c r="C484" s="17" t="s">
        <v>88</v>
      </c>
      <c r="D484" s="16" t="s">
        <v>656</v>
      </c>
      <c r="E484" s="16" t="s">
        <v>651</v>
      </c>
      <c r="F484" s="18">
        <v>500.0</v>
      </c>
      <c r="G484" s="18">
        <v>500.0</v>
      </c>
      <c r="H484" s="18">
        <f t="shared" si="3"/>
        <v>0</v>
      </c>
      <c r="J484" s="15"/>
    </row>
    <row r="485" ht="13.5" customHeight="1">
      <c r="A485" s="16" t="s">
        <v>11</v>
      </c>
      <c r="B485" s="16" t="s">
        <v>66</v>
      </c>
      <c r="C485" s="17" t="s">
        <v>292</v>
      </c>
      <c r="D485" s="16" t="s">
        <v>656</v>
      </c>
      <c r="E485" s="16" t="s">
        <v>666</v>
      </c>
      <c r="F485" s="18">
        <v>200.0</v>
      </c>
      <c r="G485" s="18">
        <v>200.0</v>
      </c>
      <c r="H485" s="18">
        <f t="shared" si="3"/>
        <v>0</v>
      </c>
      <c r="J485" s="15"/>
    </row>
    <row r="486" ht="13.5" customHeight="1">
      <c r="A486" s="16" t="s">
        <v>11</v>
      </c>
      <c r="B486" s="16" t="s">
        <v>125</v>
      </c>
      <c r="C486" s="17" t="s">
        <v>285</v>
      </c>
      <c r="D486" s="16" t="s">
        <v>667</v>
      </c>
      <c r="E486" s="24" t="s">
        <v>668</v>
      </c>
      <c r="F486" s="18">
        <v>2944.22</v>
      </c>
      <c r="G486" s="18">
        <v>2944.22</v>
      </c>
      <c r="H486" s="18">
        <f t="shared" si="3"/>
        <v>0</v>
      </c>
      <c r="J486" s="15"/>
    </row>
    <row r="487" ht="13.5" customHeight="1">
      <c r="A487" s="16" t="s">
        <v>11</v>
      </c>
      <c r="B487" s="16" t="s">
        <v>133</v>
      </c>
      <c r="C487" s="17" t="s">
        <v>285</v>
      </c>
      <c r="D487" s="16" t="s">
        <v>669</v>
      </c>
      <c r="E487" s="16" t="s">
        <v>670</v>
      </c>
      <c r="F487" s="18">
        <v>2945.0</v>
      </c>
      <c r="G487" s="18">
        <v>2945.0</v>
      </c>
      <c r="H487" s="18">
        <f t="shared" si="3"/>
        <v>0</v>
      </c>
      <c r="J487" s="15"/>
    </row>
    <row r="488" ht="13.5" customHeight="1">
      <c r="A488" s="16" t="s">
        <v>11</v>
      </c>
      <c r="B488" s="16" t="s">
        <v>298</v>
      </c>
      <c r="C488" s="17" t="s">
        <v>439</v>
      </c>
      <c r="D488" s="16" t="s">
        <v>671</v>
      </c>
      <c r="E488" s="16" t="s">
        <v>672</v>
      </c>
      <c r="F488" s="18">
        <v>71016.96</v>
      </c>
      <c r="G488" s="18">
        <v>71016.96</v>
      </c>
      <c r="H488" s="18">
        <f t="shared" si="3"/>
        <v>0</v>
      </c>
      <c r="J488" s="15"/>
    </row>
    <row r="489" ht="13.5" customHeight="1">
      <c r="A489" s="16" t="s">
        <v>11</v>
      </c>
      <c r="B489" s="16" t="s">
        <v>462</v>
      </c>
      <c r="C489" s="17" t="s">
        <v>673</v>
      </c>
      <c r="D489" s="16" t="s">
        <v>674</v>
      </c>
      <c r="E489" s="16" t="s">
        <v>675</v>
      </c>
      <c r="F489" s="18">
        <v>1403.6</v>
      </c>
      <c r="G489" s="18">
        <v>1403.6</v>
      </c>
      <c r="H489" s="18">
        <f t="shared" si="3"/>
        <v>0</v>
      </c>
      <c r="J489" s="15"/>
    </row>
    <row r="490" ht="13.5" customHeight="1">
      <c r="A490" s="16" t="s">
        <v>11</v>
      </c>
      <c r="B490" s="16" t="s">
        <v>140</v>
      </c>
      <c r="C490" s="29">
        <v>46023.0</v>
      </c>
      <c r="D490" s="16" t="s">
        <v>676</v>
      </c>
      <c r="E490" s="16" t="s">
        <v>677</v>
      </c>
      <c r="F490" s="18">
        <v>30240.0</v>
      </c>
      <c r="G490" s="18">
        <v>30240.0</v>
      </c>
      <c r="H490" s="18">
        <f t="shared" si="3"/>
        <v>0</v>
      </c>
      <c r="J490" s="15"/>
    </row>
    <row r="491" ht="13.5" customHeight="1">
      <c r="A491" s="16" t="s">
        <v>11</v>
      </c>
      <c r="B491" s="16" t="s">
        <v>140</v>
      </c>
      <c r="C491" s="29">
        <v>46023.0</v>
      </c>
      <c r="D491" s="16" t="s">
        <v>676</v>
      </c>
      <c r="E491" s="16" t="s">
        <v>678</v>
      </c>
      <c r="F491" s="18">
        <v>19972.5</v>
      </c>
      <c r="G491" s="18">
        <v>19972.5</v>
      </c>
      <c r="H491" s="18">
        <f t="shared" si="3"/>
        <v>0</v>
      </c>
      <c r="J491" s="15"/>
    </row>
    <row r="492" ht="13.5" customHeight="1">
      <c r="A492" s="16" t="s">
        <v>11</v>
      </c>
      <c r="B492" s="16" t="s">
        <v>140</v>
      </c>
      <c r="C492" s="17" t="s">
        <v>141</v>
      </c>
      <c r="D492" s="16" t="s">
        <v>676</v>
      </c>
      <c r="E492" s="16" t="s">
        <v>679</v>
      </c>
      <c r="F492" s="18">
        <v>10700.0</v>
      </c>
      <c r="G492" s="18">
        <v>10700.0</v>
      </c>
      <c r="H492" s="18">
        <f t="shared" si="3"/>
        <v>0</v>
      </c>
      <c r="J492" s="15"/>
    </row>
    <row r="493" ht="13.5" customHeight="1">
      <c r="A493" s="16" t="s">
        <v>11</v>
      </c>
      <c r="B493" s="16" t="s">
        <v>140</v>
      </c>
      <c r="C493" s="17" t="s">
        <v>141</v>
      </c>
      <c r="D493" s="16" t="s">
        <v>676</v>
      </c>
      <c r="E493" s="16" t="s">
        <v>680</v>
      </c>
      <c r="F493" s="18">
        <v>13500.0</v>
      </c>
      <c r="G493" s="18">
        <v>13500.0</v>
      </c>
      <c r="H493" s="18">
        <f t="shared" si="3"/>
        <v>0</v>
      </c>
      <c r="J493" s="15"/>
    </row>
    <row r="494" ht="13.5" customHeight="1">
      <c r="A494" s="16" t="s">
        <v>11</v>
      </c>
      <c r="B494" s="16" t="s">
        <v>140</v>
      </c>
      <c r="C494" s="17" t="s">
        <v>144</v>
      </c>
      <c r="D494" s="16" t="s">
        <v>676</v>
      </c>
      <c r="E494" s="16" t="s">
        <v>186</v>
      </c>
      <c r="F494" s="18">
        <v>8400.0</v>
      </c>
      <c r="G494" s="18">
        <v>8400.0</v>
      </c>
      <c r="H494" s="18">
        <f t="shared" si="3"/>
        <v>0</v>
      </c>
      <c r="J494" s="15"/>
    </row>
    <row r="495" ht="13.5" customHeight="1">
      <c r="A495" s="16" t="s">
        <v>11</v>
      </c>
      <c r="B495" s="16" t="s">
        <v>140</v>
      </c>
      <c r="C495" s="17" t="s">
        <v>144</v>
      </c>
      <c r="D495" s="16" t="s">
        <v>676</v>
      </c>
      <c r="E495" s="16" t="s">
        <v>186</v>
      </c>
      <c r="F495" s="18">
        <v>16275.0</v>
      </c>
      <c r="G495" s="18">
        <v>16275.0</v>
      </c>
      <c r="H495" s="18">
        <f t="shared" si="3"/>
        <v>0</v>
      </c>
      <c r="J495" s="15"/>
    </row>
    <row r="496" ht="13.5" customHeight="1">
      <c r="A496" s="16" t="s">
        <v>11</v>
      </c>
      <c r="B496" s="16" t="s">
        <v>140</v>
      </c>
      <c r="C496" s="17" t="s">
        <v>144</v>
      </c>
      <c r="D496" s="16" t="s">
        <v>676</v>
      </c>
      <c r="E496" s="16" t="s">
        <v>681</v>
      </c>
      <c r="F496" s="18">
        <v>22355.0</v>
      </c>
      <c r="G496" s="18">
        <v>22355.0</v>
      </c>
      <c r="H496" s="18">
        <f t="shared" si="3"/>
        <v>0</v>
      </c>
      <c r="J496" s="15"/>
    </row>
    <row r="497" ht="13.5" customHeight="1">
      <c r="A497" s="16" t="s">
        <v>11</v>
      </c>
      <c r="B497" s="16" t="s">
        <v>140</v>
      </c>
      <c r="C497" s="17" t="s">
        <v>148</v>
      </c>
      <c r="D497" s="16" t="s">
        <v>676</v>
      </c>
      <c r="E497" s="16" t="s">
        <v>682</v>
      </c>
      <c r="F497" s="18">
        <v>7700.0</v>
      </c>
      <c r="G497" s="18">
        <v>7700.0</v>
      </c>
      <c r="H497" s="18">
        <f t="shared" si="3"/>
        <v>0</v>
      </c>
      <c r="J497" s="15"/>
    </row>
    <row r="498" ht="13.5" customHeight="1">
      <c r="A498" s="16" t="s">
        <v>11</v>
      </c>
      <c r="B498" s="16" t="s">
        <v>140</v>
      </c>
      <c r="C498" s="17" t="s">
        <v>148</v>
      </c>
      <c r="D498" s="16" t="s">
        <v>676</v>
      </c>
      <c r="E498" s="16" t="s">
        <v>683</v>
      </c>
      <c r="F498" s="18">
        <v>24855.0</v>
      </c>
      <c r="G498" s="18">
        <v>24855.0</v>
      </c>
      <c r="H498" s="18">
        <f t="shared" si="3"/>
        <v>0</v>
      </c>
      <c r="J498" s="15"/>
    </row>
    <row r="499" ht="13.5" customHeight="1">
      <c r="A499" s="16" t="s">
        <v>11</v>
      </c>
      <c r="B499" s="16" t="s">
        <v>140</v>
      </c>
      <c r="C499" s="17" t="s">
        <v>111</v>
      </c>
      <c r="D499" s="16" t="s">
        <v>676</v>
      </c>
      <c r="E499" s="16" t="s">
        <v>684</v>
      </c>
      <c r="F499" s="18">
        <v>8224.0</v>
      </c>
      <c r="G499" s="18">
        <v>8224.0</v>
      </c>
      <c r="H499" s="18">
        <f t="shared" si="3"/>
        <v>0</v>
      </c>
      <c r="J499" s="15"/>
    </row>
    <row r="500" ht="13.5" customHeight="1">
      <c r="A500" s="16" t="s">
        <v>11</v>
      </c>
      <c r="B500" s="16" t="s">
        <v>140</v>
      </c>
      <c r="C500" s="17" t="s">
        <v>111</v>
      </c>
      <c r="D500" s="16" t="s">
        <v>676</v>
      </c>
      <c r="E500" s="24" t="s">
        <v>685</v>
      </c>
      <c r="F500" s="18">
        <v>25380.0</v>
      </c>
      <c r="G500" s="18">
        <v>25380.0</v>
      </c>
      <c r="H500" s="18">
        <f t="shared" si="3"/>
        <v>0</v>
      </c>
      <c r="J500" s="15"/>
    </row>
    <row r="501" ht="13.5" customHeight="1">
      <c r="A501" s="16" t="s">
        <v>11</v>
      </c>
      <c r="B501" s="16" t="s">
        <v>140</v>
      </c>
      <c r="C501" s="17" t="s">
        <v>660</v>
      </c>
      <c r="D501" s="16" t="s">
        <v>676</v>
      </c>
      <c r="E501" s="16" t="s">
        <v>686</v>
      </c>
      <c r="F501" s="18">
        <v>17634.0</v>
      </c>
      <c r="G501" s="18">
        <v>17634.0</v>
      </c>
      <c r="H501" s="18">
        <f t="shared" si="3"/>
        <v>0</v>
      </c>
      <c r="J501" s="15"/>
    </row>
    <row r="502" ht="13.5" customHeight="1">
      <c r="A502" s="16" t="s">
        <v>11</v>
      </c>
      <c r="B502" s="16" t="s">
        <v>140</v>
      </c>
      <c r="C502" s="17" t="s">
        <v>687</v>
      </c>
      <c r="D502" s="16" t="s">
        <v>676</v>
      </c>
      <c r="E502" s="16" t="s">
        <v>688</v>
      </c>
      <c r="F502" s="18">
        <v>28200.0</v>
      </c>
      <c r="G502" s="18">
        <v>28200.0</v>
      </c>
      <c r="H502" s="18">
        <f t="shared" si="3"/>
        <v>0</v>
      </c>
      <c r="J502" s="15"/>
    </row>
    <row r="503" ht="13.5" customHeight="1">
      <c r="A503" s="16" t="s">
        <v>11</v>
      </c>
      <c r="B503" s="16" t="s">
        <v>140</v>
      </c>
      <c r="C503" s="17" t="s">
        <v>73</v>
      </c>
      <c r="D503" s="16" t="s">
        <v>676</v>
      </c>
      <c r="E503" s="24" t="s">
        <v>689</v>
      </c>
      <c r="F503" s="18">
        <v>74365.0</v>
      </c>
      <c r="G503" s="18">
        <v>74365.0</v>
      </c>
      <c r="H503" s="18">
        <f t="shared" si="3"/>
        <v>0</v>
      </c>
      <c r="J503" s="15"/>
    </row>
    <row r="504" ht="13.5" customHeight="1">
      <c r="A504" s="16" t="s">
        <v>11</v>
      </c>
      <c r="B504" s="16" t="s">
        <v>140</v>
      </c>
      <c r="C504" s="17" t="s">
        <v>157</v>
      </c>
      <c r="D504" s="16" t="s">
        <v>676</v>
      </c>
      <c r="E504" s="16" t="s">
        <v>690</v>
      </c>
      <c r="F504" s="18">
        <v>13764.0</v>
      </c>
      <c r="G504" s="18">
        <v>13764.0</v>
      </c>
      <c r="H504" s="18">
        <f t="shared" si="3"/>
        <v>0</v>
      </c>
      <c r="J504" s="15"/>
    </row>
    <row r="505" ht="13.5" customHeight="1">
      <c r="A505" s="16" t="s">
        <v>11</v>
      </c>
      <c r="B505" s="16" t="s">
        <v>140</v>
      </c>
      <c r="C505" s="17" t="s">
        <v>157</v>
      </c>
      <c r="D505" s="16" t="s">
        <v>676</v>
      </c>
      <c r="E505" s="16" t="s">
        <v>691</v>
      </c>
      <c r="F505" s="18">
        <v>2877.0</v>
      </c>
      <c r="G505" s="18">
        <v>2877.0</v>
      </c>
      <c r="H505" s="18">
        <f t="shared" si="3"/>
        <v>0</v>
      </c>
      <c r="J505" s="15"/>
    </row>
    <row r="506" ht="13.5" customHeight="1">
      <c r="A506" s="16" t="s">
        <v>11</v>
      </c>
      <c r="B506" s="16" t="s">
        <v>140</v>
      </c>
      <c r="C506" s="17" t="s">
        <v>92</v>
      </c>
      <c r="D506" s="16" t="s">
        <v>676</v>
      </c>
      <c r="E506" s="16" t="s">
        <v>692</v>
      </c>
      <c r="F506" s="18">
        <v>17160.0</v>
      </c>
      <c r="G506" s="18">
        <f>+Datos!$F506</f>
        <v>17160</v>
      </c>
      <c r="H506" s="25">
        <f t="shared" si="3"/>
        <v>0</v>
      </c>
      <c r="J506" s="15"/>
    </row>
    <row r="507" ht="13.5" customHeight="1">
      <c r="A507" s="16" t="s">
        <v>11</v>
      </c>
      <c r="B507" s="16" t="s">
        <v>140</v>
      </c>
      <c r="C507" s="17" t="s">
        <v>92</v>
      </c>
      <c r="D507" s="16" t="s">
        <v>676</v>
      </c>
      <c r="E507" s="16" t="s">
        <v>693</v>
      </c>
      <c r="F507" s="18">
        <v>13585.0</v>
      </c>
      <c r="G507" s="18">
        <f>+Datos!$F507</f>
        <v>13585</v>
      </c>
      <c r="H507" s="25">
        <f t="shared" si="3"/>
        <v>0</v>
      </c>
      <c r="J507" s="15"/>
    </row>
    <row r="508" ht="13.5" customHeight="1">
      <c r="A508" s="16" t="s">
        <v>11</v>
      </c>
      <c r="B508" s="16" t="s">
        <v>140</v>
      </c>
      <c r="C508" s="17" t="s">
        <v>159</v>
      </c>
      <c r="D508" s="16" t="s">
        <v>676</v>
      </c>
      <c r="E508" s="16" t="s">
        <v>694</v>
      </c>
      <c r="F508" s="18">
        <v>30280.0</v>
      </c>
      <c r="G508" s="18">
        <v>30280.0</v>
      </c>
      <c r="H508" s="18">
        <f t="shared" si="3"/>
        <v>0</v>
      </c>
      <c r="J508" s="15"/>
    </row>
    <row r="509" ht="13.5" customHeight="1">
      <c r="A509" s="16" t="s">
        <v>11</v>
      </c>
      <c r="B509" s="16" t="s">
        <v>140</v>
      </c>
      <c r="C509" s="17" t="s">
        <v>159</v>
      </c>
      <c r="D509" s="16" t="s">
        <v>676</v>
      </c>
      <c r="E509" s="16" t="s">
        <v>695</v>
      </c>
      <c r="F509" s="18">
        <v>6592.0</v>
      </c>
      <c r="G509" s="18">
        <v>6592.0</v>
      </c>
      <c r="H509" s="18">
        <f t="shared" si="3"/>
        <v>0</v>
      </c>
      <c r="J509" s="15"/>
    </row>
    <row r="510" ht="13.5" customHeight="1">
      <c r="A510" s="16" t="s">
        <v>11</v>
      </c>
      <c r="B510" s="16" t="s">
        <v>140</v>
      </c>
      <c r="C510" s="17" t="s">
        <v>159</v>
      </c>
      <c r="D510" s="16" t="s">
        <v>676</v>
      </c>
      <c r="E510" s="16" t="s">
        <v>696</v>
      </c>
      <c r="F510" s="18">
        <v>9508.0</v>
      </c>
      <c r="G510" s="18">
        <v>9508.0</v>
      </c>
      <c r="H510" s="18">
        <f t="shared" si="3"/>
        <v>0</v>
      </c>
      <c r="J510" s="15"/>
    </row>
    <row r="511" ht="13.5" customHeight="1">
      <c r="A511" s="16" t="s">
        <v>11</v>
      </c>
      <c r="B511" s="16" t="s">
        <v>140</v>
      </c>
      <c r="C511" s="17" t="s">
        <v>159</v>
      </c>
      <c r="D511" s="16" t="s">
        <v>676</v>
      </c>
      <c r="E511" s="16" t="s">
        <v>697</v>
      </c>
      <c r="F511" s="18">
        <v>5320.0</v>
      </c>
      <c r="G511" s="18">
        <v>5320.0</v>
      </c>
      <c r="H511" s="18">
        <f t="shared" si="3"/>
        <v>0</v>
      </c>
      <c r="J511" s="15"/>
    </row>
    <row r="512" ht="13.5" customHeight="1">
      <c r="A512" s="16" t="s">
        <v>11</v>
      </c>
      <c r="B512" s="16" t="s">
        <v>140</v>
      </c>
      <c r="C512" s="17" t="s">
        <v>698</v>
      </c>
      <c r="D512" s="16" t="s">
        <v>676</v>
      </c>
      <c r="E512" s="16" t="s">
        <v>699</v>
      </c>
      <c r="F512" s="18">
        <v>9600.0</v>
      </c>
      <c r="G512" s="18">
        <v>9600.0</v>
      </c>
      <c r="H512" s="18">
        <f t="shared" si="3"/>
        <v>0</v>
      </c>
      <c r="J512" s="15"/>
    </row>
    <row r="513" ht="13.5" customHeight="1">
      <c r="A513" s="16" t="s">
        <v>11</v>
      </c>
      <c r="B513" s="16" t="s">
        <v>140</v>
      </c>
      <c r="C513" s="17" t="s">
        <v>698</v>
      </c>
      <c r="D513" s="16" t="s">
        <v>676</v>
      </c>
      <c r="E513" s="16" t="s">
        <v>700</v>
      </c>
      <c r="F513" s="18">
        <v>105698.01</v>
      </c>
      <c r="G513" s="18">
        <v>105698.01</v>
      </c>
      <c r="H513" s="18">
        <f t="shared" si="3"/>
        <v>0</v>
      </c>
      <c r="J513" s="15"/>
    </row>
    <row r="514" ht="13.5" customHeight="1">
      <c r="A514" s="16" t="s">
        <v>11</v>
      </c>
      <c r="B514" s="16" t="s">
        <v>140</v>
      </c>
      <c r="C514" s="17" t="s">
        <v>165</v>
      </c>
      <c r="D514" s="16" t="s">
        <v>676</v>
      </c>
      <c r="E514" s="16" t="s">
        <v>701</v>
      </c>
      <c r="F514" s="18">
        <v>9975.0</v>
      </c>
      <c r="G514" s="18">
        <v>9975.0</v>
      </c>
      <c r="H514" s="18">
        <f t="shared" si="3"/>
        <v>0</v>
      </c>
      <c r="J514" s="15"/>
    </row>
    <row r="515" ht="13.5" customHeight="1">
      <c r="A515" s="16" t="s">
        <v>11</v>
      </c>
      <c r="B515" s="16" t="s">
        <v>140</v>
      </c>
      <c r="C515" s="17" t="s">
        <v>702</v>
      </c>
      <c r="D515" s="16" t="s">
        <v>676</v>
      </c>
      <c r="E515" s="16" t="s">
        <v>703</v>
      </c>
      <c r="F515" s="18">
        <v>5190.0</v>
      </c>
      <c r="G515" s="18">
        <v>5190.0</v>
      </c>
      <c r="H515" s="18">
        <f t="shared" si="3"/>
        <v>0</v>
      </c>
      <c r="J515" s="15"/>
    </row>
    <row r="516" ht="13.5" customHeight="1">
      <c r="A516" s="16" t="s">
        <v>11</v>
      </c>
      <c r="B516" s="16" t="s">
        <v>140</v>
      </c>
      <c r="C516" s="17" t="s">
        <v>166</v>
      </c>
      <c r="D516" s="16" t="s">
        <v>676</v>
      </c>
      <c r="E516" s="16" t="s">
        <v>688</v>
      </c>
      <c r="F516" s="18">
        <v>29295.0</v>
      </c>
      <c r="G516" s="18">
        <v>29295.0</v>
      </c>
      <c r="H516" s="18">
        <f t="shared" si="3"/>
        <v>0</v>
      </c>
      <c r="J516" s="15"/>
    </row>
    <row r="517" ht="13.5" customHeight="1">
      <c r="A517" s="16" t="s">
        <v>11</v>
      </c>
      <c r="B517" s="16" t="s">
        <v>140</v>
      </c>
      <c r="C517" s="17" t="s">
        <v>166</v>
      </c>
      <c r="D517" s="16" t="s">
        <v>676</v>
      </c>
      <c r="E517" s="16" t="s">
        <v>704</v>
      </c>
      <c r="F517" s="18">
        <v>65000.0</v>
      </c>
      <c r="G517" s="18">
        <v>65000.0</v>
      </c>
      <c r="H517" s="18">
        <f t="shared" si="3"/>
        <v>0</v>
      </c>
      <c r="J517" s="15"/>
    </row>
    <row r="518" ht="13.5" customHeight="1">
      <c r="A518" s="16" t="s">
        <v>11</v>
      </c>
      <c r="B518" s="16" t="s">
        <v>140</v>
      </c>
      <c r="C518" s="17" t="s">
        <v>172</v>
      </c>
      <c r="D518" s="16" t="s">
        <v>676</v>
      </c>
      <c r="E518" s="24" t="s">
        <v>705</v>
      </c>
      <c r="F518" s="18">
        <v>58248.0</v>
      </c>
      <c r="G518" s="18">
        <v>58248.0</v>
      </c>
      <c r="H518" s="18">
        <f t="shared" si="3"/>
        <v>0</v>
      </c>
      <c r="J518" s="15"/>
    </row>
    <row r="519" ht="13.5" customHeight="1">
      <c r="A519" s="16" t="s">
        <v>11</v>
      </c>
      <c r="B519" s="16" t="s">
        <v>140</v>
      </c>
      <c r="C519" s="17" t="s">
        <v>174</v>
      </c>
      <c r="D519" s="16" t="s">
        <v>676</v>
      </c>
      <c r="E519" s="16" t="s">
        <v>706</v>
      </c>
      <c r="F519" s="18">
        <v>7125.0</v>
      </c>
      <c r="G519" s="18">
        <v>7125.0</v>
      </c>
      <c r="H519" s="18">
        <f t="shared" si="3"/>
        <v>0</v>
      </c>
      <c r="J519" s="15"/>
    </row>
    <row r="520" ht="13.5" customHeight="1">
      <c r="A520" s="16" t="s">
        <v>11</v>
      </c>
      <c r="B520" s="16" t="s">
        <v>140</v>
      </c>
      <c r="C520" s="17" t="s">
        <v>212</v>
      </c>
      <c r="D520" s="16" t="s">
        <v>676</v>
      </c>
      <c r="E520" s="24" t="s">
        <v>707</v>
      </c>
      <c r="F520" s="18">
        <v>89529.0</v>
      </c>
      <c r="G520" s="18">
        <v>89529.0</v>
      </c>
      <c r="H520" s="18">
        <f t="shared" si="3"/>
        <v>0</v>
      </c>
      <c r="J520" s="15"/>
    </row>
    <row r="521" ht="13.5" customHeight="1">
      <c r="A521" s="16" t="s">
        <v>11</v>
      </c>
      <c r="B521" s="16" t="s">
        <v>140</v>
      </c>
      <c r="C521" s="17" t="s">
        <v>38</v>
      </c>
      <c r="D521" s="16" t="s">
        <v>676</v>
      </c>
      <c r="E521" s="24" t="s">
        <v>708</v>
      </c>
      <c r="F521" s="18">
        <v>9486.0</v>
      </c>
      <c r="G521" s="18">
        <v>9486.0</v>
      </c>
      <c r="H521" s="18">
        <f t="shared" si="3"/>
        <v>0</v>
      </c>
      <c r="J521" s="15"/>
    </row>
    <row r="522" ht="13.5" customHeight="1">
      <c r="A522" s="16" t="s">
        <v>11</v>
      </c>
      <c r="B522" s="16" t="s">
        <v>140</v>
      </c>
      <c r="C522" s="17" t="s">
        <v>179</v>
      </c>
      <c r="D522" s="16" t="s">
        <v>676</v>
      </c>
      <c r="E522" s="16" t="s">
        <v>709</v>
      </c>
      <c r="F522" s="18">
        <v>13590.85</v>
      </c>
      <c r="G522" s="18">
        <v>13590.85</v>
      </c>
      <c r="H522" s="18">
        <f t="shared" si="3"/>
        <v>0</v>
      </c>
      <c r="J522" s="15"/>
    </row>
    <row r="523" ht="13.5" customHeight="1">
      <c r="A523" s="16" t="s">
        <v>11</v>
      </c>
      <c r="B523" s="16" t="s">
        <v>140</v>
      </c>
      <c r="C523" s="17" t="s">
        <v>182</v>
      </c>
      <c r="D523" s="16" t="s">
        <v>676</v>
      </c>
      <c r="E523" s="16" t="s">
        <v>710</v>
      </c>
      <c r="F523" s="18">
        <v>10361.0</v>
      </c>
      <c r="G523" s="18">
        <v>10361.0</v>
      </c>
      <c r="H523" s="18">
        <f t="shared" si="3"/>
        <v>0</v>
      </c>
      <c r="J523" s="15"/>
    </row>
    <row r="524" ht="13.5" customHeight="1">
      <c r="A524" s="16" t="s">
        <v>11</v>
      </c>
      <c r="B524" s="16" t="s">
        <v>140</v>
      </c>
      <c r="C524" s="17" t="s">
        <v>188</v>
      </c>
      <c r="D524" s="16" t="s">
        <v>676</v>
      </c>
      <c r="E524" s="16" t="s">
        <v>711</v>
      </c>
      <c r="F524" s="18">
        <v>25875.0</v>
      </c>
      <c r="G524" s="18">
        <v>25875.0</v>
      </c>
      <c r="H524" s="18">
        <f t="shared" si="3"/>
        <v>0</v>
      </c>
      <c r="J524" s="15"/>
    </row>
    <row r="525" ht="13.5" customHeight="1">
      <c r="A525" s="16" t="s">
        <v>11</v>
      </c>
      <c r="B525" s="16" t="s">
        <v>140</v>
      </c>
      <c r="C525" s="17" t="s">
        <v>503</v>
      </c>
      <c r="D525" s="16" t="s">
        <v>676</v>
      </c>
      <c r="E525" s="16" t="s">
        <v>455</v>
      </c>
      <c r="F525" s="18">
        <v>19840.0</v>
      </c>
      <c r="G525" s="18">
        <v>19840.0</v>
      </c>
      <c r="H525" s="18">
        <f t="shared" si="3"/>
        <v>0</v>
      </c>
      <c r="J525" s="15"/>
    </row>
    <row r="526" ht="13.5" customHeight="1">
      <c r="A526" s="16" t="s">
        <v>11</v>
      </c>
      <c r="B526" s="16" t="s">
        <v>140</v>
      </c>
      <c r="C526" s="17" t="s">
        <v>503</v>
      </c>
      <c r="D526" s="16" t="s">
        <v>676</v>
      </c>
      <c r="E526" s="24" t="s">
        <v>712</v>
      </c>
      <c r="F526" s="18">
        <v>165910.0</v>
      </c>
      <c r="G526" s="18">
        <v>165910.0</v>
      </c>
      <c r="H526" s="18">
        <f t="shared" si="3"/>
        <v>0</v>
      </c>
      <c r="J526" s="15"/>
    </row>
    <row r="527" ht="13.5" customHeight="1">
      <c r="A527" s="16" t="s">
        <v>11</v>
      </c>
      <c r="B527" s="16" t="s">
        <v>140</v>
      </c>
      <c r="C527" s="17" t="s">
        <v>503</v>
      </c>
      <c r="D527" s="16" t="s">
        <v>676</v>
      </c>
      <c r="E527" s="24" t="s">
        <v>713</v>
      </c>
      <c r="F527" s="18">
        <v>33888.0</v>
      </c>
      <c r="G527" s="18">
        <v>33888.0</v>
      </c>
      <c r="H527" s="18">
        <f t="shared" si="3"/>
        <v>0</v>
      </c>
      <c r="J527" s="15"/>
    </row>
    <row r="528" ht="13.5" customHeight="1">
      <c r="A528" s="16" t="s">
        <v>11</v>
      </c>
      <c r="B528" s="16" t="s">
        <v>140</v>
      </c>
      <c r="C528" s="17" t="s">
        <v>306</v>
      </c>
      <c r="D528" s="16" t="s">
        <v>676</v>
      </c>
      <c r="E528" s="16" t="s">
        <v>714</v>
      </c>
      <c r="F528" s="18">
        <v>8000.0</v>
      </c>
      <c r="G528" s="18">
        <v>8000.0</v>
      </c>
      <c r="H528" s="18">
        <f t="shared" si="3"/>
        <v>0</v>
      </c>
      <c r="J528" s="15"/>
    </row>
    <row r="529" ht="13.5" customHeight="1">
      <c r="A529" s="16" t="s">
        <v>11</v>
      </c>
      <c r="B529" s="16" t="s">
        <v>140</v>
      </c>
      <c r="C529" s="17" t="s">
        <v>306</v>
      </c>
      <c r="D529" s="16" t="s">
        <v>676</v>
      </c>
      <c r="E529" s="24" t="s">
        <v>715</v>
      </c>
      <c r="F529" s="18">
        <v>64700.0</v>
      </c>
      <c r="G529" s="18">
        <v>64700.0</v>
      </c>
      <c r="H529" s="18">
        <f t="shared" si="3"/>
        <v>0</v>
      </c>
      <c r="J529" s="15"/>
    </row>
    <row r="530" ht="13.5" customHeight="1">
      <c r="A530" s="16" t="s">
        <v>11</v>
      </c>
      <c r="B530" s="16" t="s">
        <v>140</v>
      </c>
      <c r="C530" s="17" t="s">
        <v>471</v>
      </c>
      <c r="D530" s="16" t="s">
        <v>676</v>
      </c>
      <c r="E530" s="16" t="s">
        <v>716</v>
      </c>
      <c r="F530" s="18">
        <v>21105.0</v>
      </c>
      <c r="G530" s="18">
        <v>21105.0</v>
      </c>
      <c r="H530" s="18">
        <f t="shared" si="3"/>
        <v>0</v>
      </c>
      <c r="J530" s="15"/>
    </row>
    <row r="531" ht="13.5" customHeight="1">
      <c r="A531" s="16" t="s">
        <v>11</v>
      </c>
      <c r="B531" s="16" t="s">
        <v>140</v>
      </c>
      <c r="C531" s="17" t="s">
        <v>717</v>
      </c>
      <c r="D531" s="16" t="s">
        <v>676</v>
      </c>
      <c r="E531" s="16" t="s">
        <v>718</v>
      </c>
      <c r="F531" s="18">
        <v>13300.0</v>
      </c>
      <c r="G531" s="18">
        <v>13300.0</v>
      </c>
      <c r="H531" s="18">
        <f t="shared" si="3"/>
        <v>0</v>
      </c>
      <c r="J531" s="15"/>
    </row>
    <row r="532" ht="13.5" customHeight="1">
      <c r="A532" s="16" t="s">
        <v>11</v>
      </c>
      <c r="B532" s="16" t="s">
        <v>140</v>
      </c>
      <c r="C532" s="17" t="s">
        <v>719</v>
      </c>
      <c r="D532" s="16" t="s">
        <v>676</v>
      </c>
      <c r="E532" s="24" t="s">
        <v>720</v>
      </c>
      <c r="F532" s="18">
        <v>59915.0</v>
      </c>
      <c r="G532" s="18">
        <v>59915.0</v>
      </c>
      <c r="H532" s="18">
        <f t="shared" si="3"/>
        <v>0</v>
      </c>
      <c r="J532" s="15"/>
    </row>
    <row r="533" ht="13.5" customHeight="1">
      <c r="A533" s="16" t="s">
        <v>11</v>
      </c>
      <c r="B533" s="16" t="s">
        <v>140</v>
      </c>
      <c r="C533" s="17" t="s">
        <v>719</v>
      </c>
      <c r="D533" s="16" t="s">
        <v>676</v>
      </c>
      <c r="E533" s="16" t="s">
        <v>721</v>
      </c>
      <c r="F533" s="18">
        <v>3356.0</v>
      </c>
      <c r="G533" s="18">
        <v>3356.0</v>
      </c>
      <c r="H533" s="18">
        <f t="shared" si="3"/>
        <v>0</v>
      </c>
      <c r="J533" s="15"/>
    </row>
    <row r="534" ht="13.5" customHeight="1">
      <c r="A534" s="16" t="s">
        <v>11</v>
      </c>
      <c r="B534" s="16" t="s">
        <v>140</v>
      </c>
      <c r="C534" s="17" t="s">
        <v>82</v>
      </c>
      <c r="D534" s="16" t="s">
        <v>676</v>
      </c>
      <c r="E534" s="24" t="s">
        <v>722</v>
      </c>
      <c r="F534" s="18">
        <v>21808.0</v>
      </c>
      <c r="G534" s="18">
        <v>21808.0</v>
      </c>
      <c r="H534" s="18">
        <f t="shared" si="3"/>
        <v>0</v>
      </c>
      <c r="J534" s="15"/>
    </row>
    <row r="535" ht="13.5" customHeight="1">
      <c r="A535" s="16" t="s">
        <v>11</v>
      </c>
      <c r="B535" s="16" t="s">
        <v>140</v>
      </c>
      <c r="C535" s="17" t="s">
        <v>219</v>
      </c>
      <c r="D535" s="16" t="s">
        <v>676</v>
      </c>
      <c r="E535" s="24" t="s">
        <v>723</v>
      </c>
      <c r="F535" s="18">
        <v>114532.0</v>
      </c>
      <c r="G535" s="18">
        <v>114532.0</v>
      </c>
      <c r="H535" s="18">
        <f t="shared" si="3"/>
        <v>0</v>
      </c>
      <c r="J535" s="15"/>
    </row>
    <row r="536" ht="13.5" customHeight="1">
      <c r="A536" s="16" t="s">
        <v>11</v>
      </c>
      <c r="B536" s="16" t="s">
        <v>140</v>
      </c>
      <c r="C536" s="17" t="s">
        <v>466</v>
      </c>
      <c r="D536" s="16" t="s">
        <v>676</v>
      </c>
      <c r="E536" s="16" t="s">
        <v>724</v>
      </c>
      <c r="F536" s="18">
        <v>10380.0</v>
      </c>
      <c r="G536" s="18">
        <v>10380.0</v>
      </c>
      <c r="H536" s="18">
        <f t="shared" si="3"/>
        <v>0</v>
      </c>
      <c r="J536" s="15"/>
    </row>
    <row r="537" ht="13.5" customHeight="1">
      <c r="A537" s="16" t="s">
        <v>11</v>
      </c>
      <c r="B537" s="16" t="s">
        <v>140</v>
      </c>
      <c r="C537" s="17" t="s">
        <v>191</v>
      </c>
      <c r="D537" s="16" t="s">
        <v>676</v>
      </c>
      <c r="E537" s="24" t="s">
        <v>725</v>
      </c>
      <c r="F537" s="18">
        <v>31750.0</v>
      </c>
      <c r="G537" s="18">
        <v>31750.0</v>
      </c>
      <c r="H537" s="18">
        <f t="shared" si="3"/>
        <v>0</v>
      </c>
      <c r="J537" s="15"/>
    </row>
    <row r="538" ht="13.5" customHeight="1">
      <c r="A538" s="16" t="s">
        <v>11</v>
      </c>
      <c r="B538" s="16" t="s">
        <v>140</v>
      </c>
      <c r="C538" s="17" t="s">
        <v>726</v>
      </c>
      <c r="D538" s="16" t="s">
        <v>676</v>
      </c>
      <c r="E538" s="16" t="s">
        <v>727</v>
      </c>
      <c r="F538" s="18">
        <v>30438.01</v>
      </c>
      <c r="G538" s="18">
        <v>30438.01</v>
      </c>
      <c r="H538" s="18">
        <f t="shared" si="3"/>
        <v>0</v>
      </c>
      <c r="J538" s="15"/>
    </row>
    <row r="539" ht="13.5" customHeight="1">
      <c r="A539" s="16" t="s">
        <v>11</v>
      </c>
      <c r="B539" s="16" t="s">
        <v>140</v>
      </c>
      <c r="C539" s="17" t="s">
        <v>726</v>
      </c>
      <c r="D539" s="16" t="s">
        <v>676</v>
      </c>
      <c r="E539" s="16" t="s">
        <v>728</v>
      </c>
      <c r="F539" s="18">
        <v>12000.0</v>
      </c>
      <c r="G539" s="18">
        <v>12000.0</v>
      </c>
      <c r="H539" s="18">
        <f t="shared" si="3"/>
        <v>0</v>
      </c>
      <c r="J539" s="15"/>
    </row>
    <row r="540" ht="13.5" customHeight="1">
      <c r="A540" s="16" t="s">
        <v>11</v>
      </c>
      <c r="B540" s="16" t="s">
        <v>140</v>
      </c>
      <c r="C540" s="17" t="s">
        <v>199</v>
      </c>
      <c r="D540" s="16" t="s">
        <v>676</v>
      </c>
      <c r="E540" s="16" t="s">
        <v>729</v>
      </c>
      <c r="F540" s="18">
        <v>13840.0</v>
      </c>
      <c r="G540" s="18">
        <v>13840.0</v>
      </c>
      <c r="H540" s="18">
        <f t="shared" si="3"/>
        <v>0</v>
      </c>
      <c r="J540" s="15"/>
    </row>
    <row r="541" ht="13.5" customHeight="1">
      <c r="A541" s="16" t="s">
        <v>11</v>
      </c>
      <c r="B541" s="16" t="s">
        <v>140</v>
      </c>
      <c r="C541" s="17" t="s">
        <v>199</v>
      </c>
      <c r="D541" s="16" t="s">
        <v>676</v>
      </c>
      <c r="E541" s="24" t="s">
        <v>730</v>
      </c>
      <c r="F541" s="18">
        <v>208510.0</v>
      </c>
      <c r="G541" s="18">
        <v>208510.0</v>
      </c>
      <c r="H541" s="18">
        <f t="shared" si="3"/>
        <v>0</v>
      </c>
      <c r="J541" s="15"/>
    </row>
    <row r="542" ht="13.5" customHeight="1">
      <c r="A542" s="16" t="s">
        <v>11</v>
      </c>
      <c r="B542" s="16" t="s">
        <v>140</v>
      </c>
      <c r="C542" s="17" t="s">
        <v>346</v>
      </c>
      <c r="D542" s="16" t="s">
        <v>676</v>
      </c>
      <c r="E542" s="24" t="s">
        <v>731</v>
      </c>
      <c r="F542" s="18">
        <v>6951.0</v>
      </c>
      <c r="G542" s="18">
        <v>6951.0</v>
      </c>
      <c r="H542" s="18">
        <f t="shared" si="3"/>
        <v>0</v>
      </c>
      <c r="J542" s="15"/>
    </row>
    <row r="543" ht="13.5" customHeight="1">
      <c r="A543" s="16" t="s">
        <v>11</v>
      </c>
      <c r="B543" s="16" t="s">
        <v>140</v>
      </c>
      <c r="C543" s="17" t="s">
        <v>732</v>
      </c>
      <c r="D543" s="16" t="s">
        <v>676</v>
      </c>
      <c r="E543" s="16" t="s">
        <v>733</v>
      </c>
      <c r="F543" s="18">
        <v>15200.0</v>
      </c>
      <c r="G543" s="18">
        <v>15200.0</v>
      </c>
      <c r="H543" s="18">
        <f t="shared" si="3"/>
        <v>0</v>
      </c>
      <c r="J543" s="15"/>
    </row>
    <row r="544" ht="13.5" customHeight="1">
      <c r="A544" s="16" t="s">
        <v>11</v>
      </c>
      <c r="B544" s="16" t="s">
        <v>140</v>
      </c>
      <c r="C544" s="17" t="s">
        <v>516</v>
      </c>
      <c r="D544" s="16" t="s">
        <v>676</v>
      </c>
      <c r="E544" s="24" t="s">
        <v>734</v>
      </c>
      <c r="F544" s="18">
        <v>25725.0</v>
      </c>
      <c r="G544" s="18">
        <v>25725.0</v>
      </c>
      <c r="H544" s="18">
        <f t="shared" si="3"/>
        <v>0</v>
      </c>
      <c r="J544" s="15"/>
    </row>
    <row r="545" ht="13.5" customHeight="1">
      <c r="A545" s="16" t="s">
        <v>11</v>
      </c>
      <c r="B545" s="16" t="s">
        <v>462</v>
      </c>
      <c r="C545" s="17" t="s">
        <v>44</v>
      </c>
      <c r="D545" s="16" t="s">
        <v>735</v>
      </c>
      <c r="E545" s="24" t="s">
        <v>736</v>
      </c>
      <c r="F545" s="18">
        <v>4371.92</v>
      </c>
      <c r="G545" s="18">
        <v>0.0</v>
      </c>
      <c r="H545" s="25">
        <f t="shared" si="3"/>
        <v>4371.92</v>
      </c>
      <c r="J545" s="15"/>
    </row>
    <row r="546" ht="13.5" customHeight="1">
      <c r="A546" s="16" t="s">
        <v>11</v>
      </c>
      <c r="B546" s="16" t="s">
        <v>87</v>
      </c>
      <c r="C546" s="17" t="s">
        <v>279</v>
      </c>
      <c r="D546" s="16" t="s">
        <v>737</v>
      </c>
      <c r="E546" s="24" t="s">
        <v>738</v>
      </c>
      <c r="F546" s="18">
        <v>645.8</v>
      </c>
      <c r="G546" s="18">
        <v>645.8</v>
      </c>
      <c r="H546" s="18">
        <f t="shared" si="3"/>
        <v>0</v>
      </c>
      <c r="J546" s="15"/>
    </row>
    <row r="547" ht="13.5" customHeight="1">
      <c r="A547" s="16" t="s">
        <v>11</v>
      </c>
      <c r="B547" s="16" t="s">
        <v>62</v>
      </c>
      <c r="C547" s="17" t="s">
        <v>663</v>
      </c>
      <c r="D547" s="16" t="s">
        <v>737</v>
      </c>
      <c r="E547" s="16" t="s">
        <v>739</v>
      </c>
      <c r="F547" s="18">
        <v>1244.22</v>
      </c>
      <c r="G547" s="18">
        <v>1244.22</v>
      </c>
      <c r="H547" s="18">
        <f t="shared" si="3"/>
        <v>0</v>
      </c>
      <c r="J547" s="15"/>
    </row>
    <row r="548" ht="13.5" customHeight="1">
      <c r="A548" s="16" t="s">
        <v>11</v>
      </c>
      <c r="B548" s="16" t="s">
        <v>87</v>
      </c>
      <c r="C548" s="17" t="s">
        <v>308</v>
      </c>
      <c r="D548" s="16" t="s">
        <v>737</v>
      </c>
      <c r="E548" s="16" t="s">
        <v>740</v>
      </c>
      <c r="F548" s="18">
        <v>5746.59</v>
      </c>
      <c r="G548" s="18">
        <v>5746.59</v>
      </c>
      <c r="H548" s="18">
        <f t="shared" si="3"/>
        <v>0</v>
      </c>
      <c r="J548" s="15"/>
    </row>
    <row r="549" ht="13.5" customHeight="1">
      <c r="A549" s="16" t="s">
        <v>11</v>
      </c>
      <c r="B549" s="16" t="s">
        <v>125</v>
      </c>
      <c r="C549" s="17" t="s">
        <v>566</v>
      </c>
      <c r="D549" s="16" t="s">
        <v>741</v>
      </c>
      <c r="E549" s="16" t="s">
        <v>742</v>
      </c>
      <c r="F549" s="18">
        <v>270.0</v>
      </c>
      <c r="G549" s="18">
        <v>270.0</v>
      </c>
      <c r="H549" s="18">
        <f t="shared" si="3"/>
        <v>0</v>
      </c>
      <c r="J549" s="15"/>
    </row>
    <row r="550" ht="13.5" customHeight="1">
      <c r="A550" s="16" t="s">
        <v>11</v>
      </c>
      <c r="B550" s="16" t="s">
        <v>125</v>
      </c>
      <c r="C550" s="17" t="s">
        <v>743</v>
      </c>
      <c r="D550" s="16" t="s">
        <v>741</v>
      </c>
      <c r="E550" s="24" t="s">
        <v>744</v>
      </c>
      <c r="F550" s="18">
        <v>610.0</v>
      </c>
      <c r="G550" s="18">
        <v>610.0</v>
      </c>
      <c r="H550" s="18">
        <f t="shared" si="3"/>
        <v>0</v>
      </c>
      <c r="J550" s="15"/>
    </row>
    <row r="551" ht="13.5" customHeight="1">
      <c r="A551" s="16" t="s">
        <v>11</v>
      </c>
      <c r="B551" s="16" t="s">
        <v>125</v>
      </c>
      <c r="C551" s="17" t="s">
        <v>292</v>
      </c>
      <c r="D551" s="16" t="s">
        <v>741</v>
      </c>
      <c r="E551" s="16" t="s">
        <v>745</v>
      </c>
      <c r="F551" s="18">
        <v>900.0</v>
      </c>
      <c r="G551" s="18">
        <v>900.0</v>
      </c>
      <c r="H551" s="18">
        <f t="shared" si="3"/>
        <v>0</v>
      </c>
      <c r="J551" s="15"/>
    </row>
    <row r="552" ht="13.5" customHeight="1">
      <c r="A552" s="16" t="s">
        <v>11</v>
      </c>
      <c r="B552" s="16" t="s">
        <v>125</v>
      </c>
      <c r="C552" s="17" t="s">
        <v>292</v>
      </c>
      <c r="D552" s="16" t="s">
        <v>741</v>
      </c>
      <c r="E552" s="24" t="s">
        <v>746</v>
      </c>
      <c r="F552" s="18">
        <v>484.0</v>
      </c>
      <c r="G552" s="18">
        <v>484.0</v>
      </c>
      <c r="H552" s="18">
        <f t="shared" si="3"/>
        <v>0</v>
      </c>
      <c r="J552" s="15"/>
    </row>
    <row r="553" ht="13.5" customHeight="1">
      <c r="A553" s="16" t="s">
        <v>11</v>
      </c>
      <c r="B553" s="16" t="s">
        <v>125</v>
      </c>
      <c r="C553" s="17" t="s">
        <v>613</v>
      </c>
      <c r="D553" s="16" t="s">
        <v>741</v>
      </c>
      <c r="E553" s="24" t="s">
        <v>747</v>
      </c>
      <c r="F553" s="18">
        <v>868.0</v>
      </c>
      <c r="G553" s="18">
        <v>868.0</v>
      </c>
      <c r="H553" s="18">
        <f t="shared" si="3"/>
        <v>0</v>
      </c>
      <c r="J553" s="15"/>
    </row>
    <row r="554" ht="13.5" customHeight="1">
      <c r="A554" s="16" t="s">
        <v>11</v>
      </c>
      <c r="B554" s="16" t="s">
        <v>587</v>
      </c>
      <c r="C554" s="17" t="s">
        <v>144</v>
      </c>
      <c r="D554" s="16" t="s">
        <v>748</v>
      </c>
      <c r="E554" s="16" t="s">
        <v>749</v>
      </c>
      <c r="F554" s="18">
        <v>19000.0</v>
      </c>
      <c r="G554" s="18">
        <v>19000.0</v>
      </c>
      <c r="H554" s="18">
        <f t="shared" si="3"/>
        <v>0</v>
      </c>
      <c r="J554" s="15"/>
    </row>
    <row r="555" ht="13.5" customHeight="1">
      <c r="A555" s="16" t="s">
        <v>11</v>
      </c>
      <c r="B555" s="16" t="s">
        <v>587</v>
      </c>
      <c r="C555" s="17" t="s">
        <v>144</v>
      </c>
      <c r="D555" s="16" t="s">
        <v>748</v>
      </c>
      <c r="E555" s="16" t="s">
        <v>750</v>
      </c>
      <c r="F555" s="18">
        <v>23500.0</v>
      </c>
      <c r="G555" s="18">
        <v>23500.0</v>
      </c>
      <c r="H555" s="18">
        <f t="shared" si="3"/>
        <v>0</v>
      </c>
      <c r="J555" s="15"/>
    </row>
    <row r="556" ht="13.5" customHeight="1">
      <c r="A556" s="16" t="s">
        <v>11</v>
      </c>
      <c r="B556" s="16" t="s">
        <v>587</v>
      </c>
      <c r="C556" s="17" t="s">
        <v>157</v>
      </c>
      <c r="D556" s="16" t="s">
        <v>748</v>
      </c>
      <c r="E556" s="16" t="s">
        <v>749</v>
      </c>
      <c r="F556" s="18">
        <v>19000.0</v>
      </c>
      <c r="G556" s="18">
        <v>19000.0</v>
      </c>
      <c r="H556" s="18">
        <f t="shared" si="3"/>
        <v>0</v>
      </c>
      <c r="J556" s="15"/>
    </row>
    <row r="557" ht="13.5" customHeight="1">
      <c r="A557" s="16" t="s">
        <v>11</v>
      </c>
      <c r="B557" s="16" t="s">
        <v>587</v>
      </c>
      <c r="C557" s="17" t="s">
        <v>751</v>
      </c>
      <c r="D557" s="16" t="s">
        <v>748</v>
      </c>
      <c r="E557" s="16" t="s">
        <v>749</v>
      </c>
      <c r="F557" s="18">
        <v>15200.0</v>
      </c>
      <c r="G557" s="18">
        <v>15200.0</v>
      </c>
      <c r="H557" s="18">
        <f t="shared" si="3"/>
        <v>0</v>
      </c>
      <c r="J557" s="15"/>
    </row>
    <row r="558" ht="13.5" customHeight="1">
      <c r="A558" s="16" t="s">
        <v>11</v>
      </c>
      <c r="B558" s="16" t="s">
        <v>587</v>
      </c>
      <c r="C558" s="17" t="s">
        <v>608</v>
      </c>
      <c r="D558" s="16" t="s">
        <v>748</v>
      </c>
      <c r="E558" s="16" t="s">
        <v>749</v>
      </c>
      <c r="F558" s="18">
        <v>19000.0</v>
      </c>
      <c r="G558" s="18">
        <v>19000.0</v>
      </c>
      <c r="H558" s="18">
        <f t="shared" si="3"/>
        <v>0</v>
      </c>
      <c r="J558" s="15"/>
    </row>
    <row r="559" ht="13.5" customHeight="1">
      <c r="A559" s="16" t="s">
        <v>11</v>
      </c>
      <c r="B559" s="16" t="s">
        <v>587</v>
      </c>
      <c r="C559" s="17" t="s">
        <v>446</v>
      </c>
      <c r="D559" s="16" t="s">
        <v>748</v>
      </c>
      <c r="E559" s="16" t="s">
        <v>750</v>
      </c>
      <c r="F559" s="18">
        <v>23500.0</v>
      </c>
      <c r="G559" s="18">
        <v>23500.0</v>
      </c>
      <c r="H559" s="18">
        <f t="shared" si="3"/>
        <v>0</v>
      </c>
      <c r="J559" s="15"/>
    </row>
    <row r="560" ht="13.5" customHeight="1">
      <c r="A560" s="16" t="s">
        <v>11</v>
      </c>
      <c r="B560" s="16" t="s">
        <v>587</v>
      </c>
      <c r="C560" s="17" t="s">
        <v>336</v>
      </c>
      <c r="D560" s="16" t="s">
        <v>748</v>
      </c>
      <c r="E560" s="16" t="s">
        <v>749</v>
      </c>
      <c r="F560" s="18">
        <v>19000.0</v>
      </c>
      <c r="G560" s="18">
        <v>19000.0</v>
      </c>
      <c r="H560" s="18">
        <f t="shared" si="3"/>
        <v>0</v>
      </c>
      <c r="J560" s="15"/>
    </row>
    <row r="561" ht="13.5" customHeight="1">
      <c r="A561" s="16" t="s">
        <v>11</v>
      </c>
      <c r="B561" s="16" t="s">
        <v>587</v>
      </c>
      <c r="C561" s="17" t="s">
        <v>336</v>
      </c>
      <c r="D561" s="16" t="s">
        <v>748</v>
      </c>
      <c r="E561" s="16" t="s">
        <v>750</v>
      </c>
      <c r="F561" s="18">
        <v>23500.0</v>
      </c>
      <c r="G561" s="18">
        <v>23500.0</v>
      </c>
      <c r="H561" s="18">
        <f t="shared" si="3"/>
        <v>0</v>
      </c>
      <c r="J561" s="15"/>
    </row>
    <row r="562" ht="13.5" customHeight="1">
      <c r="A562" s="16" t="s">
        <v>11</v>
      </c>
      <c r="B562" s="16" t="s">
        <v>587</v>
      </c>
      <c r="C562" s="17" t="s">
        <v>193</v>
      </c>
      <c r="D562" s="16" t="s">
        <v>748</v>
      </c>
      <c r="E562" s="16" t="s">
        <v>749</v>
      </c>
      <c r="F562" s="18">
        <v>19000.0</v>
      </c>
      <c r="G562" s="18">
        <v>19000.0</v>
      </c>
      <c r="H562" s="18">
        <f t="shared" si="3"/>
        <v>0</v>
      </c>
      <c r="J562" s="15"/>
    </row>
    <row r="563" ht="13.5" customHeight="1">
      <c r="A563" s="16" t="s">
        <v>11</v>
      </c>
      <c r="B563" s="16" t="s">
        <v>298</v>
      </c>
      <c r="C563" s="29">
        <v>46129.0</v>
      </c>
      <c r="D563" s="16" t="s">
        <v>752</v>
      </c>
      <c r="E563" s="24" t="s">
        <v>753</v>
      </c>
      <c r="F563" s="18">
        <v>196385.28</v>
      </c>
      <c r="G563" s="18">
        <f>+Datos!$F563</f>
        <v>196385.28</v>
      </c>
      <c r="H563" s="25">
        <f t="shared" si="3"/>
        <v>0</v>
      </c>
      <c r="J563" s="15"/>
    </row>
    <row r="564" ht="13.5" customHeight="1">
      <c r="A564" s="16" t="s">
        <v>11</v>
      </c>
      <c r="B564" s="16" t="s">
        <v>298</v>
      </c>
      <c r="C564" s="17" t="s">
        <v>754</v>
      </c>
      <c r="D564" s="16" t="s">
        <v>752</v>
      </c>
      <c r="E564" s="16" t="s">
        <v>591</v>
      </c>
      <c r="F564" s="18">
        <v>30963.08</v>
      </c>
      <c r="G564" s="18">
        <v>30963.08</v>
      </c>
      <c r="H564" s="18">
        <f t="shared" si="3"/>
        <v>0</v>
      </c>
      <c r="J564" s="15"/>
    </row>
    <row r="565" ht="13.5" customHeight="1">
      <c r="A565" s="16" t="s">
        <v>11</v>
      </c>
      <c r="B565" s="16" t="s">
        <v>298</v>
      </c>
      <c r="C565" s="17" t="s">
        <v>755</v>
      </c>
      <c r="D565" s="16" t="s">
        <v>752</v>
      </c>
      <c r="E565" s="16" t="s">
        <v>591</v>
      </c>
      <c r="F565" s="18">
        <v>250559.24</v>
      </c>
      <c r="G565" s="18">
        <f>+Datos!$F565</f>
        <v>250559.24</v>
      </c>
      <c r="H565" s="25">
        <f t="shared" si="3"/>
        <v>0</v>
      </c>
      <c r="J565" s="15"/>
    </row>
    <row r="566" ht="13.5" customHeight="1">
      <c r="A566" s="16" t="s">
        <v>11</v>
      </c>
      <c r="B566" s="16" t="s">
        <v>314</v>
      </c>
      <c r="C566" s="17" t="s">
        <v>240</v>
      </c>
      <c r="D566" s="16" t="s">
        <v>756</v>
      </c>
      <c r="E566" s="16" t="s">
        <v>757</v>
      </c>
      <c r="F566" s="18">
        <v>120.0</v>
      </c>
      <c r="G566" s="18">
        <v>120.0</v>
      </c>
      <c r="H566" s="18">
        <f t="shared" si="3"/>
        <v>0</v>
      </c>
      <c r="J566" s="15"/>
    </row>
    <row r="567" ht="13.5" customHeight="1">
      <c r="A567" s="16" t="s">
        <v>11</v>
      </c>
      <c r="B567" s="16" t="s">
        <v>314</v>
      </c>
      <c r="C567" s="17" t="s">
        <v>240</v>
      </c>
      <c r="D567" s="16" t="s">
        <v>756</v>
      </c>
      <c r="E567" s="24" t="s">
        <v>758</v>
      </c>
      <c r="F567" s="18">
        <v>1613.97</v>
      </c>
      <c r="G567" s="18">
        <v>1613.97</v>
      </c>
      <c r="H567" s="18">
        <f t="shared" si="3"/>
        <v>0</v>
      </c>
      <c r="J567" s="15"/>
    </row>
    <row r="568" ht="13.5" customHeight="1">
      <c r="A568" s="16" t="s">
        <v>11</v>
      </c>
      <c r="B568" s="16" t="s">
        <v>125</v>
      </c>
      <c r="C568" s="17" t="s">
        <v>112</v>
      </c>
      <c r="D568" s="16" t="s">
        <v>759</v>
      </c>
      <c r="E568" s="24" t="s">
        <v>760</v>
      </c>
      <c r="F568" s="18">
        <v>6724.35</v>
      </c>
      <c r="G568" s="18">
        <v>6724.35</v>
      </c>
      <c r="H568" s="18">
        <f t="shared" si="3"/>
        <v>0</v>
      </c>
      <c r="J568" s="15"/>
    </row>
    <row r="569" ht="13.5" customHeight="1">
      <c r="A569" s="16" t="s">
        <v>11</v>
      </c>
      <c r="B569" s="16" t="s">
        <v>125</v>
      </c>
      <c r="C569" s="17" t="s">
        <v>761</v>
      </c>
      <c r="D569" s="16" t="s">
        <v>759</v>
      </c>
      <c r="E569" s="16" t="s">
        <v>762</v>
      </c>
      <c r="F569" s="18">
        <v>699.31</v>
      </c>
      <c r="G569" s="18">
        <v>699.31</v>
      </c>
      <c r="H569" s="18">
        <f t="shared" si="3"/>
        <v>0</v>
      </c>
      <c r="J569" s="15"/>
    </row>
    <row r="570" ht="13.5" customHeight="1">
      <c r="A570" s="16" t="s">
        <v>11</v>
      </c>
      <c r="B570" s="16" t="s">
        <v>125</v>
      </c>
      <c r="C570" s="17" t="s">
        <v>600</v>
      </c>
      <c r="D570" s="16" t="s">
        <v>759</v>
      </c>
      <c r="E570" s="16" t="s">
        <v>763</v>
      </c>
      <c r="F570" s="18">
        <v>12462.17</v>
      </c>
      <c r="G570" s="18">
        <v>12462.17</v>
      </c>
      <c r="H570" s="18">
        <f t="shared" si="3"/>
        <v>0</v>
      </c>
      <c r="J570" s="15"/>
    </row>
    <row r="571" ht="13.5" customHeight="1">
      <c r="A571" s="16" t="s">
        <v>11</v>
      </c>
      <c r="B571" s="16" t="s">
        <v>62</v>
      </c>
      <c r="C571" s="17" t="s">
        <v>230</v>
      </c>
      <c r="D571" s="16" t="s">
        <v>764</v>
      </c>
      <c r="E571" s="16" t="s">
        <v>765</v>
      </c>
      <c r="F571" s="18">
        <v>1400.0</v>
      </c>
      <c r="G571" s="18">
        <v>1400.0</v>
      </c>
      <c r="H571" s="18">
        <f t="shared" si="3"/>
        <v>0</v>
      </c>
      <c r="J571" s="15"/>
    </row>
    <row r="572" ht="13.5" customHeight="1">
      <c r="A572" s="16" t="s">
        <v>10</v>
      </c>
      <c r="B572" s="16" t="s">
        <v>222</v>
      </c>
      <c r="C572" s="17" t="s">
        <v>361</v>
      </c>
      <c r="D572" s="16" t="s">
        <v>766</v>
      </c>
      <c r="E572" s="16" t="s">
        <v>223</v>
      </c>
      <c r="F572" s="18">
        <v>1000.0</v>
      </c>
      <c r="G572" s="18">
        <v>1000.0</v>
      </c>
      <c r="H572" s="18">
        <f t="shared" si="3"/>
        <v>0</v>
      </c>
      <c r="J572" s="15"/>
    </row>
    <row r="573" ht="13.5" customHeight="1">
      <c r="A573" s="16" t="s">
        <v>10</v>
      </c>
      <c r="B573" s="16" t="s">
        <v>222</v>
      </c>
      <c r="C573" s="17" t="s">
        <v>44</v>
      </c>
      <c r="D573" s="16" t="s">
        <v>766</v>
      </c>
      <c r="E573" s="16" t="s">
        <v>223</v>
      </c>
      <c r="F573" s="18">
        <v>500.0</v>
      </c>
      <c r="G573" s="18">
        <v>500.0</v>
      </c>
      <c r="H573" s="18">
        <f t="shared" si="3"/>
        <v>0</v>
      </c>
      <c r="J573" s="15"/>
    </row>
    <row r="574" ht="13.5" customHeight="1">
      <c r="A574" s="16" t="s">
        <v>10</v>
      </c>
      <c r="B574" s="16" t="s">
        <v>222</v>
      </c>
      <c r="C574" s="17" t="s">
        <v>44</v>
      </c>
      <c r="D574" s="16" t="s">
        <v>766</v>
      </c>
      <c r="E574" s="16" t="s">
        <v>223</v>
      </c>
      <c r="F574" s="18">
        <v>280.0</v>
      </c>
      <c r="G574" s="18">
        <v>280.0</v>
      </c>
      <c r="H574" s="18">
        <f t="shared" si="3"/>
        <v>0</v>
      </c>
      <c r="J574" s="15"/>
    </row>
    <row r="575" ht="13.5" customHeight="1">
      <c r="A575" s="16" t="s">
        <v>10</v>
      </c>
      <c r="B575" s="16" t="s">
        <v>222</v>
      </c>
      <c r="C575" s="17" t="s">
        <v>767</v>
      </c>
      <c r="D575" s="16" t="s">
        <v>768</v>
      </c>
      <c r="E575" s="16" t="s">
        <v>307</v>
      </c>
      <c r="F575" s="18">
        <v>1000.0</v>
      </c>
      <c r="G575" s="18">
        <v>1000.0</v>
      </c>
      <c r="H575" s="18">
        <f t="shared" si="3"/>
        <v>0</v>
      </c>
      <c r="J575" s="15"/>
    </row>
    <row r="576" ht="13.5" customHeight="1">
      <c r="A576" s="16" t="s">
        <v>11</v>
      </c>
      <c r="B576" s="16" t="s">
        <v>266</v>
      </c>
      <c r="C576" s="17" t="s">
        <v>317</v>
      </c>
      <c r="D576" s="16" t="s">
        <v>59</v>
      </c>
      <c r="E576" s="16" t="s">
        <v>60</v>
      </c>
      <c r="F576" s="18">
        <v>25698.68</v>
      </c>
      <c r="G576" s="18">
        <v>25698.68</v>
      </c>
      <c r="H576" s="18">
        <f t="shared" si="3"/>
        <v>0</v>
      </c>
      <c r="J576" s="15"/>
    </row>
    <row r="577" ht="13.5" customHeight="1">
      <c r="A577" s="16" t="s">
        <v>11</v>
      </c>
      <c r="B577" s="16" t="s">
        <v>125</v>
      </c>
      <c r="C577" s="17" t="s">
        <v>769</v>
      </c>
      <c r="D577" s="16" t="s">
        <v>770</v>
      </c>
      <c r="E577" s="16" t="s">
        <v>771</v>
      </c>
      <c r="F577" s="18">
        <v>11737.69</v>
      </c>
      <c r="G577" s="18">
        <v>11737.69</v>
      </c>
      <c r="H577" s="18">
        <f t="shared" si="3"/>
        <v>0</v>
      </c>
      <c r="J577" s="15"/>
    </row>
    <row r="578" ht="13.5" customHeight="1">
      <c r="A578" s="16" t="s">
        <v>11</v>
      </c>
      <c r="B578" s="16" t="s">
        <v>125</v>
      </c>
      <c r="C578" s="17" t="s">
        <v>154</v>
      </c>
      <c r="D578" s="16" t="s">
        <v>770</v>
      </c>
      <c r="E578" s="16" t="s">
        <v>772</v>
      </c>
      <c r="F578" s="18">
        <v>2151.8</v>
      </c>
      <c r="G578" s="18">
        <v>2151.8</v>
      </c>
      <c r="H578" s="18">
        <f t="shared" si="3"/>
        <v>0</v>
      </c>
      <c r="J578" s="15"/>
    </row>
    <row r="579" ht="13.5" customHeight="1">
      <c r="A579" s="16" t="s">
        <v>11</v>
      </c>
      <c r="B579" s="16" t="s">
        <v>125</v>
      </c>
      <c r="C579" s="17" t="s">
        <v>773</v>
      </c>
      <c r="D579" s="16" t="s">
        <v>770</v>
      </c>
      <c r="E579" s="24" t="s">
        <v>774</v>
      </c>
      <c r="F579" s="18">
        <v>1906.33</v>
      </c>
      <c r="G579" s="18">
        <v>1906.33</v>
      </c>
      <c r="H579" s="18">
        <f t="shared" si="3"/>
        <v>0</v>
      </c>
      <c r="J579" s="15"/>
    </row>
    <row r="580" ht="13.5" customHeight="1">
      <c r="A580" s="16" t="s">
        <v>11</v>
      </c>
      <c r="B580" s="16" t="s">
        <v>125</v>
      </c>
      <c r="C580" s="17" t="s">
        <v>34</v>
      </c>
      <c r="D580" s="16" t="s">
        <v>770</v>
      </c>
      <c r="E580" s="24" t="s">
        <v>775</v>
      </c>
      <c r="F580" s="18">
        <v>11848.94</v>
      </c>
      <c r="G580" s="18">
        <v>11848.94</v>
      </c>
      <c r="H580" s="18">
        <f t="shared" si="3"/>
        <v>0</v>
      </c>
      <c r="J580" s="15"/>
    </row>
    <row r="581" ht="13.5" customHeight="1">
      <c r="A581" s="16" t="s">
        <v>11</v>
      </c>
      <c r="B581" s="16" t="s">
        <v>776</v>
      </c>
      <c r="C581" s="17" t="s">
        <v>36</v>
      </c>
      <c r="D581" s="16" t="s">
        <v>770</v>
      </c>
      <c r="E581" s="16" t="s">
        <v>777</v>
      </c>
      <c r="F581" s="18">
        <v>23836.0628</v>
      </c>
      <c r="G581" s="18">
        <v>23836.0628</v>
      </c>
      <c r="H581" s="18">
        <f t="shared" si="3"/>
        <v>0</v>
      </c>
      <c r="J581" s="15"/>
    </row>
    <row r="582" ht="13.5" customHeight="1">
      <c r="A582" s="16" t="s">
        <v>11</v>
      </c>
      <c r="B582" s="16" t="s">
        <v>125</v>
      </c>
      <c r="C582" s="17" t="s">
        <v>80</v>
      </c>
      <c r="D582" s="16" t="s">
        <v>770</v>
      </c>
      <c r="E582" s="24" t="s">
        <v>778</v>
      </c>
      <c r="F582" s="18">
        <v>782.94</v>
      </c>
      <c r="G582" s="18">
        <v>782.94</v>
      </c>
      <c r="H582" s="18">
        <f t="shared" si="3"/>
        <v>0</v>
      </c>
      <c r="J582" s="15"/>
    </row>
    <row r="583" ht="13.5" customHeight="1">
      <c r="A583" s="16" t="s">
        <v>11</v>
      </c>
      <c r="B583" s="16" t="s">
        <v>125</v>
      </c>
      <c r="C583" s="17" t="s">
        <v>53</v>
      </c>
      <c r="D583" s="16" t="s">
        <v>770</v>
      </c>
      <c r="E583" s="24" t="s">
        <v>779</v>
      </c>
      <c r="F583" s="18">
        <v>3181.49</v>
      </c>
      <c r="G583" s="18">
        <v>3181.49</v>
      </c>
      <c r="H583" s="18">
        <f t="shared" si="3"/>
        <v>0</v>
      </c>
      <c r="J583" s="15"/>
    </row>
    <row r="584" ht="13.5" customHeight="1">
      <c r="A584" s="16" t="s">
        <v>11</v>
      </c>
      <c r="B584" s="16" t="s">
        <v>125</v>
      </c>
      <c r="C584" s="17" t="s">
        <v>643</v>
      </c>
      <c r="D584" s="16" t="s">
        <v>770</v>
      </c>
      <c r="E584" s="24" t="s">
        <v>780</v>
      </c>
      <c r="F584" s="18">
        <v>8015.86</v>
      </c>
      <c r="G584" s="18">
        <v>8015.86</v>
      </c>
      <c r="H584" s="18">
        <f t="shared" si="3"/>
        <v>0</v>
      </c>
      <c r="J584" s="15"/>
    </row>
    <row r="585" ht="13.5" customHeight="1">
      <c r="A585" s="16" t="s">
        <v>10</v>
      </c>
      <c r="B585" s="16" t="s">
        <v>91</v>
      </c>
      <c r="C585" s="29">
        <v>45839.0</v>
      </c>
      <c r="D585" s="16" t="s">
        <v>781</v>
      </c>
      <c r="E585" s="16" t="s">
        <v>782</v>
      </c>
      <c r="F585" s="18">
        <v>669.0</v>
      </c>
      <c r="G585" s="18">
        <v>669.0</v>
      </c>
      <c r="H585" s="18">
        <f t="shared" si="3"/>
        <v>0</v>
      </c>
      <c r="J585" s="15"/>
    </row>
    <row r="586" ht="13.5" customHeight="1">
      <c r="A586" s="16" t="s">
        <v>10</v>
      </c>
      <c r="B586" s="16" t="s">
        <v>91</v>
      </c>
      <c r="C586" s="29">
        <v>46174.0</v>
      </c>
      <c r="D586" s="16" t="s">
        <v>783</v>
      </c>
      <c r="E586" s="16" t="s">
        <v>109</v>
      </c>
      <c r="F586" s="18">
        <v>768.0</v>
      </c>
      <c r="G586" s="18">
        <v>768.0</v>
      </c>
      <c r="H586" s="18">
        <f t="shared" si="3"/>
        <v>0</v>
      </c>
      <c r="J586" s="15"/>
    </row>
    <row r="587" ht="13.5" customHeight="1">
      <c r="A587" s="16" t="s">
        <v>10</v>
      </c>
      <c r="B587" s="16" t="s">
        <v>91</v>
      </c>
      <c r="C587" s="17" t="s">
        <v>784</v>
      </c>
      <c r="D587" s="16" t="s">
        <v>785</v>
      </c>
      <c r="E587" s="16" t="s">
        <v>786</v>
      </c>
      <c r="F587" s="18">
        <v>669.0</v>
      </c>
      <c r="G587" s="18">
        <v>669.0</v>
      </c>
      <c r="H587" s="18">
        <f t="shared" si="3"/>
        <v>0</v>
      </c>
      <c r="J587" s="15"/>
    </row>
    <row r="588" ht="13.5" customHeight="1">
      <c r="A588" s="16" t="s">
        <v>10</v>
      </c>
      <c r="B588" s="16" t="s">
        <v>91</v>
      </c>
      <c r="C588" s="17" t="s">
        <v>787</v>
      </c>
      <c r="D588" s="16" t="s">
        <v>785</v>
      </c>
      <c r="E588" s="24" t="s">
        <v>788</v>
      </c>
      <c r="F588" s="18">
        <v>798.0</v>
      </c>
      <c r="G588" s="18">
        <v>798.0</v>
      </c>
      <c r="H588" s="18">
        <f t="shared" si="3"/>
        <v>0</v>
      </c>
      <c r="J588" s="15"/>
    </row>
    <row r="589" ht="13.5" customHeight="1">
      <c r="A589" s="16" t="s">
        <v>10</v>
      </c>
      <c r="B589" s="16" t="s">
        <v>91</v>
      </c>
      <c r="C589" s="17" t="s">
        <v>226</v>
      </c>
      <c r="D589" s="16" t="s">
        <v>785</v>
      </c>
      <c r="E589" s="16" t="s">
        <v>789</v>
      </c>
      <c r="F589" s="18">
        <v>768.0</v>
      </c>
      <c r="G589" s="18">
        <v>768.0</v>
      </c>
      <c r="H589" s="18">
        <f t="shared" si="3"/>
        <v>0</v>
      </c>
      <c r="J589" s="15"/>
    </row>
    <row r="590" ht="13.5" customHeight="1">
      <c r="A590" s="16" t="s">
        <v>10</v>
      </c>
      <c r="B590" s="16" t="s">
        <v>91</v>
      </c>
      <c r="C590" s="17" t="s">
        <v>790</v>
      </c>
      <c r="D590" s="16" t="s">
        <v>785</v>
      </c>
      <c r="E590" s="24" t="s">
        <v>791</v>
      </c>
      <c r="F590" s="18">
        <v>768.0</v>
      </c>
      <c r="G590" s="18">
        <v>768.0</v>
      </c>
      <c r="H590" s="18">
        <f t="shared" si="3"/>
        <v>0</v>
      </c>
      <c r="J590" s="15"/>
    </row>
    <row r="591" ht="13.5" customHeight="1">
      <c r="A591" s="16" t="s">
        <v>10</v>
      </c>
      <c r="B591" s="16" t="s">
        <v>91</v>
      </c>
      <c r="C591" s="17" t="s">
        <v>541</v>
      </c>
      <c r="D591" s="16" t="s">
        <v>785</v>
      </c>
      <c r="E591" s="24" t="s">
        <v>792</v>
      </c>
      <c r="F591" s="18">
        <v>768.0</v>
      </c>
      <c r="G591" s="18">
        <v>768.0</v>
      </c>
      <c r="H591" s="18">
        <f t="shared" si="3"/>
        <v>0</v>
      </c>
      <c r="J591" s="15"/>
    </row>
    <row r="592" ht="13.5" customHeight="1">
      <c r="A592" s="16" t="s">
        <v>10</v>
      </c>
      <c r="B592" s="16" t="s">
        <v>91</v>
      </c>
      <c r="C592" s="17" t="s">
        <v>141</v>
      </c>
      <c r="D592" s="16" t="s">
        <v>785</v>
      </c>
      <c r="E592" s="16" t="s">
        <v>793</v>
      </c>
      <c r="F592" s="18">
        <v>669.0</v>
      </c>
      <c r="G592" s="18">
        <v>669.0</v>
      </c>
      <c r="H592" s="18">
        <f t="shared" si="3"/>
        <v>0</v>
      </c>
      <c r="J592" s="15"/>
    </row>
    <row r="593" ht="13.5" customHeight="1">
      <c r="A593" s="16" t="s">
        <v>11</v>
      </c>
      <c r="B593" s="16" t="s">
        <v>125</v>
      </c>
      <c r="C593" s="17" t="s">
        <v>794</v>
      </c>
      <c r="D593" s="16" t="s">
        <v>795</v>
      </c>
      <c r="E593" s="24" t="s">
        <v>796</v>
      </c>
      <c r="F593" s="18">
        <v>1382.26</v>
      </c>
      <c r="G593" s="18">
        <v>1382.26</v>
      </c>
      <c r="H593" s="18">
        <f t="shared" si="3"/>
        <v>0</v>
      </c>
      <c r="J593" s="15"/>
    </row>
    <row r="594" ht="13.5" customHeight="1">
      <c r="A594" s="16" t="s">
        <v>11</v>
      </c>
      <c r="B594" s="16" t="s">
        <v>551</v>
      </c>
      <c r="C594" s="17" t="s">
        <v>226</v>
      </c>
      <c r="D594" s="16" t="s">
        <v>797</v>
      </c>
      <c r="E594" s="16" t="s">
        <v>798</v>
      </c>
      <c r="F594" s="18">
        <v>6041.79</v>
      </c>
      <c r="G594" s="18">
        <v>6041.79</v>
      </c>
      <c r="H594" s="18">
        <f t="shared" si="3"/>
        <v>0</v>
      </c>
      <c r="J594" s="15"/>
    </row>
    <row r="595" ht="13.5" customHeight="1">
      <c r="A595" s="16" t="s">
        <v>11</v>
      </c>
      <c r="B595" s="16" t="s">
        <v>551</v>
      </c>
      <c r="C595" s="17" t="s">
        <v>364</v>
      </c>
      <c r="D595" s="16" t="s">
        <v>797</v>
      </c>
      <c r="E595" s="16" t="s">
        <v>799</v>
      </c>
      <c r="F595" s="18">
        <v>6041.79</v>
      </c>
      <c r="G595" s="18">
        <v>6041.79</v>
      </c>
      <c r="H595" s="18">
        <f t="shared" si="3"/>
        <v>0</v>
      </c>
      <c r="J595" s="15"/>
    </row>
    <row r="596" ht="13.5" customHeight="1">
      <c r="A596" s="16" t="s">
        <v>11</v>
      </c>
      <c r="B596" s="16" t="s">
        <v>551</v>
      </c>
      <c r="C596" s="17" t="s">
        <v>399</v>
      </c>
      <c r="D596" s="16" t="s">
        <v>797</v>
      </c>
      <c r="E596" s="16" t="s">
        <v>800</v>
      </c>
      <c r="F596" s="18">
        <v>6041.79</v>
      </c>
      <c r="G596" s="18">
        <v>6041.79</v>
      </c>
      <c r="H596" s="18">
        <f t="shared" si="3"/>
        <v>0</v>
      </c>
      <c r="J596" s="15"/>
    </row>
    <row r="597" ht="13.5" customHeight="1">
      <c r="A597" s="16" t="s">
        <v>11</v>
      </c>
      <c r="B597" s="16" t="s">
        <v>551</v>
      </c>
      <c r="C597" s="17" t="s">
        <v>251</v>
      </c>
      <c r="D597" s="16" t="s">
        <v>797</v>
      </c>
      <c r="E597" s="16" t="s">
        <v>801</v>
      </c>
      <c r="F597" s="18">
        <v>6041.79</v>
      </c>
      <c r="G597" s="18">
        <v>6041.79</v>
      </c>
      <c r="H597" s="18">
        <f t="shared" si="3"/>
        <v>0</v>
      </c>
      <c r="J597" s="15"/>
    </row>
    <row r="598" ht="13.5" customHeight="1">
      <c r="A598" s="16" t="s">
        <v>11</v>
      </c>
      <c r="B598" s="16" t="s">
        <v>551</v>
      </c>
      <c r="C598" s="17" t="s">
        <v>46</v>
      </c>
      <c r="D598" s="16" t="s">
        <v>797</v>
      </c>
      <c r="E598" s="16" t="s">
        <v>802</v>
      </c>
      <c r="F598" s="18">
        <v>6041.79</v>
      </c>
      <c r="G598" s="18">
        <v>6041.79</v>
      </c>
      <c r="H598" s="18">
        <f t="shared" si="3"/>
        <v>0</v>
      </c>
      <c r="J598" s="15"/>
    </row>
    <row r="599" ht="13.5" customHeight="1">
      <c r="A599" s="16" t="s">
        <v>11</v>
      </c>
      <c r="B599" s="16" t="s">
        <v>551</v>
      </c>
      <c r="C599" s="17" t="s">
        <v>385</v>
      </c>
      <c r="D599" s="16" t="s">
        <v>797</v>
      </c>
      <c r="E599" s="16" t="s">
        <v>803</v>
      </c>
      <c r="F599" s="18">
        <v>6041.79</v>
      </c>
      <c r="G599" s="18">
        <v>6041.79</v>
      </c>
      <c r="H599" s="18">
        <f t="shared" si="3"/>
        <v>0</v>
      </c>
      <c r="J599" s="15"/>
    </row>
    <row r="600" ht="13.5" customHeight="1">
      <c r="A600" s="16" t="s">
        <v>11</v>
      </c>
      <c r="B600" s="16" t="s">
        <v>551</v>
      </c>
      <c r="C600" s="17" t="s">
        <v>361</v>
      </c>
      <c r="D600" s="16" t="s">
        <v>797</v>
      </c>
      <c r="E600" s="16" t="s">
        <v>804</v>
      </c>
      <c r="F600" s="18">
        <v>6041.79</v>
      </c>
      <c r="G600" s="18">
        <v>6041.79</v>
      </c>
      <c r="H600" s="18">
        <f t="shared" si="3"/>
        <v>0</v>
      </c>
      <c r="J600" s="15"/>
    </row>
    <row r="601" ht="13.5" customHeight="1">
      <c r="A601" s="16" t="s">
        <v>11</v>
      </c>
      <c r="B601" s="16" t="s">
        <v>551</v>
      </c>
      <c r="C601" s="17" t="s">
        <v>361</v>
      </c>
      <c r="D601" s="16" t="s">
        <v>797</v>
      </c>
      <c r="E601" s="16" t="s">
        <v>804</v>
      </c>
      <c r="F601" s="18">
        <v>6041.79</v>
      </c>
      <c r="G601" s="18">
        <v>6041.79</v>
      </c>
      <c r="H601" s="18">
        <f t="shared" si="3"/>
        <v>0</v>
      </c>
      <c r="J601" s="15"/>
    </row>
    <row r="602" ht="13.5" customHeight="1">
      <c r="A602" s="16" t="s">
        <v>11</v>
      </c>
      <c r="B602" s="16" t="s">
        <v>551</v>
      </c>
      <c r="C602" s="17" t="s">
        <v>396</v>
      </c>
      <c r="D602" s="16" t="s">
        <v>797</v>
      </c>
      <c r="E602" s="16" t="s">
        <v>805</v>
      </c>
      <c r="F602" s="18">
        <v>6041.79</v>
      </c>
      <c r="G602" s="18">
        <v>6041.79</v>
      </c>
      <c r="H602" s="18">
        <f t="shared" si="3"/>
        <v>0</v>
      </c>
      <c r="J602" s="15"/>
    </row>
    <row r="603" ht="13.5" customHeight="1">
      <c r="A603" s="16" t="s">
        <v>11</v>
      </c>
      <c r="B603" s="16" t="s">
        <v>551</v>
      </c>
      <c r="C603" s="17" t="s">
        <v>373</v>
      </c>
      <c r="D603" s="16" t="s">
        <v>797</v>
      </c>
      <c r="E603" s="16" t="s">
        <v>806</v>
      </c>
      <c r="F603" s="18">
        <v>6041.79</v>
      </c>
      <c r="G603" s="18">
        <v>6041.79</v>
      </c>
      <c r="H603" s="18">
        <f t="shared" si="3"/>
        <v>0</v>
      </c>
      <c r="J603" s="15"/>
    </row>
    <row r="604" ht="13.5" customHeight="1">
      <c r="A604" s="16" t="s">
        <v>11</v>
      </c>
      <c r="B604" s="16" t="s">
        <v>551</v>
      </c>
      <c r="C604" s="17" t="s">
        <v>32</v>
      </c>
      <c r="D604" s="16" t="s">
        <v>797</v>
      </c>
      <c r="E604" s="16" t="s">
        <v>807</v>
      </c>
      <c r="F604" s="18">
        <v>6533.3333331</v>
      </c>
      <c r="G604" s="18">
        <v>6533.3333331</v>
      </c>
      <c r="H604" s="18">
        <f t="shared" si="3"/>
        <v>0</v>
      </c>
      <c r="J604" s="15"/>
    </row>
    <row r="605" ht="13.5" customHeight="1">
      <c r="A605" s="16" t="s">
        <v>11</v>
      </c>
      <c r="B605" s="16" t="s">
        <v>551</v>
      </c>
      <c r="C605" s="17" t="s">
        <v>78</v>
      </c>
      <c r="D605" s="16" t="s">
        <v>797</v>
      </c>
      <c r="E605" s="16" t="s">
        <v>808</v>
      </c>
      <c r="F605" s="18">
        <v>6041.79</v>
      </c>
      <c r="G605" s="18">
        <v>6041.79</v>
      </c>
      <c r="H605" s="18">
        <f t="shared" si="3"/>
        <v>0</v>
      </c>
      <c r="J605" s="15"/>
    </row>
    <row r="606" ht="13.5" customHeight="1">
      <c r="A606" s="16" t="s">
        <v>11</v>
      </c>
      <c r="B606" s="16" t="s">
        <v>551</v>
      </c>
      <c r="C606" s="17" t="s">
        <v>36</v>
      </c>
      <c r="D606" s="16" t="s">
        <v>797</v>
      </c>
      <c r="E606" s="16" t="s">
        <v>809</v>
      </c>
      <c r="F606" s="18">
        <v>6041.79</v>
      </c>
      <c r="G606" s="18">
        <v>6041.79</v>
      </c>
      <c r="H606" s="18">
        <f t="shared" si="3"/>
        <v>0</v>
      </c>
      <c r="J606" s="15"/>
    </row>
    <row r="607" ht="13.5" customHeight="1">
      <c r="A607" s="16" t="s">
        <v>11</v>
      </c>
      <c r="B607" s="16" t="s">
        <v>551</v>
      </c>
      <c r="C607" s="17" t="s">
        <v>80</v>
      </c>
      <c r="D607" s="16" t="s">
        <v>797</v>
      </c>
      <c r="E607" s="16" t="s">
        <v>810</v>
      </c>
      <c r="F607" s="18">
        <v>6041.79</v>
      </c>
      <c r="G607" s="18">
        <v>6041.79</v>
      </c>
      <c r="H607" s="18">
        <f t="shared" si="3"/>
        <v>0</v>
      </c>
      <c r="J607" s="15"/>
    </row>
    <row r="608" ht="13.5" customHeight="1">
      <c r="A608" s="16" t="s">
        <v>11</v>
      </c>
      <c r="B608" s="16" t="s">
        <v>551</v>
      </c>
      <c r="C608" s="17" t="s">
        <v>393</v>
      </c>
      <c r="D608" s="16" t="s">
        <v>797</v>
      </c>
      <c r="E608" s="16" t="s">
        <v>811</v>
      </c>
      <c r="F608" s="18">
        <v>6041.79</v>
      </c>
      <c r="G608" s="18">
        <v>6041.79</v>
      </c>
      <c r="H608" s="18">
        <f t="shared" si="3"/>
        <v>0</v>
      </c>
      <c r="J608" s="15"/>
    </row>
    <row r="609" ht="13.5" customHeight="1">
      <c r="A609" s="16" t="s">
        <v>11</v>
      </c>
      <c r="B609" s="16" t="s">
        <v>551</v>
      </c>
      <c r="C609" s="17" t="s">
        <v>370</v>
      </c>
      <c r="D609" s="16" t="s">
        <v>797</v>
      </c>
      <c r="E609" s="16" t="s">
        <v>812</v>
      </c>
      <c r="F609" s="18">
        <v>6041.79</v>
      </c>
      <c r="G609" s="18">
        <v>6041.79</v>
      </c>
      <c r="H609" s="18">
        <f t="shared" si="3"/>
        <v>0</v>
      </c>
      <c r="J609" s="15"/>
    </row>
    <row r="610" ht="13.5" customHeight="1">
      <c r="A610" s="16" t="s">
        <v>11</v>
      </c>
      <c r="B610" s="16" t="s">
        <v>551</v>
      </c>
      <c r="C610" s="17" t="s">
        <v>405</v>
      </c>
      <c r="D610" s="16" t="s">
        <v>797</v>
      </c>
      <c r="E610" s="16" t="s">
        <v>813</v>
      </c>
      <c r="F610" s="18">
        <v>6533.3333331</v>
      </c>
      <c r="G610" s="18">
        <v>6533.3333331</v>
      </c>
      <c r="H610" s="18">
        <f t="shared" si="3"/>
        <v>0</v>
      </c>
      <c r="J610" s="15"/>
    </row>
    <row r="611" ht="13.5" customHeight="1">
      <c r="A611" s="16" t="s">
        <v>11</v>
      </c>
      <c r="B611" s="16" t="s">
        <v>551</v>
      </c>
      <c r="C611" s="17" t="s">
        <v>82</v>
      </c>
      <c r="D611" s="16" t="s">
        <v>797</v>
      </c>
      <c r="E611" s="16" t="s">
        <v>814</v>
      </c>
      <c r="F611" s="18">
        <v>6041.79</v>
      </c>
      <c r="G611" s="18">
        <v>6041.79</v>
      </c>
      <c r="H611" s="18">
        <f t="shared" si="3"/>
        <v>0</v>
      </c>
      <c r="J611" s="15"/>
    </row>
    <row r="612" ht="13.5" customHeight="1">
      <c r="A612" s="16" t="s">
        <v>11</v>
      </c>
      <c r="B612" s="16" t="s">
        <v>551</v>
      </c>
      <c r="C612" s="17" t="s">
        <v>380</v>
      </c>
      <c r="D612" s="16" t="s">
        <v>797</v>
      </c>
      <c r="E612" s="16" t="s">
        <v>815</v>
      </c>
      <c r="F612" s="18">
        <v>6041.79</v>
      </c>
      <c r="G612" s="18">
        <v>6041.79</v>
      </c>
      <c r="H612" s="18">
        <f t="shared" si="3"/>
        <v>0</v>
      </c>
      <c r="J612" s="15"/>
    </row>
    <row r="613" ht="13.5" customHeight="1">
      <c r="A613" s="16" t="s">
        <v>11</v>
      </c>
      <c r="B613" s="16" t="s">
        <v>551</v>
      </c>
      <c r="C613" s="17" t="s">
        <v>84</v>
      </c>
      <c r="D613" s="16" t="s">
        <v>797</v>
      </c>
      <c r="E613" s="16" t="s">
        <v>816</v>
      </c>
      <c r="F613" s="18">
        <v>6041.79</v>
      </c>
      <c r="G613" s="18">
        <v>6041.79</v>
      </c>
      <c r="H613" s="18">
        <f t="shared" si="3"/>
        <v>0</v>
      </c>
      <c r="J613" s="15"/>
    </row>
    <row r="614" ht="13.5" customHeight="1">
      <c r="A614" s="16" t="s">
        <v>11</v>
      </c>
      <c r="B614" s="16" t="s">
        <v>551</v>
      </c>
      <c r="C614" s="17" t="s">
        <v>388</v>
      </c>
      <c r="D614" s="16" t="s">
        <v>797</v>
      </c>
      <c r="E614" s="16" t="s">
        <v>817</v>
      </c>
      <c r="F614" s="18">
        <v>6041.79</v>
      </c>
      <c r="G614" s="18">
        <v>6041.79</v>
      </c>
      <c r="H614" s="18">
        <f t="shared" si="3"/>
        <v>0</v>
      </c>
      <c r="J614" s="15"/>
    </row>
    <row r="615" ht="13.5" customHeight="1">
      <c r="A615" s="16" t="s">
        <v>11</v>
      </c>
      <c r="B615" s="16" t="s">
        <v>551</v>
      </c>
      <c r="C615" s="17" t="s">
        <v>367</v>
      </c>
      <c r="D615" s="16" t="s">
        <v>797</v>
      </c>
      <c r="E615" s="16" t="s">
        <v>818</v>
      </c>
      <c r="F615" s="18">
        <v>6041.79</v>
      </c>
      <c r="G615" s="18">
        <v>6041.79</v>
      </c>
      <c r="H615" s="18">
        <f t="shared" si="3"/>
        <v>0</v>
      </c>
      <c r="J615" s="15"/>
    </row>
    <row r="616" ht="13.5" customHeight="1">
      <c r="A616" s="16" t="s">
        <v>11</v>
      </c>
      <c r="B616" s="16" t="s">
        <v>551</v>
      </c>
      <c r="C616" s="17" t="s">
        <v>402</v>
      </c>
      <c r="D616" s="16" t="s">
        <v>797</v>
      </c>
      <c r="E616" s="16" t="s">
        <v>819</v>
      </c>
      <c r="F616" s="18">
        <v>6533.3333331</v>
      </c>
      <c r="G616" s="18">
        <v>6533.3333331</v>
      </c>
      <c r="H616" s="18">
        <f t="shared" si="3"/>
        <v>0</v>
      </c>
      <c r="J616" s="15"/>
    </row>
    <row r="617" ht="13.5" customHeight="1">
      <c r="A617" s="16" t="s">
        <v>11</v>
      </c>
      <c r="B617" s="16" t="s">
        <v>551</v>
      </c>
      <c r="C617" s="17" t="s">
        <v>40</v>
      </c>
      <c r="D617" s="16" t="s">
        <v>797</v>
      </c>
      <c r="E617" s="16" t="s">
        <v>820</v>
      </c>
      <c r="F617" s="18">
        <v>6041.79</v>
      </c>
      <c r="G617" s="18">
        <v>6041.79</v>
      </c>
      <c r="H617" s="18">
        <f t="shared" si="3"/>
        <v>0</v>
      </c>
      <c r="J617" s="15"/>
    </row>
    <row r="618" ht="13.5" customHeight="1">
      <c r="A618" s="16" t="s">
        <v>11</v>
      </c>
      <c r="B618" s="16" t="s">
        <v>551</v>
      </c>
      <c r="C618" s="17" t="s">
        <v>44</v>
      </c>
      <c r="D618" s="16" t="s">
        <v>797</v>
      </c>
      <c r="E618" s="16" t="s">
        <v>821</v>
      </c>
      <c r="F618" s="18">
        <v>6041.79</v>
      </c>
      <c r="G618" s="18">
        <v>6041.79</v>
      </c>
      <c r="H618" s="18">
        <f t="shared" si="3"/>
        <v>0</v>
      </c>
      <c r="J618" s="15"/>
    </row>
    <row r="619" ht="13.5" customHeight="1">
      <c r="A619" s="16" t="s">
        <v>11</v>
      </c>
      <c r="B619" s="16" t="s">
        <v>551</v>
      </c>
      <c r="C619" s="17" t="s">
        <v>144</v>
      </c>
      <c r="D619" s="16" t="s">
        <v>822</v>
      </c>
      <c r="E619" s="16" t="s">
        <v>823</v>
      </c>
      <c r="F619" s="18">
        <v>8166.67</v>
      </c>
      <c r="G619" s="18">
        <v>8166.67</v>
      </c>
      <c r="H619" s="18">
        <f t="shared" si="3"/>
        <v>0</v>
      </c>
      <c r="J619" s="15"/>
    </row>
    <row r="620" ht="13.5" customHeight="1">
      <c r="A620" s="16" t="s">
        <v>11</v>
      </c>
      <c r="B620" s="16" t="s">
        <v>551</v>
      </c>
      <c r="C620" s="17" t="s">
        <v>364</v>
      </c>
      <c r="D620" s="16" t="s">
        <v>822</v>
      </c>
      <c r="E620" s="16" t="s">
        <v>799</v>
      </c>
      <c r="F620" s="18">
        <v>8166.67</v>
      </c>
      <c r="G620" s="18">
        <v>8166.67</v>
      </c>
      <c r="H620" s="18">
        <f t="shared" si="3"/>
        <v>0</v>
      </c>
      <c r="J620" s="15"/>
    </row>
    <row r="621" ht="13.5" customHeight="1">
      <c r="A621" s="16" t="s">
        <v>11</v>
      </c>
      <c r="B621" s="16" t="s">
        <v>551</v>
      </c>
      <c r="C621" s="17" t="s">
        <v>251</v>
      </c>
      <c r="D621" s="16" t="s">
        <v>822</v>
      </c>
      <c r="E621" s="16" t="s">
        <v>801</v>
      </c>
      <c r="F621" s="18">
        <v>8166.67</v>
      </c>
      <c r="G621" s="18">
        <v>8166.67</v>
      </c>
      <c r="H621" s="18">
        <f t="shared" si="3"/>
        <v>0</v>
      </c>
      <c r="J621" s="15"/>
    </row>
    <row r="622" ht="13.5" customHeight="1">
      <c r="A622" s="16" t="s">
        <v>11</v>
      </c>
      <c r="B622" s="16" t="s">
        <v>551</v>
      </c>
      <c r="C622" s="17" t="s">
        <v>73</v>
      </c>
      <c r="D622" s="16" t="s">
        <v>822</v>
      </c>
      <c r="E622" s="16" t="s">
        <v>824</v>
      </c>
      <c r="F622" s="18">
        <v>8166.67</v>
      </c>
      <c r="G622" s="18">
        <v>8166.67</v>
      </c>
      <c r="H622" s="18">
        <f t="shared" si="3"/>
        <v>0</v>
      </c>
      <c r="J622" s="15"/>
    </row>
    <row r="623" ht="13.5" customHeight="1">
      <c r="A623" s="16" t="s">
        <v>11</v>
      </c>
      <c r="B623" s="16" t="s">
        <v>551</v>
      </c>
      <c r="C623" s="17" t="s">
        <v>285</v>
      </c>
      <c r="D623" s="16" t="s">
        <v>822</v>
      </c>
      <c r="E623" s="16" t="s">
        <v>825</v>
      </c>
      <c r="F623" s="18">
        <v>8166.67</v>
      </c>
      <c r="G623" s="18">
        <v>8166.67</v>
      </c>
      <c r="H623" s="18">
        <f t="shared" si="3"/>
        <v>0</v>
      </c>
      <c r="J623" s="15"/>
    </row>
    <row r="624" ht="13.5" customHeight="1">
      <c r="A624" s="16" t="s">
        <v>11</v>
      </c>
      <c r="B624" s="16" t="s">
        <v>551</v>
      </c>
      <c r="C624" s="17" t="s">
        <v>92</v>
      </c>
      <c r="D624" s="16" t="s">
        <v>822</v>
      </c>
      <c r="E624" s="16" t="s">
        <v>553</v>
      </c>
      <c r="F624" s="18">
        <v>8166.67</v>
      </c>
      <c r="G624" s="18">
        <v>8166.67</v>
      </c>
      <c r="H624" s="18">
        <f t="shared" si="3"/>
        <v>0</v>
      </c>
      <c r="J624" s="15"/>
    </row>
    <row r="625" ht="13.5" customHeight="1">
      <c r="A625" s="16" t="s">
        <v>11</v>
      </c>
      <c r="B625" s="16" t="s">
        <v>551</v>
      </c>
      <c r="C625" s="17" t="s">
        <v>46</v>
      </c>
      <c r="D625" s="16" t="s">
        <v>822</v>
      </c>
      <c r="E625" s="16" t="s">
        <v>802</v>
      </c>
      <c r="F625" s="18">
        <v>8166.67</v>
      </c>
      <c r="G625" s="18">
        <v>8166.67</v>
      </c>
      <c r="H625" s="18">
        <f t="shared" si="3"/>
        <v>0</v>
      </c>
      <c r="J625" s="15"/>
    </row>
    <row r="626" ht="13.5" customHeight="1">
      <c r="A626" s="16" t="s">
        <v>11</v>
      </c>
      <c r="B626" s="16" t="s">
        <v>551</v>
      </c>
      <c r="C626" s="17" t="s">
        <v>163</v>
      </c>
      <c r="D626" s="16" t="s">
        <v>822</v>
      </c>
      <c r="E626" s="16" t="s">
        <v>826</v>
      </c>
      <c r="F626" s="18">
        <v>8166.67</v>
      </c>
      <c r="G626" s="18">
        <v>8166.67</v>
      </c>
      <c r="H626" s="18">
        <f t="shared" si="3"/>
        <v>0</v>
      </c>
      <c r="J626" s="15"/>
    </row>
    <row r="627" ht="13.5" customHeight="1">
      <c r="A627" s="16" t="s">
        <v>11</v>
      </c>
      <c r="B627" s="16" t="s">
        <v>551</v>
      </c>
      <c r="C627" s="17" t="s">
        <v>361</v>
      </c>
      <c r="D627" s="16" t="s">
        <v>822</v>
      </c>
      <c r="E627" s="16" t="s">
        <v>804</v>
      </c>
      <c r="F627" s="18">
        <v>8166.67</v>
      </c>
      <c r="G627" s="18">
        <v>8166.67</v>
      </c>
      <c r="H627" s="18">
        <f t="shared" si="3"/>
        <v>0</v>
      </c>
      <c r="J627" s="15"/>
    </row>
    <row r="628" ht="13.5" customHeight="1">
      <c r="A628" s="16" t="s">
        <v>11</v>
      </c>
      <c r="B628" s="16" t="s">
        <v>551</v>
      </c>
      <c r="C628" s="17" t="s">
        <v>373</v>
      </c>
      <c r="D628" s="16" t="s">
        <v>822</v>
      </c>
      <c r="E628" s="16" t="s">
        <v>806</v>
      </c>
      <c r="F628" s="18">
        <v>8166.67</v>
      </c>
      <c r="G628" s="18">
        <v>8166.67</v>
      </c>
      <c r="H628" s="18">
        <f t="shared" si="3"/>
        <v>0</v>
      </c>
      <c r="J628" s="15"/>
    </row>
    <row r="629" ht="13.5" customHeight="1">
      <c r="A629" s="16" t="s">
        <v>11</v>
      </c>
      <c r="B629" s="16" t="s">
        <v>551</v>
      </c>
      <c r="C629" s="17" t="s">
        <v>76</v>
      </c>
      <c r="D629" s="16" t="s">
        <v>822</v>
      </c>
      <c r="E629" s="16" t="s">
        <v>827</v>
      </c>
      <c r="F629" s="18">
        <v>8166.67</v>
      </c>
      <c r="G629" s="18">
        <v>8166.67</v>
      </c>
      <c r="H629" s="18">
        <f t="shared" si="3"/>
        <v>0</v>
      </c>
      <c r="J629" s="15"/>
    </row>
    <row r="630" ht="13.5" customHeight="1">
      <c r="A630" s="16" t="s">
        <v>11</v>
      </c>
      <c r="B630" s="16" t="s">
        <v>551</v>
      </c>
      <c r="C630" s="17" t="s">
        <v>22</v>
      </c>
      <c r="D630" s="16" t="s">
        <v>822</v>
      </c>
      <c r="E630" s="16" t="s">
        <v>828</v>
      </c>
      <c r="F630" s="18">
        <v>8166.67</v>
      </c>
      <c r="G630" s="18">
        <v>8166.67</v>
      </c>
      <c r="H630" s="18">
        <f t="shared" si="3"/>
        <v>0</v>
      </c>
      <c r="J630" s="15"/>
    </row>
    <row r="631" ht="13.5" customHeight="1">
      <c r="A631" s="16" t="s">
        <v>11</v>
      </c>
      <c r="B631" s="16" t="s">
        <v>551</v>
      </c>
      <c r="C631" s="17" t="s">
        <v>95</v>
      </c>
      <c r="D631" s="16" t="s">
        <v>822</v>
      </c>
      <c r="E631" s="16" t="s">
        <v>828</v>
      </c>
      <c r="F631" s="18">
        <v>8166.67</v>
      </c>
      <c r="G631" s="18">
        <v>8166.67</v>
      </c>
      <c r="H631" s="18">
        <f t="shared" si="3"/>
        <v>0</v>
      </c>
      <c r="J631" s="15"/>
    </row>
    <row r="632" ht="13.5" customHeight="1">
      <c r="A632" s="16" t="s">
        <v>11</v>
      </c>
      <c r="B632" s="16" t="s">
        <v>551</v>
      </c>
      <c r="C632" s="17" t="s">
        <v>25</v>
      </c>
      <c r="D632" s="16" t="s">
        <v>822</v>
      </c>
      <c r="E632" s="16" t="s">
        <v>554</v>
      </c>
      <c r="F632" s="18">
        <v>8166.67</v>
      </c>
      <c r="G632" s="18">
        <v>8166.67</v>
      </c>
      <c r="H632" s="18">
        <f t="shared" si="3"/>
        <v>0</v>
      </c>
      <c r="J632" s="15"/>
    </row>
    <row r="633" ht="13.5" customHeight="1">
      <c r="A633" s="16" t="s">
        <v>11</v>
      </c>
      <c r="B633" s="16" t="s">
        <v>551</v>
      </c>
      <c r="C633" s="17" t="s">
        <v>78</v>
      </c>
      <c r="D633" s="16" t="s">
        <v>822</v>
      </c>
      <c r="E633" s="16" t="s">
        <v>808</v>
      </c>
      <c r="F633" s="18">
        <v>8166.67</v>
      </c>
      <c r="G633" s="18">
        <v>8166.67</v>
      </c>
      <c r="H633" s="18">
        <f t="shared" si="3"/>
        <v>0</v>
      </c>
      <c r="J633" s="15"/>
    </row>
    <row r="634" ht="13.5" customHeight="1">
      <c r="A634" s="16" t="s">
        <v>11</v>
      </c>
      <c r="B634" s="16" t="s">
        <v>551</v>
      </c>
      <c r="C634" s="17" t="s">
        <v>179</v>
      </c>
      <c r="D634" s="16" t="s">
        <v>822</v>
      </c>
      <c r="E634" s="16" t="s">
        <v>829</v>
      </c>
      <c r="F634" s="18">
        <v>8166.67</v>
      </c>
      <c r="G634" s="18">
        <v>8166.67</v>
      </c>
      <c r="H634" s="18">
        <f t="shared" si="3"/>
        <v>0</v>
      </c>
      <c r="J634" s="15"/>
    </row>
    <row r="635" ht="13.5" customHeight="1">
      <c r="A635" s="16" t="s">
        <v>11</v>
      </c>
      <c r="B635" s="16" t="s">
        <v>551</v>
      </c>
      <c r="C635" s="17" t="s">
        <v>80</v>
      </c>
      <c r="D635" s="16" t="s">
        <v>822</v>
      </c>
      <c r="E635" s="16" t="s">
        <v>810</v>
      </c>
      <c r="F635" s="18">
        <v>8166.67</v>
      </c>
      <c r="G635" s="18">
        <v>8166.67</v>
      </c>
      <c r="H635" s="18">
        <f t="shared" si="3"/>
        <v>0</v>
      </c>
      <c r="J635" s="15"/>
    </row>
    <row r="636" ht="13.5" customHeight="1">
      <c r="A636" s="16" t="s">
        <v>11</v>
      </c>
      <c r="B636" s="16" t="s">
        <v>551</v>
      </c>
      <c r="C636" s="17" t="s">
        <v>370</v>
      </c>
      <c r="D636" s="16" t="s">
        <v>822</v>
      </c>
      <c r="E636" s="16" t="s">
        <v>812</v>
      </c>
      <c r="F636" s="18">
        <v>8166.67</v>
      </c>
      <c r="G636" s="18">
        <v>8166.67</v>
      </c>
      <c r="H636" s="18">
        <f t="shared" si="3"/>
        <v>0</v>
      </c>
      <c r="J636" s="15"/>
    </row>
    <row r="637" ht="13.5" customHeight="1">
      <c r="A637" s="16" t="s">
        <v>11</v>
      </c>
      <c r="B637" s="16" t="s">
        <v>551</v>
      </c>
      <c r="C637" s="17" t="s">
        <v>339</v>
      </c>
      <c r="D637" s="16" t="s">
        <v>822</v>
      </c>
      <c r="E637" s="16" t="s">
        <v>830</v>
      </c>
      <c r="F637" s="18">
        <v>8166.67</v>
      </c>
      <c r="G637" s="18">
        <v>8166.67</v>
      </c>
      <c r="H637" s="18">
        <f t="shared" si="3"/>
        <v>0</v>
      </c>
      <c r="J637" s="15"/>
    </row>
    <row r="638" ht="13.5" customHeight="1">
      <c r="A638" s="16" t="s">
        <v>11</v>
      </c>
      <c r="B638" s="16" t="s">
        <v>551</v>
      </c>
      <c r="C638" s="17" t="s">
        <v>421</v>
      </c>
      <c r="D638" s="16" t="s">
        <v>822</v>
      </c>
      <c r="E638" s="16" t="s">
        <v>555</v>
      </c>
      <c r="F638" s="18">
        <v>8166.67</v>
      </c>
      <c r="G638" s="18">
        <v>8166.67</v>
      </c>
      <c r="H638" s="18">
        <f t="shared" si="3"/>
        <v>0</v>
      </c>
      <c r="J638" s="15"/>
    </row>
    <row r="639" ht="13.5" customHeight="1">
      <c r="A639" s="16" t="s">
        <v>11</v>
      </c>
      <c r="B639" s="16" t="s">
        <v>551</v>
      </c>
      <c r="C639" s="17" t="s">
        <v>410</v>
      </c>
      <c r="D639" s="16" t="s">
        <v>822</v>
      </c>
      <c r="E639" s="16" t="s">
        <v>556</v>
      </c>
      <c r="F639" s="18">
        <v>8166.67</v>
      </c>
      <c r="G639" s="18">
        <v>8166.67</v>
      </c>
      <c r="H639" s="18">
        <f t="shared" si="3"/>
        <v>0</v>
      </c>
      <c r="J639" s="15"/>
    </row>
    <row r="640" ht="13.5" customHeight="1">
      <c r="A640" s="16" t="s">
        <v>11</v>
      </c>
      <c r="B640" s="16" t="s">
        <v>551</v>
      </c>
      <c r="C640" s="17" t="s">
        <v>82</v>
      </c>
      <c r="D640" s="16" t="s">
        <v>822</v>
      </c>
      <c r="E640" s="16" t="s">
        <v>814</v>
      </c>
      <c r="F640" s="18">
        <v>8166.67</v>
      </c>
      <c r="G640" s="18">
        <v>8166.67</v>
      </c>
      <c r="H640" s="18">
        <f t="shared" si="3"/>
        <v>0</v>
      </c>
      <c r="J640" s="15"/>
    </row>
    <row r="641" ht="13.5" customHeight="1">
      <c r="A641" s="16" t="s">
        <v>11</v>
      </c>
      <c r="B641" s="16" t="s">
        <v>551</v>
      </c>
      <c r="C641" s="17" t="s">
        <v>380</v>
      </c>
      <c r="D641" s="16" t="s">
        <v>822</v>
      </c>
      <c r="E641" s="16" t="s">
        <v>815</v>
      </c>
      <c r="F641" s="18">
        <v>8166.67</v>
      </c>
      <c r="G641" s="18">
        <v>8166.67</v>
      </c>
      <c r="H641" s="18">
        <f t="shared" si="3"/>
        <v>0</v>
      </c>
      <c r="J641" s="15"/>
    </row>
    <row r="642" ht="13.5" customHeight="1">
      <c r="A642" s="16" t="s">
        <v>11</v>
      </c>
      <c r="B642" s="16" t="s">
        <v>551</v>
      </c>
      <c r="C642" s="17" t="s">
        <v>61</v>
      </c>
      <c r="D642" s="16" t="s">
        <v>822</v>
      </c>
      <c r="E642" s="16" t="s">
        <v>831</v>
      </c>
      <c r="F642" s="18">
        <v>8166.67</v>
      </c>
      <c r="G642" s="18">
        <v>8166.67</v>
      </c>
      <c r="H642" s="18">
        <f t="shared" si="3"/>
        <v>0</v>
      </c>
      <c r="J642" s="15"/>
    </row>
    <row r="643" ht="13.5" customHeight="1">
      <c r="A643" s="16" t="s">
        <v>11</v>
      </c>
      <c r="B643" s="16" t="s">
        <v>551</v>
      </c>
      <c r="C643" s="17" t="s">
        <v>84</v>
      </c>
      <c r="D643" s="16" t="s">
        <v>822</v>
      </c>
      <c r="E643" s="16" t="s">
        <v>816</v>
      </c>
      <c r="F643" s="18">
        <v>8166.67</v>
      </c>
      <c r="G643" s="18">
        <v>8166.67</v>
      </c>
      <c r="H643" s="18">
        <f t="shared" si="3"/>
        <v>0</v>
      </c>
      <c r="J643" s="15"/>
    </row>
    <row r="644" ht="13.5" customHeight="1">
      <c r="A644" s="16" t="s">
        <v>11</v>
      </c>
      <c r="B644" s="16" t="s">
        <v>551</v>
      </c>
      <c r="C644" s="17" t="s">
        <v>367</v>
      </c>
      <c r="D644" s="16" t="s">
        <v>822</v>
      </c>
      <c r="E644" s="16" t="s">
        <v>818</v>
      </c>
      <c r="F644" s="18">
        <v>8166.67</v>
      </c>
      <c r="G644" s="18">
        <v>8166.67</v>
      </c>
      <c r="H644" s="18">
        <f t="shared" si="3"/>
        <v>0</v>
      </c>
      <c r="J644" s="15"/>
    </row>
    <row r="645" ht="13.5" customHeight="1">
      <c r="A645" s="16" t="s">
        <v>11</v>
      </c>
      <c r="B645" s="16" t="s">
        <v>551</v>
      </c>
      <c r="C645" s="17" t="s">
        <v>336</v>
      </c>
      <c r="D645" s="16" t="s">
        <v>822</v>
      </c>
      <c r="E645" s="16" t="s">
        <v>832</v>
      </c>
      <c r="F645" s="18">
        <v>8166.67</v>
      </c>
      <c r="G645" s="18">
        <v>8166.67</v>
      </c>
      <c r="H645" s="18">
        <f t="shared" si="3"/>
        <v>0</v>
      </c>
      <c r="J645" s="15"/>
    </row>
    <row r="646" ht="13.5" customHeight="1">
      <c r="A646" s="16" t="s">
        <v>11</v>
      </c>
      <c r="B646" s="16" t="s">
        <v>551</v>
      </c>
      <c r="C646" s="17" t="s">
        <v>126</v>
      </c>
      <c r="D646" s="16" t="s">
        <v>822</v>
      </c>
      <c r="E646" s="16" t="s">
        <v>557</v>
      </c>
      <c r="F646" s="18">
        <v>8166.67</v>
      </c>
      <c r="G646" s="18">
        <v>8166.67</v>
      </c>
      <c r="H646" s="18">
        <f t="shared" si="3"/>
        <v>0</v>
      </c>
      <c r="J646" s="15"/>
    </row>
    <row r="647" ht="13.5" customHeight="1">
      <c r="A647" s="16" t="s">
        <v>11</v>
      </c>
      <c r="B647" s="16" t="s">
        <v>551</v>
      </c>
      <c r="C647" s="17" t="s">
        <v>242</v>
      </c>
      <c r="D647" s="16" t="s">
        <v>822</v>
      </c>
      <c r="E647" s="16" t="s">
        <v>558</v>
      </c>
      <c r="F647" s="18">
        <v>8166.67</v>
      </c>
      <c r="G647" s="18">
        <v>8166.67</v>
      </c>
      <c r="H647" s="18">
        <f t="shared" si="3"/>
        <v>0</v>
      </c>
      <c r="J647" s="15"/>
    </row>
    <row r="648" ht="13.5" customHeight="1">
      <c r="A648" s="16" t="s">
        <v>11</v>
      </c>
      <c r="B648" s="16" t="s">
        <v>551</v>
      </c>
      <c r="C648" s="17" t="s">
        <v>346</v>
      </c>
      <c r="D648" s="16" t="s">
        <v>822</v>
      </c>
      <c r="E648" s="16" t="s">
        <v>833</v>
      </c>
      <c r="F648" s="18">
        <v>8166.67</v>
      </c>
      <c r="G648" s="18">
        <v>8166.67</v>
      </c>
      <c r="H648" s="18">
        <f t="shared" si="3"/>
        <v>0</v>
      </c>
      <c r="J648" s="15"/>
    </row>
    <row r="649" ht="13.5" customHeight="1">
      <c r="A649" s="16" t="s">
        <v>11</v>
      </c>
      <c r="B649" s="16" t="s">
        <v>551</v>
      </c>
      <c r="C649" s="17" t="s">
        <v>40</v>
      </c>
      <c r="D649" s="16" t="s">
        <v>822</v>
      </c>
      <c r="E649" s="16" t="s">
        <v>820</v>
      </c>
      <c r="F649" s="18">
        <v>8166.67</v>
      </c>
      <c r="G649" s="18">
        <v>8166.67</v>
      </c>
      <c r="H649" s="18">
        <f t="shared" si="3"/>
        <v>0</v>
      </c>
      <c r="J649" s="15"/>
    </row>
    <row r="650" ht="13.5" customHeight="1">
      <c r="A650" s="16" t="s">
        <v>11</v>
      </c>
      <c r="B650" s="16" t="s">
        <v>551</v>
      </c>
      <c r="C650" s="17" t="s">
        <v>428</v>
      </c>
      <c r="D650" s="16" t="s">
        <v>822</v>
      </c>
      <c r="E650" s="16" t="s">
        <v>834</v>
      </c>
      <c r="F650" s="18">
        <v>8166.67</v>
      </c>
      <c r="G650" s="18">
        <v>8166.67</v>
      </c>
      <c r="H650" s="18">
        <f t="shared" si="3"/>
        <v>0</v>
      </c>
      <c r="J650" s="15"/>
    </row>
    <row r="651" ht="13.5" customHeight="1">
      <c r="A651" s="16" t="s">
        <v>11</v>
      </c>
      <c r="B651" s="16" t="s">
        <v>551</v>
      </c>
      <c r="C651" s="17" t="s">
        <v>44</v>
      </c>
      <c r="D651" s="16" t="s">
        <v>822</v>
      </c>
      <c r="E651" s="16" t="s">
        <v>821</v>
      </c>
      <c r="F651" s="18">
        <v>8166.67</v>
      </c>
      <c r="G651" s="18">
        <v>8166.67</v>
      </c>
      <c r="H651" s="18">
        <f t="shared" si="3"/>
        <v>0</v>
      </c>
      <c r="J651" s="15"/>
    </row>
    <row r="652" ht="13.5" customHeight="1">
      <c r="A652" s="16" t="s">
        <v>11</v>
      </c>
      <c r="B652" s="16" t="s">
        <v>835</v>
      </c>
      <c r="C652" s="17" t="s">
        <v>308</v>
      </c>
      <c r="D652" s="16" t="s">
        <v>836</v>
      </c>
      <c r="E652" s="16" t="s">
        <v>837</v>
      </c>
      <c r="F652" s="18">
        <v>11070.0</v>
      </c>
      <c r="G652" s="18">
        <v>11070.0</v>
      </c>
      <c r="H652" s="18">
        <f t="shared" si="3"/>
        <v>0</v>
      </c>
      <c r="J652" s="15"/>
    </row>
    <row r="653" ht="13.5" customHeight="1">
      <c r="A653" s="16" t="s">
        <v>11</v>
      </c>
      <c r="B653" s="16" t="s">
        <v>835</v>
      </c>
      <c r="C653" s="17" t="s">
        <v>308</v>
      </c>
      <c r="D653" s="16" t="s">
        <v>836</v>
      </c>
      <c r="E653" s="16" t="s">
        <v>837</v>
      </c>
      <c r="F653" s="18">
        <v>11070.0</v>
      </c>
      <c r="G653" s="18">
        <v>11070.0</v>
      </c>
      <c r="H653" s="18">
        <f t="shared" si="3"/>
        <v>0</v>
      </c>
      <c r="J653" s="15"/>
    </row>
    <row r="654" ht="13.5" customHeight="1">
      <c r="A654" s="16" t="s">
        <v>11</v>
      </c>
      <c r="B654" s="16" t="s">
        <v>133</v>
      </c>
      <c r="C654" s="17" t="s">
        <v>529</v>
      </c>
      <c r="D654" s="16" t="s">
        <v>838</v>
      </c>
      <c r="E654" s="16" t="s">
        <v>839</v>
      </c>
      <c r="F654" s="18">
        <v>2500.0</v>
      </c>
      <c r="G654" s="18">
        <v>2500.0</v>
      </c>
      <c r="H654" s="18">
        <f t="shared" si="3"/>
        <v>0</v>
      </c>
      <c r="J654" s="15"/>
    </row>
    <row r="655" ht="13.5" customHeight="1">
      <c r="A655" s="16" t="s">
        <v>11</v>
      </c>
      <c r="B655" s="16" t="s">
        <v>840</v>
      </c>
      <c r="C655" s="17" t="s">
        <v>396</v>
      </c>
      <c r="D655" s="16" t="s">
        <v>841</v>
      </c>
      <c r="E655" s="16" t="s">
        <v>805</v>
      </c>
      <c r="F655" s="18">
        <v>59193.8</v>
      </c>
      <c r="G655" s="18">
        <v>59193.8</v>
      </c>
      <c r="H655" s="18">
        <f t="shared" si="3"/>
        <v>0</v>
      </c>
      <c r="J655" s="15"/>
    </row>
    <row r="656" ht="13.5" customHeight="1">
      <c r="A656" s="16" t="s">
        <v>11</v>
      </c>
      <c r="B656" s="16" t="s">
        <v>551</v>
      </c>
      <c r="C656" s="17" t="s">
        <v>32</v>
      </c>
      <c r="D656" s="16" t="s">
        <v>841</v>
      </c>
      <c r="E656" s="16" t="s">
        <v>807</v>
      </c>
      <c r="F656" s="18">
        <v>3200.0</v>
      </c>
      <c r="G656" s="18">
        <v>3200.0</v>
      </c>
      <c r="H656" s="18">
        <f t="shared" si="3"/>
        <v>0</v>
      </c>
      <c r="J656" s="15"/>
    </row>
    <row r="657" ht="13.5" customHeight="1">
      <c r="A657" s="16" t="s">
        <v>11</v>
      </c>
      <c r="B657" s="16" t="s">
        <v>551</v>
      </c>
      <c r="C657" s="17" t="s">
        <v>405</v>
      </c>
      <c r="D657" s="16" t="s">
        <v>841</v>
      </c>
      <c r="E657" s="16" t="s">
        <v>813</v>
      </c>
      <c r="F657" s="18">
        <v>3200.0</v>
      </c>
      <c r="G657" s="18">
        <v>3200.0</v>
      </c>
      <c r="H657" s="18">
        <f t="shared" si="3"/>
        <v>0</v>
      </c>
      <c r="J657" s="15"/>
    </row>
    <row r="658" ht="13.5" customHeight="1">
      <c r="A658" s="16" t="s">
        <v>11</v>
      </c>
      <c r="B658" s="16" t="s">
        <v>551</v>
      </c>
      <c r="C658" s="17" t="s">
        <v>402</v>
      </c>
      <c r="D658" s="16" t="s">
        <v>841</v>
      </c>
      <c r="E658" s="16" t="s">
        <v>819</v>
      </c>
      <c r="F658" s="18">
        <v>3200.0</v>
      </c>
      <c r="G658" s="18">
        <v>3200.0</v>
      </c>
      <c r="H658" s="18">
        <f t="shared" si="3"/>
        <v>0</v>
      </c>
      <c r="J658" s="15"/>
    </row>
    <row r="659" ht="13.5" customHeight="1">
      <c r="A659" s="16" t="s">
        <v>11</v>
      </c>
      <c r="B659" s="16" t="s">
        <v>842</v>
      </c>
      <c r="C659" s="17" t="s">
        <v>410</v>
      </c>
      <c r="D659" s="16" t="s">
        <v>843</v>
      </c>
      <c r="E659" s="16" t="s">
        <v>844</v>
      </c>
      <c r="F659" s="18">
        <v>73670.0</v>
      </c>
      <c r="G659" s="18">
        <v>73670.0</v>
      </c>
      <c r="H659" s="18">
        <f t="shared" si="3"/>
        <v>0</v>
      </c>
      <c r="J659" s="15"/>
    </row>
    <row r="660" ht="13.5" customHeight="1">
      <c r="A660" s="16" t="s">
        <v>11</v>
      </c>
      <c r="B660" s="16" t="s">
        <v>842</v>
      </c>
      <c r="C660" s="17" t="s">
        <v>242</v>
      </c>
      <c r="D660" s="16" t="s">
        <v>843</v>
      </c>
      <c r="E660" s="16" t="s">
        <v>845</v>
      </c>
      <c r="F660" s="18">
        <v>43830.0</v>
      </c>
      <c r="G660" s="18">
        <v>43830.0</v>
      </c>
      <c r="H660" s="18">
        <f t="shared" si="3"/>
        <v>0</v>
      </c>
      <c r="J660" s="15"/>
    </row>
    <row r="661" ht="13.5" customHeight="1">
      <c r="A661" s="16" t="s">
        <v>11</v>
      </c>
      <c r="B661" s="16" t="s">
        <v>842</v>
      </c>
      <c r="C661" s="17" t="s">
        <v>410</v>
      </c>
      <c r="D661" s="16" t="s">
        <v>846</v>
      </c>
      <c r="E661" s="16" t="s">
        <v>844</v>
      </c>
      <c r="F661" s="18">
        <v>39790.0</v>
      </c>
      <c r="G661" s="18">
        <v>39790.0</v>
      </c>
      <c r="H661" s="18">
        <f t="shared" si="3"/>
        <v>0</v>
      </c>
      <c r="J661" s="15"/>
    </row>
    <row r="662" ht="13.5" customHeight="1">
      <c r="A662" s="16" t="s">
        <v>11</v>
      </c>
      <c r="B662" s="16" t="s">
        <v>842</v>
      </c>
      <c r="C662" s="17" t="s">
        <v>410</v>
      </c>
      <c r="D662" s="16" t="s">
        <v>847</v>
      </c>
      <c r="E662" s="16" t="s">
        <v>844</v>
      </c>
      <c r="F662" s="18">
        <v>17158.0</v>
      </c>
      <c r="G662" s="18">
        <v>17158.0</v>
      </c>
      <c r="H662" s="18">
        <f t="shared" si="3"/>
        <v>0</v>
      </c>
      <c r="J662" s="15"/>
    </row>
    <row r="663" ht="13.5" customHeight="1">
      <c r="A663" s="16" t="s">
        <v>11</v>
      </c>
      <c r="B663" s="16" t="s">
        <v>842</v>
      </c>
      <c r="C663" s="17" t="s">
        <v>242</v>
      </c>
      <c r="D663" s="16" t="s">
        <v>847</v>
      </c>
      <c r="E663" s="16" t="s">
        <v>845</v>
      </c>
      <c r="F663" s="18">
        <v>15540.0</v>
      </c>
      <c r="G663" s="18">
        <v>15540.0</v>
      </c>
      <c r="H663" s="18">
        <f t="shared" si="3"/>
        <v>0</v>
      </c>
      <c r="J663" s="15"/>
    </row>
    <row r="664" ht="13.5" customHeight="1">
      <c r="A664" s="16" t="s">
        <v>11</v>
      </c>
      <c r="B664" s="16" t="s">
        <v>842</v>
      </c>
      <c r="C664" s="17" t="s">
        <v>242</v>
      </c>
      <c r="D664" s="16" t="s">
        <v>848</v>
      </c>
      <c r="E664" s="16" t="s">
        <v>845</v>
      </c>
      <c r="F664" s="18">
        <v>156212.0</v>
      </c>
      <c r="G664" s="18">
        <v>156212.0</v>
      </c>
      <c r="H664" s="18">
        <f t="shared" si="3"/>
        <v>0</v>
      </c>
      <c r="J664" s="15"/>
    </row>
    <row r="665" ht="13.5" customHeight="1">
      <c r="A665" s="16" t="s">
        <v>11</v>
      </c>
      <c r="B665" s="16" t="s">
        <v>842</v>
      </c>
      <c r="C665" s="17" t="s">
        <v>410</v>
      </c>
      <c r="D665" s="16" t="s">
        <v>849</v>
      </c>
      <c r="E665" s="16" t="s">
        <v>844</v>
      </c>
      <c r="F665" s="18">
        <v>61300.0</v>
      </c>
      <c r="G665" s="18">
        <v>61300.0</v>
      </c>
      <c r="H665" s="18">
        <f t="shared" si="3"/>
        <v>0</v>
      </c>
      <c r="J665" s="15"/>
    </row>
    <row r="666" ht="13.5" customHeight="1">
      <c r="A666" s="16" t="s">
        <v>11</v>
      </c>
      <c r="B666" s="16" t="s">
        <v>842</v>
      </c>
      <c r="C666" s="17" t="s">
        <v>242</v>
      </c>
      <c r="D666" s="16" t="s">
        <v>850</v>
      </c>
      <c r="E666" s="16" t="s">
        <v>845</v>
      </c>
      <c r="F666" s="18">
        <v>118832.0</v>
      </c>
      <c r="G666" s="18">
        <v>118832.0</v>
      </c>
      <c r="H666" s="18">
        <f t="shared" si="3"/>
        <v>0</v>
      </c>
      <c r="J666" s="15"/>
    </row>
    <row r="667" ht="13.5" customHeight="1">
      <c r="A667" s="16" t="s">
        <v>11</v>
      </c>
      <c r="B667" s="16" t="s">
        <v>842</v>
      </c>
      <c r="C667" s="17" t="s">
        <v>92</v>
      </c>
      <c r="D667" s="16" t="s">
        <v>851</v>
      </c>
      <c r="E667" s="16" t="s">
        <v>852</v>
      </c>
      <c r="F667" s="18">
        <v>132320.0</v>
      </c>
      <c r="G667" s="18">
        <v>132320.0</v>
      </c>
      <c r="H667" s="18">
        <f t="shared" si="3"/>
        <v>0</v>
      </c>
      <c r="J667" s="15"/>
    </row>
    <row r="668" ht="13.5" customHeight="1">
      <c r="A668" s="16" t="s">
        <v>11</v>
      </c>
      <c r="B668" s="16" t="s">
        <v>842</v>
      </c>
      <c r="C668" s="17" t="s">
        <v>25</v>
      </c>
      <c r="D668" s="16" t="s">
        <v>851</v>
      </c>
      <c r="E668" s="16" t="s">
        <v>853</v>
      </c>
      <c r="F668" s="18">
        <v>84410.0</v>
      </c>
      <c r="G668" s="18">
        <v>84410.0</v>
      </c>
      <c r="H668" s="18">
        <f t="shared" si="3"/>
        <v>0</v>
      </c>
      <c r="J668" s="15"/>
    </row>
    <row r="669" ht="13.5" customHeight="1">
      <c r="A669" s="16" t="s">
        <v>11</v>
      </c>
      <c r="B669" s="16" t="s">
        <v>842</v>
      </c>
      <c r="C669" s="17" t="s">
        <v>410</v>
      </c>
      <c r="D669" s="16" t="s">
        <v>851</v>
      </c>
      <c r="E669" s="16" t="s">
        <v>844</v>
      </c>
      <c r="F669" s="18">
        <v>47870.0</v>
      </c>
      <c r="G669" s="18">
        <v>47870.0</v>
      </c>
      <c r="H669" s="18">
        <f t="shared" si="3"/>
        <v>0</v>
      </c>
      <c r="J669" s="15"/>
    </row>
    <row r="670" ht="13.5" customHeight="1">
      <c r="A670" s="16" t="s">
        <v>11</v>
      </c>
      <c r="B670" s="16" t="s">
        <v>842</v>
      </c>
      <c r="C670" s="17" t="s">
        <v>242</v>
      </c>
      <c r="D670" s="16" t="s">
        <v>851</v>
      </c>
      <c r="E670" s="16" t="s">
        <v>845</v>
      </c>
      <c r="F670" s="18">
        <v>81486.9</v>
      </c>
      <c r="G670" s="18">
        <v>81486.9</v>
      </c>
      <c r="H670" s="18">
        <f t="shared" si="3"/>
        <v>0</v>
      </c>
      <c r="J670" s="15"/>
    </row>
    <row r="671" ht="13.5" customHeight="1">
      <c r="A671" s="16" t="s">
        <v>11</v>
      </c>
      <c r="B671" s="16" t="s">
        <v>842</v>
      </c>
      <c r="C671" s="17" t="s">
        <v>92</v>
      </c>
      <c r="D671" s="16" t="s">
        <v>854</v>
      </c>
      <c r="E671" s="16" t="s">
        <v>852</v>
      </c>
      <c r="F671" s="18">
        <v>30365.0</v>
      </c>
      <c r="G671" s="18">
        <v>30365.0</v>
      </c>
      <c r="H671" s="18">
        <f t="shared" si="3"/>
        <v>0</v>
      </c>
      <c r="J671" s="15"/>
    </row>
    <row r="672" ht="13.5" customHeight="1">
      <c r="A672" s="16" t="s">
        <v>11</v>
      </c>
      <c r="B672" s="16" t="s">
        <v>842</v>
      </c>
      <c r="C672" s="17" t="s">
        <v>25</v>
      </c>
      <c r="D672" s="16" t="s">
        <v>854</v>
      </c>
      <c r="E672" s="16" t="s">
        <v>853</v>
      </c>
      <c r="F672" s="18">
        <v>55620.0</v>
      </c>
      <c r="G672" s="18">
        <v>55620.0</v>
      </c>
      <c r="H672" s="18">
        <f t="shared" si="3"/>
        <v>0</v>
      </c>
      <c r="J672" s="15"/>
    </row>
    <row r="673" ht="13.5" customHeight="1">
      <c r="A673" s="16" t="s">
        <v>11</v>
      </c>
      <c r="B673" s="16" t="s">
        <v>842</v>
      </c>
      <c r="C673" s="17" t="s">
        <v>410</v>
      </c>
      <c r="D673" s="16" t="s">
        <v>854</v>
      </c>
      <c r="E673" s="16" t="s">
        <v>844</v>
      </c>
      <c r="F673" s="18">
        <v>64770.0</v>
      </c>
      <c r="G673" s="18">
        <v>64770.0</v>
      </c>
      <c r="H673" s="18">
        <f t="shared" si="3"/>
        <v>0</v>
      </c>
      <c r="J673" s="15"/>
    </row>
    <row r="674" ht="13.5" customHeight="1">
      <c r="A674" s="16" t="s">
        <v>11</v>
      </c>
      <c r="B674" s="16" t="s">
        <v>842</v>
      </c>
      <c r="C674" s="17" t="s">
        <v>242</v>
      </c>
      <c r="D674" s="16" t="s">
        <v>854</v>
      </c>
      <c r="E674" s="16" t="s">
        <v>845</v>
      </c>
      <c r="F674" s="18">
        <v>79230.0</v>
      </c>
      <c r="G674" s="18">
        <v>79230.0</v>
      </c>
      <c r="H674" s="18">
        <f t="shared" si="3"/>
        <v>0</v>
      </c>
      <c r="J674" s="15"/>
    </row>
    <row r="675" ht="13.5" customHeight="1">
      <c r="A675" s="16" t="s">
        <v>11</v>
      </c>
      <c r="B675" s="16" t="s">
        <v>842</v>
      </c>
      <c r="C675" s="17" t="s">
        <v>410</v>
      </c>
      <c r="D675" s="16" t="s">
        <v>855</v>
      </c>
      <c r="E675" s="16" t="s">
        <v>844</v>
      </c>
      <c r="F675" s="18">
        <v>20200.0</v>
      </c>
      <c r="G675" s="18">
        <v>20200.0</v>
      </c>
      <c r="H675" s="18">
        <f t="shared" si="3"/>
        <v>0</v>
      </c>
      <c r="J675" s="15"/>
    </row>
    <row r="676" ht="13.5" customHeight="1">
      <c r="A676" s="16" t="s">
        <v>11</v>
      </c>
      <c r="B676" s="16" t="s">
        <v>842</v>
      </c>
      <c r="C676" s="17" t="s">
        <v>242</v>
      </c>
      <c r="D676" s="16" t="s">
        <v>855</v>
      </c>
      <c r="E676" s="16" t="s">
        <v>845</v>
      </c>
      <c r="F676" s="18">
        <v>50989.0</v>
      </c>
      <c r="G676" s="18">
        <v>50989.0</v>
      </c>
      <c r="H676" s="18">
        <f t="shared" si="3"/>
        <v>0</v>
      </c>
      <c r="J676" s="15"/>
    </row>
    <row r="677" ht="13.5" customHeight="1">
      <c r="A677" s="16" t="s">
        <v>11</v>
      </c>
      <c r="B677" s="16" t="s">
        <v>842</v>
      </c>
      <c r="C677" s="17" t="s">
        <v>25</v>
      </c>
      <c r="D677" s="16" t="s">
        <v>856</v>
      </c>
      <c r="E677" s="16" t="s">
        <v>853</v>
      </c>
      <c r="F677" s="18">
        <v>33714.0</v>
      </c>
      <c r="G677" s="18">
        <v>33714.0</v>
      </c>
      <c r="H677" s="18">
        <f t="shared" si="3"/>
        <v>0</v>
      </c>
      <c r="J677" s="15"/>
    </row>
    <row r="678" ht="13.5" customHeight="1">
      <c r="A678" s="16" t="s">
        <v>11</v>
      </c>
      <c r="B678" s="16" t="s">
        <v>842</v>
      </c>
      <c r="C678" s="17" t="s">
        <v>410</v>
      </c>
      <c r="D678" s="16" t="s">
        <v>856</v>
      </c>
      <c r="E678" s="16" t="s">
        <v>844</v>
      </c>
      <c r="F678" s="18">
        <v>19550.0</v>
      </c>
      <c r="G678" s="18">
        <v>19550.0</v>
      </c>
      <c r="H678" s="18">
        <f t="shared" si="3"/>
        <v>0</v>
      </c>
      <c r="J678" s="15"/>
    </row>
    <row r="679" ht="13.5" customHeight="1">
      <c r="A679" s="16" t="s">
        <v>11</v>
      </c>
      <c r="B679" s="16" t="s">
        <v>842</v>
      </c>
      <c r="C679" s="17" t="s">
        <v>242</v>
      </c>
      <c r="D679" s="16" t="s">
        <v>856</v>
      </c>
      <c r="E679" s="16" t="s">
        <v>845</v>
      </c>
      <c r="F679" s="18">
        <v>81811.2</v>
      </c>
      <c r="G679" s="18">
        <v>81811.2</v>
      </c>
      <c r="H679" s="18">
        <f t="shared" si="3"/>
        <v>0</v>
      </c>
      <c r="J679" s="15"/>
    </row>
    <row r="680" ht="13.5" customHeight="1">
      <c r="A680" s="16" t="s">
        <v>11</v>
      </c>
      <c r="B680" s="16" t="s">
        <v>842</v>
      </c>
      <c r="C680" s="17" t="s">
        <v>92</v>
      </c>
      <c r="D680" s="16" t="s">
        <v>857</v>
      </c>
      <c r="E680" s="16" t="s">
        <v>852</v>
      </c>
      <c r="F680" s="18">
        <v>311366.0</v>
      </c>
      <c r="G680" s="18">
        <v>311366.0</v>
      </c>
      <c r="H680" s="18">
        <f t="shared" si="3"/>
        <v>0</v>
      </c>
      <c r="J680" s="15"/>
    </row>
    <row r="681" ht="13.5" customHeight="1">
      <c r="A681" s="16" t="s">
        <v>11</v>
      </c>
      <c r="B681" s="16" t="s">
        <v>842</v>
      </c>
      <c r="C681" s="17" t="s">
        <v>25</v>
      </c>
      <c r="D681" s="16" t="s">
        <v>857</v>
      </c>
      <c r="E681" s="16" t="s">
        <v>853</v>
      </c>
      <c r="F681" s="18">
        <v>96705.0</v>
      </c>
      <c r="G681" s="18">
        <v>96705.0</v>
      </c>
      <c r="H681" s="18">
        <f t="shared" si="3"/>
        <v>0</v>
      </c>
      <c r="J681" s="15"/>
    </row>
    <row r="682" ht="13.5" customHeight="1">
      <c r="A682" s="16" t="s">
        <v>11</v>
      </c>
      <c r="B682" s="16" t="s">
        <v>842</v>
      </c>
      <c r="C682" s="17" t="s">
        <v>92</v>
      </c>
      <c r="D682" s="16" t="s">
        <v>858</v>
      </c>
      <c r="E682" s="16" t="s">
        <v>852</v>
      </c>
      <c r="F682" s="18">
        <v>15956.0</v>
      </c>
      <c r="G682" s="18">
        <v>15956.0</v>
      </c>
      <c r="H682" s="18">
        <f t="shared" si="3"/>
        <v>0</v>
      </c>
      <c r="J682" s="15"/>
    </row>
    <row r="683" ht="13.5" customHeight="1">
      <c r="A683" s="16" t="s">
        <v>11</v>
      </c>
      <c r="B683" s="16" t="s">
        <v>842</v>
      </c>
      <c r="C683" s="17" t="s">
        <v>25</v>
      </c>
      <c r="D683" s="16" t="s">
        <v>858</v>
      </c>
      <c r="E683" s="16" t="s">
        <v>853</v>
      </c>
      <c r="F683" s="18">
        <v>33398.0</v>
      </c>
      <c r="G683" s="18">
        <v>33398.0</v>
      </c>
      <c r="H683" s="18">
        <f t="shared" si="3"/>
        <v>0</v>
      </c>
      <c r="J683" s="15"/>
    </row>
    <row r="684" ht="13.5" customHeight="1">
      <c r="A684" s="16" t="s">
        <v>11</v>
      </c>
      <c r="B684" s="16" t="s">
        <v>842</v>
      </c>
      <c r="C684" s="17" t="s">
        <v>410</v>
      </c>
      <c r="D684" s="16" t="s">
        <v>858</v>
      </c>
      <c r="E684" s="16" t="s">
        <v>844</v>
      </c>
      <c r="F684" s="18">
        <v>34520.0</v>
      </c>
      <c r="G684" s="18">
        <v>34520.0</v>
      </c>
      <c r="H684" s="18">
        <f t="shared" si="3"/>
        <v>0</v>
      </c>
      <c r="J684" s="15"/>
    </row>
    <row r="685" ht="13.5" customHeight="1">
      <c r="A685" s="16" t="s">
        <v>11</v>
      </c>
      <c r="B685" s="16" t="s">
        <v>842</v>
      </c>
      <c r="C685" s="17" t="s">
        <v>242</v>
      </c>
      <c r="D685" s="16" t="s">
        <v>858</v>
      </c>
      <c r="E685" s="16" t="s">
        <v>845</v>
      </c>
      <c r="F685" s="18">
        <v>4526.5</v>
      </c>
      <c r="G685" s="18">
        <v>4526.5</v>
      </c>
      <c r="H685" s="18">
        <f t="shared" si="3"/>
        <v>0</v>
      </c>
      <c r="J685" s="15"/>
    </row>
    <row r="686" ht="13.5" customHeight="1">
      <c r="A686" s="16" t="s">
        <v>11</v>
      </c>
      <c r="B686" s="16" t="s">
        <v>842</v>
      </c>
      <c r="C686" s="17" t="s">
        <v>92</v>
      </c>
      <c r="D686" s="16" t="s">
        <v>859</v>
      </c>
      <c r="E686" s="16" t="s">
        <v>852</v>
      </c>
      <c r="F686" s="18">
        <v>14950.0</v>
      </c>
      <c r="G686" s="18">
        <v>14950.0</v>
      </c>
      <c r="H686" s="18">
        <f t="shared" si="3"/>
        <v>0</v>
      </c>
      <c r="J686" s="15"/>
    </row>
    <row r="687" ht="13.5" customHeight="1">
      <c r="A687" s="16" t="s">
        <v>11</v>
      </c>
      <c r="B687" s="16" t="s">
        <v>842</v>
      </c>
      <c r="C687" s="17" t="s">
        <v>25</v>
      </c>
      <c r="D687" s="16" t="s">
        <v>859</v>
      </c>
      <c r="E687" s="16" t="s">
        <v>853</v>
      </c>
      <c r="F687" s="18">
        <v>4250.0</v>
      </c>
      <c r="G687" s="18">
        <v>4250.0</v>
      </c>
      <c r="H687" s="18">
        <f t="shared" si="3"/>
        <v>0</v>
      </c>
      <c r="J687" s="15"/>
    </row>
    <row r="688" ht="13.5" customHeight="1">
      <c r="A688" s="16" t="s">
        <v>11</v>
      </c>
      <c r="B688" s="16" t="s">
        <v>835</v>
      </c>
      <c r="C688" s="17" t="s">
        <v>42</v>
      </c>
      <c r="D688" s="16" t="s">
        <v>860</v>
      </c>
      <c r="E688" s="16" t="s">
        <v>861</v>
      </c>
      <c r="F688" s="18">
        <v>5000.0</v>
      </c>
      <c r="G688" s="18">
        <v>5000.0</v>
      </c>
      <c r="H688" s="18">
        <f t="shared" si="3"/>
        <v>0</v>
      </c>
      <c r="J688" s="15"/>
    </row>
    <row r="689" ht="13.5" customHeight="1">
      <c r="A689" s="16" t="s">
        <v>11</v>
      </c>
      <c r="B689" s="16" t="s">
        <v>314</v>
      </c>
      <c r="C689" s="17" t="s">
        <v>240</v>
      </c>
      <c r="D689" s="16" t="s">
        <v>862</v>
      </c>
      <c r="E689" s="24" t="s">
        <v>863</v>
      </c>
      <c r="F689" s="18">
        <v>262.04</v>
      </c>
      <c r="G689" s="18">
        <v>262.04</v>
      </c>
      <c r="H689" s="18">
        <f t="shared" si="3"/>
        <v>0</v>
      </c>
      <c r="J689" s="15"/>
    </row>
    <row r="690" ht="13.5" customHeight="1">
      <c r="A690" s="16" t="s">
        <v>11</v>
      </c>
      <c r="B690" s="16" t="s">
        <v>864</v>
      </c>
      <c r="C690" s="17" t="s">
        <v>185</v>
      </c>
      <c r="D690" s="16" t="s">
        <v>864</v>
      </c>
      <c r="E690" s="16" t="s">
        <v>865</v>
      </c>
      <c r="F690" s="18">
        <v>14676.0</v>
      </c>
      <c r="G690" s="18">
        <v>14676.0</v>
      </c>
      <c r="H690" s="18">
        <f t="shared" si="3"/>
        <v>0</v>
      </c>
      <c r="J690" s="15"/>
    </row>
    <row r="691" ht="13.5" customHeight="1">
      <c r="A691" s="16" t="s">
        <v>11</v>
      </c>
      <c r="B691" s="16" t="s">
        <v>864</v>
      </c>
      <c r="C691" s="17" t="s">
        <v>288</v>
      </c>
      <c r="D691" s="16" t="s">
        <v>864</v>
      </c>
      <c r="E691" s="16" t="s">
        <v>866</v>
      </c>
      <c r="F691" s="18">
        <v>12534.0</v>
      </c>
      <c r="G691" s="18">
        <v>12534.0</v>
      </c>
      <c r="H691" s="18">
        <f t="shared" si="3"/>
        <v>0</v>
      </c>
      <c r="J691" s="15"/>
    </row>
    <row r="692" ht="13.5" customHeight="1">
      <c r="A692" s="16" t="s">
        <v>11</v>
      </c>
      <c r="B692" s="16" t="s">
        <v>864</v>
      </c>
      <c r="C692" s="17" t="s">
        <v>230</v>
      </c>
      <c r="D692" s="16" t="s">
        <v>864</v>
      </c>
      <c r="E692" s="16" t="s">
        <v>867</v>
      </c>
      <c r="F692" s="18">
        <v>3737.0</v>
      </c>
      <c r="G692" s="18">
        <v>3737.0</v>
      </c>
      <c r="H692" s="18">
        <f t="shared" si="3"/>
        <v>0</v>
      </c>
      <c r="J692" s="15"/>
    </row>
    <row r="693" ht="13.5" customHeight="1">
      <c r="A693" s="16" t="s">
        <v>11</v>
      </c>
      <c r="B693" s="16" t="s">
        <v>864</v>
      </c>
      <c r="C693" s="17" t="s">
        <v>308</v>
      </c>
      <c r="D693" s="16" t="s">
        <v>864</v>
      </c>
      <c r="E693" s="16" t="s">
        <v>868</v>
      </c>
      <c r="F693" s="18">
        <v>1140.5</v>
      </c>
      <c r="G693" s="18">
        <v>1140.5</v>
      </c>
      <c r="H693" s="18">
        <f t="shared" si="3"/>
        <v>0</v>
      </c>
      <c r="J693" s="15"/>
    </row>
    <row r="694" ht="13.5" customHeight="1">
      <c r="A694" s="16" t="s">
        <v>11</v>
      </c>
      <c r="B694" s="16" t="s">
        <v>864</v>
      </c>
      <c r="C694" s="17" t="s">
        <v>189</v>
      </c>
      <c r="D694" s="16" t="s">
        <v>864</v>
      </c>
      <c r="E694" s="16" t="s">
        <v>869</v>
      </c>
      <c r="F694" s="18">
        <v>3470.0</v>
      </c>
      <c r="G694" s="18">
        <v>3470.0</v>
      </c>
      <c r="H694" s="18">
        <f t="shared" si="3"/>
        <v>0</v>
      </c>
      <c r="J694" s="15"/>
    </row>
    <row r="695" ht="13.5" customHeight="1">
      <c r="A695" s="16" t="s">
        <v>11</v>
      </c>
      <c r="B695" s="16" t="s">
        <v>864</v>
      </c>
      <c r="C695" s="17" t="s">
        <v>870</v>
      </c>
      <c r="D695" s="16" t="s">
        <v>864</v>
      </c>
      <c r="E695" s="16" t="s">
        <v>871</v>
      </c>
      <c r="F695" s="18">
        <v>632.0</v>
      </c>
      <c r="G695" s="18">
        <v>632.0</v>
      </c>
      <c r="H695" s="18">
        <f t="shared" si="3"/>
        <v>0</v>
      </c>
      <c r="J695" s="15"/>
    </row>
    <row r="696" ht="13.5" customHeight="1">
      <c r="A696" s="16" t="s">
        <v>11</v>
      </c>
      <c r="B696" s="16" t="s">
        <v>864</v>
      </c>
      <c r="C696" s="17" t="s">
        <v>50</v>
      </c>
      <c r="D696" s="16" t="s">
        <v>864</v>
      </c>
      <c r="E696" s="16" t="s">
        <v>872</v>
      </c>
      <c r="F696" s="18">
        <v>566.0</v>
      </c>
      <c r="G696" s="18">
        <v>566.0</v>
      </c>
      <c r="H696" s="18">
        <f t="shared" si="3"/>
        <v>0</v>
      </c>
      <c r="J696" s="15"/>
    </row>
    <row r="697" ht="13.5" customHeight="1">
      <c r="A697" s="16" t="s">
        <v>11</v>
      </c>
      <c r="B697" s="16" t="s">
        <v>864</v>
      </c>
      <c r="C697" s="17" t="s">
        <v>873</v>
      </c>
      <c r="D697" s="16" t="s">
        <v>864</v>
      </c>
      <c r="E697" s="16" t="s">
        <v>874</v>
      </c>
      <c r="F697" s="18">
        <v>2404.0</v>
      </c>
      <c r="G697" s="18">
        <v>2404.0</v>
      </c>
      <c r="H697" s="18">
        <f t="shared" si="3"/>
        <v>0</v>
      </c>
      <c r="J697" s="15"/>
    </row>
    <row r="698" ht="13.5" customHeight="1">
      <c r="A698" s="16" t="s">
        <v>11</v>
      </c>
      <c r="B698" s="16" t="s">
        <v>864</v>
      </c>
      <c r="C698" s="17" t="s">
        <v>726</v>
      </c>
      <c r="D698" s="16" t="s">
        <v>864</v>
      </c>
      <c r="E698" s="16" t="s">
        <v>875</v>
      </c>
      <c r="F698" s="18">
        <v>5686.0</v>
      </c>
      <c r="G698" s="18">
        <v>5686.0</v>
      </c>
      <c r="H698" s="18">
        <f t="shared" si="3"/>
        <v>0</v>
      </c>
      <c r="J698" s="15"/>
    </row>
    <row r="699" ht="13.5" customHeight="1">
      <c r="A699" s="16" t="s">
        <v>11</v>
      </c>
      <c r="B699" s="16" t="s">
        <v>864</v>
      </c>
      <c r="C699" s="17" t="s">
        <v>199</v>
      </c>
      <c r="D699" s="16" t="s">
        <v>864</v>
      </c>
      <c r="E699" s="16" t="s">
        <v>876</v>
      </c>
      <c r="F699" s="18">
        <v>540.0</v>
      </c>
      <c r="G699" s="18">
        <v>540.0</v>
      </c>
      <c r="H699" s="18">
        <f t="shared" si="3"/>
        <v>0</v>
      </c>
      <c r="J699" s="15"/>
    </row>
    <row r="700" ht="13.5" customHeight="1">
      <c r="A700" s="16" t="s">
        <v>11</v>
      </c>
      <c r="B700" s="16" t="s">
        <v>864</v>
      </c>
      <c r="C700" s="17" t="s">
        <v>346</v>
      </c>
      <c r="D700" s="16" t="s">
        <v>864</v>
      </c>
      <c r="E700" s="16" t="s">
        <v>877</v>
      </c>
      <c r="F700" s="18">
        <v>4469.0</v>
      </c>
      <c r="G700" s="18">
        <v>4469.0</v>
      </c>
      <c r="H700" s="18">
        <f t="shared" si="3"/>
        <v>0</v>
      </c>
      <c r="J700" s="15"/>
    </row>
    <row r="701" ht="13.5" customHeight="1">
      <c r="A701" s="16" t="s">
        <v>11</v>
      </c>
      <c r="B701" s="16" t="s">
        <v>864</v>
      </c>
      <c r="C701" s="17" t="s">
        <v>878</v>
      </c>
      <c r="D701" s="16" t="s">
        <v>864</v>
      </c>
      <c r="E701" s="16" t="s">
        <v>879</v>
      </c>
      <c r="F701" s="18">
        <v>4324.0</v>
      </c>
      <c r="G701" s="18">
        <v>4324.0</v>
      </c>
      <c r="H701" s="18">
        <f t="shared" si="3"/>
        <v>0</v>
      </c>
      <c r="J701" s="15"/>
    </row>
    <row r="702" ht="13.5" customHeight="1">
      <c r="A702" s="16" t="s">
        <v>11</v>
      </c>
      <c r="B702" s="16" t="s">
        <v>864</v>
      </c>
      <c r="C702" s="17" t="s">
        <v>42</v>
      </c>
      <c r="D702" s="16" t="s">
        <v>864</v>
      </c>
      <c r="E702" s="16" t="s">
        <v>880</v>
      </c>
      <c r="F702" s="18">
        <v>949.0</v>
      </c>
      <c r="G702" s="18">
        <v>949.0</v>
      </c>
      <c r="H702" s="18">
        <f t="shared" si="3"/>
        <v>0</v>
      </c>
      <c r="J702" s="15"/>
    </row>
    <row r="703" ht="13.5" customHeight="1">
      <c r="A703" s="16" t="s">
        <v>11</v>
      </c>
      <c r="B703" s="16" t="s">
        <v>864</v>
      </c>
      <c r="C703" s="17" t="s">
        <v>881</v>
      </c>
      <c r="D703" s="16" t="s">
        <v>864</v>
      </c>
      <c r="E703" s="16" t="s">
        <v>882</v>
      </c>
      <c r="F703" s="18">
        <v>16791.0</v>
      </c>
      <c r="G703" s="18">
        <v>16791.0</v>
      </c>
      <c r="H703" s="18">
        <f t="shared" si="3"/>
        <v>0</v>
      </c>
      <c r="J703" s="15"/>
    </row>
    <row r="704" ht="13.5" customHeight="1">
      <c r="A704" s="16" t="s">
        <v>11</v>
      </c>
      <c r="B704" s="16" t="s">
        <v>314</v>
      </c>
      <c r="C704" s="17" t="s">
        <v>88</v>
      </c>
      <c r="D704" s="16" t="s">
        <v>883</v>
      </c>
      <c r="E704" s="16" t="s">
        <v>884</v>
      </c>
      <c r="F704" s="18">
        <v>90000.0</v>
      </c>
      <c r="G704" s="18">
        <v>90000.0</v>
      </c>
      <c r="H704" s="18">
        <f t="shared" si="3"/>
        <v>0</v>
      </c>
      <c r="J704" s="15"/>
    </row>
    <row r="705" ht="13.5" customHeight="1">
      <c r="A705" s="16" t="s">
        <v>10</v>
      </c>
      <c r="B705" s="16" t="s">
        <v>31</v>
      </c>
      <c r="C705" s="17" t="s">
        <v>22</v>
      </c>
      <c r="D705" s="16" t="s">
        <v>885</v>
      </c>
      <c r="E705" s="16" t="s">
        <v>33</v>
      </c>
      <c r="F705" s="18">
        <v>13500.0</v>
      </c>
      <c r="G705" s="18">
        <v>13500.0</v>
      </c>
      <c r="H705" s="18">
        <f t="shared" si="3"/>
        <v>0</v>
      </c>
      <c r="J705" s="15"/>
    </row>
    <row r="706" ht="13.5" customHeight="1">
      <c r="A706" s="16" t="s">
        <v>10</v>
      </c>
      <c r="B706" s="16" t="s">
        <v>31</v>
      </c>
      <c r="C706" s="17" t="s">
        <v>25</v>
      </c>
      <c r="D706" s="16" t="s">
        <v>885</v>
      </c>
      <c r="E706" s="16" t="s">
        <v>33</v>
      </c>
      <c r="F706" s="18">
        <v>13500.0</v>
      </c>
      <c r="G706" s="18">
        <v>13500.0</v>
      </c>
      <c r="H706" s="18">
        <f t="shared" si="3"/>
        <v>0</v>
      </c>
      <c r="J706" s="15"/>
    </row>
    <row r="707" ht="13.5" customHeight="1">
      <c r="A707" s="16" t="s">
        <v>10</v>
      </c>
      <c r="B707" s="16" t="s">
        <v>31</v>
      </c>
      <c r="C707" s="17" t="s">
        <v>32</v>
      </c>
      <c r="D707" s="16" t="s">
        <v>885</v>
      </c>
      <c r="E707" s="16" t="s">
        <v>33</v>
      </c>
      <c r="F707" s="18">
        <v>13500.0</v>
      </c>
      <c r="G707" s="18">
        <v>13500.0</v>
      </c>
      <c r="H707" s="18">
        <f t="shared" si="3"/>
        <v>0</v>
      </c>
      <c r="J707" s="15"/>
    </row>
    <row r="708" ht="13.5" customHeight="1">
      <c r="A708" s="16" t="s">
        <v>10</v>
      </c>
      <c r="B708" s="16" t="s">
        <v>31</v>
      </c>
      <c r="C708" s="17" t="s">
        <v>34</v>
      </c>
      <c r="D708" s="16" t="s">
        <v>885</v>
      </c>
      <c r="E708" s="16" t="s">
        <v>33</v>
      </c>
      <c r="F708" s="18">
        <v>13500.0</v>
      </c>
      <c r="G708" s="18">
        <v>13500.0</v>
      </c>
      <c r="H708" s="18">
        <f t="shared" si="3"/>
        <v>0</v>
      </c>
      <c r="J708" s="15"/>
    </row>
    <row r="709" ht="13.5" customHeight="1">
      <c r="A709" s="16" t="s">
        <v>10</v>
      </c>
      <c r="B709" s="16" t="s">
        <v>31</v>
      </c>
      <c r="C709" s="17" t="s">
        <v>580</v>
      </c>
      <c r="D709" s="16" t="s">
        <v>885</v>
      </c>
      <c r="E709" s="16" t="s">
        <v>33</v>
      </c>
      <c r="F709" s="18">
        <v>13500.0</v>
      </c>
      <c r="G709" s="18">
        <v>13500.0</v>
      </c>
      <c r="H709" s="18">
        <f t="shared" si="3"/>
        <v>0</v>
      </c>
      <c r="J709" s="15"/>
    </row>
    <row r="710" ht="13.5" customHeight="1">
      <c r="A710" s="16" t="s">
        <v>10</v>
      </c>
      <c r="B710" s="16" t="s">
        <v>31</v>
      </c>
      <c r="C710" s="17" t="s">
        <v>35</v>
      </c>
      <c r="D710" s="16" t="s">
        <v>885</v>
      </c>
      <c r="E710" s="16" t="s">
        <v>33</v>
      </c>
      <c r="F710" s="18">
        <v>13500.0</v>
      </c>
      <c r="G710" s="18">
        <v>13500.0</v>
      </c>
      <c r="H710" s="18">
        <f t="shared" si="3"/>
        <v>0</v>
      </c>
      <c r="J710" s="15"/>
    </row>
    <row r="711" ht="13.5" customHeight="1">
      <c r="A711" s="16" t="s">
        <v>10</v>
      </c>
      <c r="B711" s="16" t="s">
        <v>31</v>
      </c>
      <c r="C711" s="17" t="s">
        <v>36</v>
      </c>
      <c r="D711" s="16" t="s">
        <v>885</v>
      </c>
      <c r="E711" s="16" t="s">
        <v>33</v>
      </c>
      <c r="F711" s="18">
        <v>13500.0</v>
      </c>
      <c r="G711" s="18">
        <v>13500.0</v>
      </c>
      <c r="H711" s="18">
        <f t="shared" si="3"/>
        <v>0</v>
      </c>
      <c r="J711" s="15"/>
    </row>
    <row r="712" ht="13.5" customHeight="1">
      <c r="A712" s="16" t="s">
        <v>10</v>
      </c>
      <c r="B712" s="16" t="s">
        <v>31</v>
      </c>
      <c r="C712" s="17" t="s">
        <v>37</v>
      </c>
      <c r="D712" s="16" t="s">
        <v>885</v>
      </c>
      <c r="E712" s="16" t="s">
        <v>33</v>
      </c>
      <c r="F712" s="18">
        <v>13500.0</v>
      </c>
      <c r="G712" s="18">
        <v>13500.0</v>
      </c>
      <c r="H712" s="18">
        <f t="shared" si="3"/>
        <v>0</v>
      </c>
      <c r="J712" s="15"/>
    </row>
    <row r="713" ht="13.5" customHeight="1">
      <c r="A713" s="16" t="s">
        <v>10</v>
      </c>
      <c r="B713" s="16" t="s">
        <v>31</v>
      </c>
      <c r="C713" s="17" t="s">
        <v>38</v>
      </c>
      <c r="D713" s="16" t="s">
        <v>885</v>
      </c>
      <c r="E713" s="16" t="s">
        <v>33</v>
      </c>
      <c r="F713" s="18">
        <v>13500.0</v>
      </c>
      <c r="G713" s="18">
        <v>13500.0</v>
      </c>
      <c r="H713" s="18">
        <f t="shared" si="3"/>
        <v>0</v>
      </c>
      <c r="J713" s="15"/>
    </row>
    <row r="714" ht="13.5" customHeight="1">
      <c r="A714" s="16" t="s">
        <v>10</v>
      </c>
      <c r="B714" s="16" t="s">
        <v>31</v>
      </c>
      <c r="C714" s="17" t="s">
        <v>582</v>
      </c>
      <c r="D714" s="16" t="s">
        <v>885</v>
      </c>
      <c r="E714" s="16" t="s">
        <v>33</v>
      </c>
      <c r="F714" s="18">
        <v>13500.0</v>
      </c>
      <c r="G714" s="18">
        <v>13500.0</v>
      </c>
      <c r="H714" s="18">
        <f t="shared" si="3"/>
        <v>0</v>
      </c>
      <c r="J714" s="15"/>
    </row>
    <row r="715" ht="13.5" customHeight="1">
      <c r="A715" s="16" t="s">
        <v>10</v>
      </c>
      <c r="B715" s="16" t="s">
        <v>31</v>
      </c>
      <c r="C715" s="17" t="s">
        <v>126</v>
      </c>
      <c r="D715" s="16" t="s">
        <v>885</v>
      </c>
      <c r="E715" s="16" t="s">
        <v>33</v>
      </c>
      <c r="F715" s="18">
        <v>13500.0</v>
      </c>
      <c r="G715" s="18">
        <v>13500.0</v>
      </c>
      <c r="H715" s="18">
        <f t="shared" si="3"/>
        <v>0</v>
      </c>
      <c r="J715" s="15"/>
    </row>
    <row r="716" ht="13.5" customHeight="1">
      <c r="A716" s="16" t="s">
        <v>10</v>
      </c>
      <c r="B716" s="16" t="s">
        <v>31</v>
      </c>
      <c r="C716" s="17" t="s">
        <v>39</v>
      </c>
      <c r="D716" s="16" t="s">
        <v>885</v>
      </c>
      <c r="E716" s="16" t="s">
        <v>33</v>
      </c>
      <c r="F716" s="18">
        <v>13500.0</v>
      </c>
      <c r="G716" s="18">
        <v>13500.0</v>
      </c>
      <c r="H716" s="18">
        <f t="shared" si="3"/>
        <v>0</v>
      </c>
      <c r="J716" s="15"/>
    </row>
    <row r="717" ht="13.5" customHeight="1">
      <c r="A717" s="16" t="s">
        <v>10</v>
      </c>
      <c r="B717" s="16" t="s">
        <v>31</v>
      </c>
      <c r="C717" s="17" t="s">
        <v>40</v>
      </c>
      <c r="D717" s="16" t="s">
        <v>885</v>
      </c>
      <c r="E717" s="16" t="s">
        <v>33</v>
      </c>
      <c r="F717" s="18">
        <v>13500.0</v>
      </c>
      <c r="G717" s="18">
        <v>13500.0</v>
      </c>
      <c r="H717" s="18">
        <f t="shared" si="3"/>
        <v>0</v>
      </c>
      <c r="J717" s="15"/>
    </row>
    <row r="718" ht="13.5" customHeight="1">
      <c r="A718" s="16" t="s">
        <v>10</v>
      </c>
      <c r="B718" s="16" t="s">
        <v>31</v>
      </c>
      <c r="C718" s="17" t="s">
        <v>428</v>
      </c>
      <c r="D718" s="16" t="s">
        <v>885</v>
      </c>
      <c r="E718" s="16" t="s">
        <v>33</v>
      </c>
      <c r="F718" s="18">
        <v>13500.0</v>
      </c>
      <c r="G718" s="18">
        <v>13500.0</v>
      </c>
      <c r="H718" s="18">
        <f t="shared" si="3"/>
        <v>0</v>
      </c>
      <c r="J718" s="15"/>
    </row>
    <row r="719" ht="13.5" customHeight="1">
      <c r="A719" s="16" t="s">
        <v>10</v>
      </c>
      <c r="B719" s="16" t="s">
        <v>31</v>
      </c>
      <c r="C719" s="17" t="s">
        <v>197</v>
      </c>
      <c r="D719" s="16" t="s">
        <v>885</v>
      </c>
      <c r="E719" s="16" t="s">
        <v>33</v>
      </c>
      <c r="F719" s="18">
        <v>13500.0</v>
      </c>
      <c r="G719" s="18">
        <v>13500.0</v>
      </c>
      <c r="H719" s="18">
        <f t="shared" si="3"/>
        <v>0</v>
      </c>
      <c r="J719" s="15"/>
    </row>
    <row r="720" ht="13.5" customHeight="1">
      <c r="A720" s="16" t="s">
        <v>10</v>
      </c>
      <c r="B720" s="16" t="s">
        <v>31</v>
      </c>
      <c r="C720" s="17" t="s">
        <v>41</v>
      </c>
      <c r="D720" s="16" t="s">
        <v>885</v>
      </c>
      <c r="E720" s="16" t="s">
        <v>33</v>
      </c>
      <c r="F720" s="18">
        <v>13500.0</v>
      </c>
      <c r="G720" s="18">
        <v>13500.0</v>
      </c>
      <c r="H720" s="18">
        <f t="shared" si="3"/>
        <v>0</v>
      </c>
      <c r="J720" s="15"/>
    </row>
    <row r="721" ht="13.5" customHeight="1">
      <c r="A721" s="16" t="s">
        <v>10</v>
      </c>
      <c r="B721" s="16" t="s">
        <v>31</v>
      </c>
      <c r="C721" s="17" t="s">
        <v>42</v>
      </c>
      <c r="D721" s="16" t="s">
        <v>885</v>
      </c>
      <c r="E721" s="16" t="s">
        <v>33</v>
      </c>
      <c r="F721" s="18">
        <v>13500.0</v>
      </c>
      <c r="G721" s="18">
        <v>13500.0</v>
      </c>
      <c r="H721" s="18">
        <f t="shared" si="3"/>
        <v>0</v>
      </c>
      <c r="J721" s="15"/>
    </row>
    <row r="722" ht="13.5" customHeight="1">
      <c r="A722" s="16" t="s">
        <v>10</v>
      </c>
      <c r="B722" s="16" t="s">
        <v>31</v>
      </c>
      <c r="C722" s="17" t="s">
        <v>43</v>
      </c>
      <c r="D722" s="16" t="s">
        <v>885</v>
      </c>
      <c r="E722" s="16" t="s">
        <v>33</v>
      </c>
      <c r="F722" s="18">
        <v>13500.0</v>
      </c>
      <c r="G722" s="18">
        <v>13500.0</v>
      </c>
      <c r="H722" s="18">
        <f t="shared" si="3"/>
        <v>0</v>
      </c>
      <c r="J722" s="15"/>
    </row>
    <row r="723" ht="13.5" customHeight="1">
      <c r="A723" s="16" t="s">
        <v>10</v>
      </c>
      <c r="B723" s="16" t="s">
        <v>31</v>
      </c>
      <c r="C723" s="17" t="s">
        <v>44</v>
      </c>
      <c r="D723" s="16" t="s">
        <v>885</v>
      </c>
      <c r="E723" s="16" t="s">
        <v>33</v>
      </c>
      <c r="F723" s="18">
        <v>13500.0</v>
      </c>
      <c r="G723" s="18">
        <v>13500.0</v>
      </c>
      <c r="H723" s="18">
        <f t="shared" si="3"/>
        <v>0</v>
      </c>
      <c r="J723" s="15"/>
    </row>
    <row r="724" ht="13.5" customHeight="1">
      <c r="A724" s="16" t="s">
        <v>10</v>
      </c>
      <c r="B724" s="16" t="s">
        <v>31</v>
      </c>
      <c r="C724" s="17" t="s">
        <v>518</v>
      </c>
      <c r="D724" s="16" t="s">
        <v>885</v>
      </c>
      <c r="E724" s="16" t="s">
        <v>33</v>
      </c>
      <c r="F724" s="18">
        <v>13500.0</v>
      </c>
      <c r="G724" s="18">
        <v>13500.0</v>
      </c>
      <c r="H724" s="18">
        <f t="shared" si="3"/>
        <v>0</v>
      </c>
      <c r="J724" s="15"/>
    </row>
    <row r="725" ht="13.5" customHeight="1">
      <c r="A725" s="16" t="s">
        <v>11</v>
      </c>
      <c r="B725" s="16" t="s">
        <v>125</v>
      </c>
      <c r="C725" s="17" t="s">
        <v>886</v>
      </c>
      <c r="D725" s="16" t="s">
        <v>887</v>
      </c>
      <c r="E725" s="16" t="s">
        <v>888</v>
      </c>
      <c r="F725" s="18">
        <v>3568.0</v>
      </c>
      <c r="G725" s="18">
        <v>3568.0</v>
      </c>
      <c r="H725" s="18">
        <f t="shared" si="3"/>
        <v>0</v>
      </c>
      <c r="J725" s="15"/>
    </row>
    <row r="726" ht="13.5" customHeight="1">
      <c r="A726" s="16" t="s">
        <v>11</v>
      </c>
      <c r="B726" s="16" t="s">
        <v>125</v>
      </c>
      <c r="C726" s="17" t="s">
        <v>886</v>
      </c>
      <c r="D726" s="16" t="s">
        <v>887</v>
      </c>
      <c r="E726" s="16" t="s">
        <v>889</v>
      </c>
      <c r="F726" s="18">
        <v>2000.0</v>
      </c>
      <c r="G726" s="18">
        <v>2000.0</v>
      </c>
      <c r="H726" s="18">
        <f t="shared" si="3"/>
        <v>0</v>
      </c>
      <c r="J726" s="15"/>
    </row>
    <row r="727" ht="13.5" customHeight="1">
      <c r="A727" s="16" t="s">
        <v>11</v>
      </c>
      <c r="B727" s="16" t="s">
        <v>133</v>
      </c>
      <c r="C727" s="17" t="s">
        <v>890</v>
      </c>
      <c r="D727" s="16" t="s">
        <v>891</v>
      </c>
      <c r="E727" s="16" t="s">
        <v>892</v>
      </c>
      <c r="F727" s="18">
        <v>510.0</v>
      </c>
      <c r="G727" s="18">
        <v>510.0</v>
      </c>
      <c r="H727" s="18">
        <f t="shared" si="3"/>
        <v>0</v>
      </c>
      <c r="J727" s="15"/>
    </row>
    <row r="728" ht="13.5" customHeight="1">
      <c r="A728" s="16" t="s">
        <v>11</v>
      </c>
      <c r="B728" s="16" t="s">
        <v>133</v>
      </c>
      <c r="C728" s="17" t="s">
        <v>388</v>
      </c>
      <c r="D728" s="16" t="s">
        <v>891</v>
      </c>
      <c r="E728" s="24" t="s">
        <v>893</v>
      </c>
      <c r="F728" s="18">
        <v>5010.0</v>
      </c>
      <c r="G728" s="18">
        <v>5010.0</v>
      </c>
      <c r="H728" s="18">
        <f t="shared" si="3"/>
        <v>0</v>
      </c>
      <c r="J728" s="15"/>
    </row>
    <row r="729" ht="13.5" customHeight="1">
      <c r="A729" s="16" t="s">
        <v>11</v>
      </c>
      <c r="B729" s="16" t="s">
        <v>45</v>
      </c>
      <c r="C729" s="17" t="s">
        <v>46</v>
      </c>
      <c r="D729" s="16" t="s">
        <v>894</v>
      </c>
      <c r="E729" s="16" t="s">
        <v>48</v>
      </c>
      <c r="F729" s="18">
        <v>13600.0</v>
      </c>
      <c r="G729" s="18">
        <v>13600.0</v>
      </c>
      <c r="H729" s="18">
        <f t="shared" si="3"/>
        <v>0</v>
      </c>
      <c r="J729" s="15"/>
    </row>
    <row r="730" ht="13.5" customHeight="1">
      <c r="A730" s="16" t="s">
        <v>11</v>
      </c>
      <c r="B730" s="16" t="s">
        <v>45</v>
      </c>
      <c r="C730" s="17" t="s">
        <v>44</v>
      </c>
      <c r="D730" s="16" t="s">
        <v>894</v>
      </c>
      <c r="E730" s="16" t="s">
        <v>452</v>
      </c>
      <c r="F730" s="18">
        <v>1980.0</v>
      </c>
      <c r="G730" s="18">
        <v>1980.0</v>
      </c>
      <c r="H730" s="18">
        <f t="shared" si="3"/>
        <v>0</v>
      </c>
      <c r="J730" s="15"/>
    </row>
    <row r="731" ht="13.5" customHeight="1">
      <c r="A731" s="16" t="s">
        <v>11</v>
      </c>
      <c r="B731" s="16" t="s">
        <v>133</v>
      </c>
      <c r="C731" s="17" t="s">
        <v>99</v>
      </c>
      <c r="D731" s="16" t="s">
        <v>895</v>
      </c>
      <c r="E731" s="16" t="s">
        <v>896</v>
      </c>
      <c r="F731" s="18">
        <v>1000.0</v>
      </c>
      <c r="G731" s="18">
        <v>1000.0</v>
      </c>
      <c r="H731" s="18">
        <f t="shared" si="3"/>
        <v>0</v>
      </c>
      <c r="J731" s="15"/>
    </row>
    <row r="732" ht="13.5" customHeight="1">
      <c r="A732" s="16" t="s">
        <v>11</v>
      </c>
      <c r="B732" s="16" t="s">
        <v>133</v>
      </c>
      <c r="C732" s="17" t="s">
        <v>537</v>
      </c>
      <c r="D732" s="16" t="s">
        <v>897</v>
      </c>
      <c r="E732" s="16" t="s">
        <v>898</v>
      </c>
      <c r="F732" s="18">
        <v>11818.0</v>
      </c>
      <c r="G732" s="18">
        <v>11818.0</v>
      </c>
      <c r="H732" s="18">
        <f t="shared" si="3"/>
        <v>0</v>
      </c>
      <c r="J732" s="15"/>
    </row>
    <row r="733" ht="13.5" customHeight="1">
      <c r="A733" s="16" t="s">
        <v>11</v>
      </c>
      <c r="B733" s="16" t="s">
        <v>125</v>
      </c>
      <c r="C733" s="17" t="s">
        <v>754</v>
      </c>
      <c r="D733" s="16" t="s">
        <v>899</v>
      </c>
      <c r="E733" s="16" t="s">
        <v>900</v>
      </c>
      <c r="F733" s="18">
        <v>1240.01</v>
      </c>
      <c r="G733" s="18">
        <v>1240.01</v>
      </c>
      <c r="H733" s="18">
        <f t="shared" si="3"/>
        <v>0</v>
      </c>
      <c r="J733" s="15"/>
    </row>
    <row r="734" ht="13.5" customHeight="1">
      <c r="A734" s="16" t="s">
        <v>11</v>
      </c>
      <c r="B734" s="16" t="s">
        <v>125</v>
      </c>
      <c r="C734" s="17" t="s">
        <v>901</v>
      </c>
      <c r="D734" s="16" t="s">
        <v>899</v>
      </c>
      <c r="E734" s="16" t="s">
        <v>902</v>
      </c>
      <c r="F734" s="18">
        <v>1519.99</v>
      </c>
      <c r="G734" s="18">
        <v>1519.99</v>
      </c>
      <c r="H734" s="18">
        <f t="shared" si="3"/>
        <v>0</v>
      </c>
      <c r="J734" s="15"/>
    </row>
    <row r="735" ht="13.5" customHeight="1">
      <c r="A735" s="16" t="s">
        <v>11</v>
      </c>
      <c r="B735" s="16" t="s">
        <v>125</v>
      </c>
      <c r="C735" s="17" t="s">
        <v>114</v>
      </c>
      <c r="D735" s="16" t="s">
        <v>899</v>
      </c>
      <c r="E735" s="24" t="s">
        <v>903</v>
      </c>
      <c r="F735" s="18">
        <v>3162.02</v>
      </c>
      <c r="G735" s="18">
        <v>3162.02</v>
      </c>
      <c r="H735" s="18">
        <f t="shared" si="3"/>
        <v>0</v>
      </c>
      <c r="J735" s="15"/>
    </row>
    <row r="736" ht="13.5" customHeight="1">
      <c r="A736" s="16" t="s">
        <v>11</v>
      </c>
      <c r="B736" s="16" t="s">
        <v>125</v>
      </c>
      <c r="C736" s="17" t="s">
        <v>584</v>
      </c>
      <c r="D736" s="16" t="s">
        <v>899</v>
      </c>
      <c r="E736" s="16" t="s">
        <v>904</v>
      </c>
      <c r="F736" s="18">
        <v>1350.0</v>
      </c>
      <c r="G736" s="18">
        <v>1350.0</v>
      </c>
      <c r="H736" s="18">
        <f t="shared" si="3"/>
        <v>0</v>
      </c>
      <c r="J736" s="15"/>
    </row>
    <row r="737" ht="13.5" customHeight="1">
      <c r="A737" s="16" t="s">
        <v>11</v>
      </c>
      <c r="B737" s="16" t="s">
        <v>125</v>
      </c>
      <c r="C737" s="17" t="s">
        <v>80</v>
      </c>
      <c r="D737" s="16" t="s">
        <v>899</v>
      </c>
      <c r="E737" s="16" t="s">
        <v>905</v>
      </c>
      <c r="F737" s="18">
        <v>2850.0</v>
      </c>
      <c r="G737" s="18">
        <v>2850.0</v>
      </c>
      <c r="H737" s="18">
        <f t="shared" si="3"/>
        <v>0</v>
      </c>
      <c r="J737" s="15"/>
    </row>
    <row r="738" ht="13.5" customHeight="1">
      <c r="A738" s="16" t="s">
        <v>11</v>
      </c>
      <c r="B738" s="16" t="s">
        <v>125</v>
      </c>
      <c r="C738" s="17" t="s">
        <v>27</v>
      </c>
      <c r="D738" s="16" t="s">
        <v>899</v>
      </c>
      <c r="E738" s="16" t="s">
        <v>906</v>
      </c>
      <c r="F738" s="18">
        <v>3368.95</v>
      </c>
      <c r="G738" s="18">
        <v>3368.95</v>
      </c>
      <c r="H738" s="18">
        <f t="shared" si="3"/>
        <v>0</v>
      </c>
      <c r="J738" s="15"/>
    </row>
    <row r="739" ht="13.5" customHeight="1">
      <c r="A739" s="16" t="s">
        <v>11</v>
      </c>
      <c r="B739" s="16" t="s">
        <v>125</v>
      </c>
      <c r="C739" s="17" t="s">
        <v>306</v>
      </c>
      <c r="D739" s="16" t="s">
        <v>899</v>
      </c>
      <c r="E739" s="16" t="s">
        <v>907</v>
      </c>
      <c r="F739" s="18">
        <v>2058.0</v>
      </c>
      <c r="G739" s="18">
        <v>2058.0</v>
      </c>
      <c r="H739" s="18">
        <f t="shared" si="3"/>
        <v>0</v>
      </c>
      <c r="J739" s="15"/>
    </row>
    <row r="740" ht="13.5" customHeight="1">
      <c r="A740" s="16" t="s">
        <v>11</v>
      </c>
      <c r="B740" s="16" t="s">
        <v>125</v>
      </c>
      <c r="C740" s="17" t="s">
        <v>306</v>
      </c>
      <c r="D740" s="16" t="s">
        <v>899</v>
      </c>
      <c r="E740" s="24" t="s">
        <v>908</v>
      </c>
      <c r="F740" s="18">
        <v>1570.0</v>
      </c>
      <c r="G740" s="18">
        <v>1570.0</v>
      </c>
      <c r="H740" s="18">
        <f t="shared" si="3"/>
        <v>0</v>
      </c>
      <c r="J740" s="15"/>
    </row>
    <row r="741" ht="13.5" customHeight="1">
      <c r="A741" s="16" t="s">
        <v>11</v>
      </c>
      <c r="B741" s="16" t="s">
        <v>125</v>
      </c>
      <c r="C741" s="17" t="s">
        <v>82</v>
      </c>
      <c r="D741" s="16" t="s">
        <v>899</v>
      </c>
      <c r="E741" s="16" t="s">
        <v>909</v>
      </c>
      <c r="F741" s="18">
        <v>2480.0</v>
      </c>
      <c r="G741" s="18">
        <v>2480.0</v>
      </c>
      <c r="H741" s="18">
        <f t="shared" si="3"/>
        <v>0</v>
      </c>
      <c r="J741" s="15"/>
    </row>
    <row r="742" ht="13.5" customHeight="1">
      <c r="A742" s="16" t="s">
        <v>11</v>
      </c>
      <c r="B742" s="16" t="s">
        <v>125</v>
      </c>
      <c r="C742" s="17" t="s">
        <v>346</v>
      </c>
      <c r="D742" s="16" t="s">
        <v>899</v>
      </c>
      <c r="E742" s="16" t="s">
        <v>910</v>
      </c>
      <c r="F742" s="18">
        <v>420.0</v>
      </c>
      <c r="G742" s="18">
        <v>420.0</v>
      </c>
      <c r="H742" s="18">
        <f t="shared" si="3"/>
        <v>0</v>
      </c>
      <c r="J742" s="15"/>
    </row>
    <row r="743" ht="13.5" customHeight="1">
      <c r="A743" s="16" t="s">
        <v>11</v>
      </c>
      <c r="B743" s="16" t="s">
        <v>125</v>
      </c>
      <c r="C743" s="17" t="s">
        <v>104</v>
      </c>
      <c r="D743" s="16" t="s">
        <v>911</v>
      </c>
      <c r="E743" s="24" t="s">
        <v>912</v>
      </c>
      <c r="F743" s="18">
        <v>1500.01</v>
      </c>
      <c r="G743" s="18">
        <v>1500.01</v>
      </c>
      <c r="H743" s="18">
        <f t="shared" si="3"/>
        <v>0</v>
      </c>
      <c r="J743" s="15"/>
    </row>
    <row r="744" ht="13.5" customHeight="1">
      <c r="A744" s="16" t="s">
        <v>11</v>
      </c>
      <c r="B744" s="16" t="s">
        <v>125</v>
      </c>
      <c r="C744" s="17" t="s">
        <v>111</v>
      </c>
      <c r="D744" s="16" t="s">
        <v>911</v>
      </c>
      <c r="E744" s="24" t="s">
        <v>913</v>
      </c>
      <c r="F744" s="18">
        <v>1484.99</v>
      </c>
      <c r="G744" s="18">
        <v>1484.99</v>
      </c>
      <c r="H744" s="18">
        <f t="shared" si="3"/>
        <v>0</v>
      </c>
      <c r="J744" s="15"/>
    </row>
    <row r="745" ht="13.5" customHeight="1">
      <c r="A745" s="16" t="s">
        <v>11</v>
      </c>
      <c r="B745" s="16" t="s">
        <v>125</v>
      </c>
      <c r="C745" s="17" t="s">
        <v>67</v>
      </c>
      <c r="D745" s="16" t="s">
        <v>911</v>
      </c>
      <c r="E745" s="24" t="s">
        <v>914</v>
      </c>
      <c r="F745" s="18">
        <v>2156.0</v>
      </c>
      <c r="G745" s="18">
        <v>2156.0</v>
      </c>
      <c r="H745" s="18">
        <f t="shared" si="3"/>
        <v>0</v>
      </c>
      <c r="J745" s="15"/>
    </row>
    <row r="746" ht="13.5" customHeight="1">
      <c r="A746" s="16" t="s">
        <v>11</v>
      </c>
      <c r="B746" s="16" t="s">
        <v>125</v>
      </c>
      <c r="C746" s="17" t="s">
        <v>29</v>
      </c>
      <c r="D746" s="16" t="s">
        <v>911</v>
      </c>
      <c r="E746" s="24" t="s">
        <v>915</v>
      </c>
      <c r="F746" s="18">
        <v>374.0</v>
      </c>
      <c r="G746" s="18">
        <v>374.0</v>
      </c>
      <c r="H746" s="18">
        <f t="shared" si="3"/>
        <v>0</v>
      </c>
      <c r="J746" s="15"/>
    </row>
    <row r="747" ht="13.5" customHeight="1">
      <c r="A747" s="16" t="s">
        <v>11</v>
      </c>
      <c r="B747" s="16" t="s">
        <v>125</v>
      </c>
      <c r="C747" s="17" t="s">
        <v>29</v>
      </c>
      <c r="D747" s="16" t="s">
        <v>911</v>
      </c>
      <c r="E747" s="24" t="s">
        <v>916</v>
      </c>
      <c r="F747" s="18">
        <v>1170.0</v>
      </c>
      <c r="G747" s="18">
        <v>1170.0</v>
      </c>
      <c r="H747" s="18">
        <f t="shared" si="3"/>
        <v>0</v>
      </c>
      <c r="J747" s="15"/>
    </row>
    <row r="748" ht="13.5" customHeight="1">
      <c r="A748" s="16" t="s">
        <v>11</v>
      </c>
      <c r="B748" s="16" t="s">
        <v>125</v>
      </c>
      <c r="C748" s="17" t="s">
        <v>69</v>
      </c>
      <c r="D748" s="16" t="s">
        <v>911</v>
      </c>
      <c r="E748" s="24" t="s">
        <v>917</v>
      </c>
      <c r="F748" s="18">
        <v>334.01</v>
      </c>
      <c r="G748" s="18">
        <v>334.01</v>
      </c>
      <c r="H748" s="18">
        <f t="shared" si="3"/>
        <v>0</v>
      </c>
      <c r="J748" s="15"/>
    </row>
    <row r="749" ht="13.5" customHeight="1">
      <c r="A749" s="16" t="s">
        <v>11</v>
      </c>
      <c r="B749" s="16" t="s">
        <v>125</v>
      </c>
      <c r="C749" s="17" t="s">
        <v>566</v>
      </c>
      <c r="D749" s="16" t="s">
        <v>911</v>
      </c>
      <c r="E749" s="24" t="s">
        <v>918</v>
      </c>
      <c r="F749" s="18">
        <v>829.99</v>
      </c>
      <c r="G749" s="18">
        <v>829.99</v>
      </c>
      <c r="H749" s="18">
        <f t="shared" si="3"/>
        <v>0</v>
      </c>
      <c r="J749" s="15"/>
    </row>
    <row r="750" ht="13.5" customHeight="1">
      <c r="A750" s="16" t="s">
        <v>11</v>
      </c>
      <c r="B750" s="16" t="s">
        <v>125</v>
      </c>
      <c r="C750" s="17" t="s">
        <v>566</v>
      </c>
      <c r="D750" s="16" t="s">
        <v>911</v>
      </c>
      <c r="E750" s="16" t="s">
        <v>919</v>
      </c>
      <c r="F750" s="18">
        <v>250.0</v>
      </c>
      <c r="G750" s="18">
        <v>250.0</v>
      </c>
      <c r="H750" s="18">
        <f t="shared" si="3"/>
        <v>0</v>
      </c>
      <c r="J750" s="15"/>
    </row>
    <row r="751" ht="13.5" customHeight="1">
      <c r="A751" s="16" t="s">
        <v>11</v>
      </c>
      <c r="B751" s="16" t="s">
        <v>125</v>
      </c>
      <c r="C751" s="17" t="s">
        <v>566</v>
      </c>
      <c r="D751" s="16" t="s">
        <v>911</v>
      </c>
      <c r="E751" s="24" t="s">
        <v>920</v>
      </c>
      <c r="F751" s="18">
        <v>1240.01</v>
      </c>
      <c r="G751" s="18">
        <v>1240.01</v>
      </c>
      <c r="H751" s="18">
        <f t="shared" si="3"/>
        <v>0</v>
      </c>
      <c r="J751" s="15"/>
    </row>
    <row r="752" ht="13.5" customHeight="1">
      <c r="A752" s="16" t="s">
        <v>11</v>
      </c>
      <c r="B752" s="16" t="s">
        <v>125</v>
      </c>
      <c r="C752" s="17" t="s">
        <v>743</v>
      </c>
      <c r="D752" s="16" t="s">
        <v>911</v>
      </c>
      <c r="E752" s="24" t="s">
        <v>921</v>
      </c>
      <c r="F752" s="18">
        <v>6159.99</v>
      </c>
      <c r="G752" s="18">
        <v>6159.99</v>
      </c>
      <c r="H752" s="18">
        <f t="shared" si="3"/>
        <v>0</v>
      </c>
      <c r="J752" s="15"/>
    </row>
    <row r="753" ht="13.5" customHeight="1">
      <c r="A753" s="16" t="s">
        <v>11</v>
      </c>
      <c r="B753" s="16" t="s">
        <v>125</v>
      </c>
      <c r="C753" s="17" t="s">
        <v>230</v>
      </c>
      <c r="D753" s="16" t="s">
        <v>911</v>
      </c>
      <c r="E753" s="24" t="s">
        <v>922</v>
      </c>
      <c r="F753" s="18">
        <v>900.0</v>
      </c>
      <c r="G753" s="18">
        <v>900.0</v>
      </c>
      <c r="H753" s="18">
        <f t="shared" si="3"/>
        <v>0</v>
      </c>
      <c r="J753" s="15"/>
    </row>
    <row r="754" ht="13.5" customHeight="1">
      <c r="A754" s="16" t="s">
        <v>11</v>
      </c>
      <c r="B754" s="16" t="s">
        <v>125</v>
      </c>
      <c r="C754" s="17" t="s">
        <v>126</v>
      </c>
      <c r="D754" s="16" t="s">
        <v>911</v>
      </c>
      <c r="E754" s="16" t="s">
        <v>923</v>
      </c>
      <c r="F754" s="18">
        <v>4445.0</v>
      </c>
      <c r="G754" s="18">
        <v>4445.0</v>
      </c>
      <c r="H754" s="18">
        <f t="shared" si="3"/>
        <v>0</v>
      </c>
      <c r="J754" s="15"/>
    </row>
    <row r="755" ht="13.5" customHeight="1">
      <c r="A755" s="16" t="s">
        <v>11</v>
      </c>
      <c r="B755" s="16" t="s">
        <v>133</v>
      </c>
      <c r="C755" s="17" t="s">
        <v>301</v>
      </c>
      <c r="D755" s="16" t="s">
        <v>924</v>
      </c>
      <c r="E755" s="16" t="s">
        <v>925</v>
      </c>
      <c r="F755" s="18">
        <v>280.0</v>
      </c>
      <c r="G755" s="18">
        <v>280.0</v>
      </c>
      <c r="H755" s="18">
        <f t="shared" si="3"/>
        <v>0</v>
      </c>
      <c r="J755" s="15"/>
    </row>
    <row r="756" ht="13.5" customHeight="1">
      <c r="A756" s="16" t="s">
        <v>11</v>
      </c>
      <c r="B756" s="16" t="s">
        <v>133</v>
      </c>
      <c r="C756" s="17" t="s">
        <v>523</v>
      </c>
      <c r="D756" s="16" t="s">
        <v>924</v>
      </c>
      <c r="E756" s="16" t="s">
        <v>925</v>
      </c>
      <c r="F756" s="18">
        <v>348.0</v>
      </c>
      <c r="G756" s="18">
        <v>348.0</v>
      </c>
      <c r="H756" s="18">
        <f t="shared" si="3"/>
        <v>0</v>
      </c>
      <c r="J756" s="15"/>
    </row>
    <row r="757" ht="13.5" customHeight="1">
      <c r="A757" s="16" t="s">
        <v>11</v>
      </c>
      <c r="B757" s="16" t="s">
        <v>133</v>
      </c>
      <c r="C757" s="17" t="s">
        <v>53</v>
      </c>
      <c r="D757" s="16" t="s">
        <v>924</v>
      </c>
      <c r="E757" s="16" t="s">
        <v>926</v>
      </c>
      <c r="F757" s="18">
        <v>1392.0</v>
      </c>
      <c r="G757" s="18">
        <v>1392.0</v>
      </c>
      <c r="H757" s="18">
        <f t="shared" si="3"/>
        <v>0</v>
      </c>
      <c r="J757" s="15"/>
    </row>
    <row r="758" ht="13.5" customHeight="1">
      <c r="A758" s="16" t="s">
        <v>11</v>
      </c>
      <c r="B758" s="16" t="s">
        <v>927</v>
      </c>
      <c r="C758" s="29">
        <v>46023.0</v>
      </c>
      <c r="D758" s="16" t="s">
        <v>928</v>
      </c>
      <c r="E758" s="16" t="s">
        <v>929</v>
      </c>
      <c r="F758" s="18">
        <v>26392.5</v>
      </c>
      <c r="G758" s="18">
        <v>26392.5</v>
      </c>
      <c r="H758" s="18">
        <f t="shared" si="3"/>
        <v>0</v>
      </c>
      <c r="J758" s="15"/>
    </row>
    <row r="759" ht="13.5" customHeight="1">
      <c r="A759" s="16" t="s">
        <v>11</v>
      </c>
      <c r="B759" s="16" t="s">
        <v>927</v>
      </c>
      <c r="C759" s="17" t="s">
        <v>566</v>
      </c>
      <c r="D759" s="16" t="s">
        <v>928</v>
      </c>
      <c r="E759" s="16" t="s">
        <v>930</v>
      </c>
      <c r="F759" s="18">
        <v>26392.5</v>
      </c>
      <c r="G759" s="18">
        <v>26392.5</v>
      </c>
      <c r="H759" s="18">
        <f t="shared" si="3"/>
        <v>0</v>
      </c>
      <c r="J759" s="15"/>
    </row>
    <row r="760" ht="13.5" customHeight="1">
      <c r="A760" s="16" t="s">
        <v>11</v>
      </c>
      <c r="B760" s="16" t="s">
        <v>927</v>
      </c>
      <c r="C760" s="17" t="s">
        <v>309</v>
      </c>
      <c r="D760" s="16" t="s">
        <v>928</v>
      </c>
      <c r="E760" s="16" t="s">
        <v>929</v>
      </c>
      <c r="F760" s="18">
        <v>26392.0</v>
      </c>
      <c r="G760" s="18">
        <v>26392.0</v>
      </c>
      <c r="H760" s="18">
        <f t="shared" si="3"/>
        <v>0</v>
      </c>
      <c r="J760" s="15"/>
    </row>
    <row r="761" ht="13.5" customHeight="1">
      <c r="A761" s="16" t="s">
        <v>11</v>
      </c>
      <c r="B761" s="16" t="s">
        <v>927</v>
      </c>
      <c r="C761" s="17" t="s">
        <v>95</v>
      </c>
      <c r="D761" s="16" t="s">
        <v>928</v>
      </c>
      <c r="E761" s="16" t="s">
        <v>929</v>
      </c>
      <c r="F761" s="18">
        <v>26392.5</v>
      </c>
      <c r="G761" s="18">
        <v>26392.5</v>
      </c>
      <c r="H761" s="18">
        <f t="shared" si="3"/>
        <v>0</v>
      </c>
      <c r="J761" s="15"/>
    </row>
    <row r="762" ht="13.5" customHeight="1">
      <c r="A762" s="16" t="s">
        <v>11</v>
      </c>
      <c r="B762" s="16" t="s">
        <v>927</v>
      </c>
      <c r="C762" s="17" t="s">
        <v>95</v>
      </c>
      <c r="D762" s="16" t="s">
        <v>928</v>
      </c>
      <c r="E762" s="16" t="s">
        <v>930</v>
      </c>
      <c r="F762" s="18">
        <v>26392.5</v>
      </c>
      <c r="G762" s="18">
        <v>26392.5</v>
      </c>
      <c r="H762" s="18">
        <f t="shared" si="3"/>
        <v>0</v>
      </c>
      <c r="J762" s="15"/>
    </row>
    <row r="763" ht="13.5" customHeight="1">
      <c r="A763" s="16" t="s">
        <v>11</v>
      </c>
      <c r="B763" s="16" t="s">
        <v>927</v>
      </c>
      <c r="C763" s="17" t="s">
        <v>78</v>
      </c>
      <c r="D763" s="16" t="s">
        <v>928</v>
      </c>
      <c r="E763" s="16" t="s">
        <v>929</v>
      </c>
      <c r="F763" s="18">
        <v>26392.5</v>
      </c>
      <c r="G763" s="18">
        <v>26392.5</v>
      </c>
      <c r="H763" s="18">
        <f t="shared" si="3"/>
        <v>0</v>
      </c>
      <c r="J763" s="15"/>
    </row>
    <row r="764" ht="13.5" customHeight="1">
      <c r="A764" s="16" t="s">
        <v>11</v>
      </c>
      <c r="B764" s="16" t="s">
        <v>927</v>
      </c>
      <c r="C764" s="17" t="s">
        <v>88</v>
      </c>
      <c r="D764" s="16" t="s">
        <v>928</v>
      </c>
      <c r="E764" s="16" t="s">
        <v>929</v>
      </c>
      <c r="F764" s="18">
        <v>27540.0</v>
      </c>
      <c r="G764" s="18">
        <v>27540.0</v>
      </c>
      <c r="H764" s="18">
        <f t="shared" si="3"/>
        <v>0</v>
      </c>
      <c r="J764" s="15"/>
    </row>
    <row r="765" ht="13.5" customHeight="1">
      <c r="A765" s="16" t="s">
        <v>11</v>
      </c>
      <c r="B765" s="16" t="s">
        <v>314</v>
      </c>
      <c r="C765" s="17" t="s">
        <v>456</v>
      </c>
      <c r="D765" s="16" t="s">
        <v>931</v>
      </c>
      <c r="E765" s="16" t="s">
        <v>932</v>
      </c>
      <c r="F765" s="18">
        <v>4756.0</v>
      </c>
      <c r="G765" s="18">
        <v>4756.0</v>
      </c>
      <c r="H765" s="18">
        <f t="shared" si="3"/>
        <v>0</v>
      </c>
      <c r="J765" s="15"/>
    </row>
    <row r="766" ht="13.5" customHeight="1">
      <c r="A766" s="16" t="s">
        <v>11</v>
      </c>
      <c r="B766" s="16" t="s">
        <v>125</v>
      </c>
      <c r="C766" s="17" t="s">
        <v>475</v>
      </c>
      <c r="D766" s="16" t="s">
        <v>933</v>
      </c>
      <c r="E766" s="16" t="s">
        <v>934</v>
      </c>
      <c r="F766" s="18">
        <v>381.96</v>
      </c>
      <c r="G766" s="18">
        <v>381.96</v>
      </c>
      <c r="H766" s="18">
        <f t="shared" si="3"/>
        <v>0</v>
      </c>
      <c r="J766" s="15"/>
    </row>
    <row r="767" ht="13.5" customHeight="1">
      <c r="A767" s="16" t="s">
        <v>11</v>
      </c>
      <c r="B767" s="16" t="s">
        <v>125</v>
      </c>
      <c r="C767" s="17" t="s">
        <v>67</v>
      </c>
      <c r="D767" s="16" t="s">
        <v>933</v>
      </c>
      <c r="E767" s="24" t="s">
        <v>935</v>
      </c>
      <c r="F767" s="18">
        <v>94.19</v>
      </c>
      <c r="G767" s="18">
        <v>94.19</v>
      </c>
      <c r="H767" s="18">
        <f t="shared" si="3"/>
        <v>0</v>
      </c>
      <c r="J767" s="15"/>
    </row>
    <row r="768" ht="13.5" customHeight="1">
      <c r="A768" s="16" t="s">
        <v>11</v>
      </c>
      <c r="B768" s="16" t="s">
        <v>125</v>
      </c>
      <c r="C768" s="17" t="s">
        <v>936</v>
      </c>
      <c r="D768" s="16" t="s">
        <v>933</v>
      </c>
      <c r="E768" s="24" t="s">
        <v>937</v>
      </c>
      <c r="F768" s="18">
        <v>169.0</v>
      </c>
      <c r="G768" s="18">
        <v>169.0</v>
      </c>
      <c r="H768" s="18">
        <f t="shared" si="3"/>
        <v>0</v>
      </c>
      <c r="J768" s="15"/>
    </row>
    <row r="769" ht="13.5" customHeight="1">
      <c r="A769" s="16" t="s">
        <v>11</v>
      </c>
      <c r="B769" s="16" t="s">
        <v>125</v>
      </c>
      <c r="C769" s="17" t="s">
        <v>25</v>
      </c>
      <c r="D769" s="16" t="s">
        <v>933</v>
      </c>
      <c r="E769" s="24" t="s">
        <v>938</v>
      </c>
      <c r="F769" s="18">
        <v>274.11</v>
      </c>
      <c r="G769" s="18">
        <v>274.11</v>
      </c>
      <c r="H769" s="18">
        <f t="shared" si="3"/>
        <v>0</v>
      </c>
      <c r="J769" s="15"/>
    </row>
    <row r="770" ht="13.5" customHeight="1">
      <c r="A770" s="16" t="s">
        <v>11</v>
      </c>
      <c r="B770" s="16" t="s">
        <v>125</v>
      </c>
      <c r="C770" s="17" t="s">
        <v>96</v>
      </c>
      <c r="D770" s="16" t="s">
        <v>933</v>
      </c>
      <c r="E770" s="24" t="s">
        <v>938</v>
      </c>
      <c r="F770" s="18">
        <v>359.39</v>
      </c>
      <c r="G770" s="18">
        <v>359.39</v>
      </c>
      <c r="H770" s="18">
        <f t="shared" si="3"/>
        <v>0</v>
      </c>
      <c r="J770" s="15"/>
    </row>
    <row r="771" ht="13.5" customHeight="1">
      <c r="A771" s="16" t="s">
        <v>11</v>
      </c>
      <c r="B771" s="16" t="s">
        <v>125</v>
      </c>
      <c r="C771" s="17" t="s">
        <v>148</v>
      </c>
      <c r="D771" s="16" t="s">
        <v>939</v>
      </c>
      <c r="E771" s="24" t="s">
        <v>940</v>
      </c>
      <c r="F771" s="18">
        <v>272.17</v>
      </c>
      <c r="G771" s="18">
        <v>272.17</v>
      </c>
      <c r="H771" s="18">
        <f t="shared" si="3"/>
        <v>0</v>
      </c>
      <c r="J771" s="15"/>
    </row>
    <row r="772" ht="13.5" customHeight="1">
      <c r="A772" s="16" t="s">
        <v>11</v>
      </c>
      <c r="B772" s="16" t="s">
        <v>125</v>
      </c>
      <c r="C772" s="17" t="s">
        <v>769</v>
      </c>
      <c r="D772" s="16" t="s">
        <v>939</v>
      </c>
      <c r="E772" s="16" t="s">
        <v>941</v>
      </c>
      <c r="F772" s="18">
        <v>477.45</v>
      </c>
      <c r="G772" s="18">
        <v>477.45</v>
      </c>
      <c r="H772" s="18">
        <f t="shared" si="3"/>
        <v>0</v>
      </c>
      <c r="J772" s="15"/>
    </row>
    <row r="773" ht="13.5" customHeight="1">
      <c r="A773" s="16" t="s">
        <v>11</v>
      </c>
      <c r="B773" s="16" t="s">
        <v>125</v>
      </c>
      <c r="C773" s="17" t="s">
        <v>489</v>
      </c>
      <c r="D773" s="16" t="s">
        <v>939</v>
      </c>
      <c r="E773" s="24" t="s">
        <v>942</v>
      </c>
      <c r="F773" s="18">
        <v>125.77</v>
      </c>
      <c r="G773" s="18">
        <v>125.77</v>
      </c>
      <c r="H773" s="18">
        <f t="shared" si="3"/>
        <v>0</v>
      </c>
      <c r="J773" s="15"/>
    </row>
    <row r="774" ht="13.5" customHeight="1">
      <c r="A774" s="16" t="s">
        <v>11</v>
      </c>
      <c r="B774" s="16" t="s">
        <v>87</v>
      </c>
      <c r="C774" s="17" t="s">
        <v>489</v>
      </c>
      <c r="D774" s="16" t="s">
        <v>939</v>
      </c>
      <c r="E774" s="16" t="s">
        <v>943</v>
      </c>
      <c r="F774" s="18">
        <v>278.78</v>
      </c>
      <c r="G774" s="18">
        <v>278.78</v>
      </c>
      <c r="H774" s="18">
        <f t="shared" si="3"/>
        <v>0</v>
      </c>
      <c r="J774" s="15"/>
    </row>
    <row r="775" ht="13.5" customHeight="1">
      <c r="A775" s="16" t="s">
        <v>11</v>
      </c>
      <c r="B775" s="16" t="s">
        <v>125</v>
      </c>
      <c r="C775" s="17" t="s">
        <v>111</v>
      </c>
      <c r="D775" s="16" t="s">
        <v>939</v>
      </c>
      <c r="E775" s="24" t="s">
        <v>944</v>
      </c>
      <c r="F775" s="18">
        <v>260.63</v>
      </c>
      <c r="G775" s="18">
        <v>260.63</v>
      </c>
      <c r="H775" s="18">
        <f t="shared" si="3"/>
        <v>0</v>
      </c>
      <c r="J775" s="15"/>
    </row>
    <row r="776" ht="13.5" customHeight="1">
      <c r="A776" s="16" t="s">
        <v>11</v>
      </c>
      <c r="B776" s="16" t="s">
        <v>125</v>
      </c>
      <c r="C776" s="17" t="s">
        <v>673</v>
      </c>
      <c r="D776" s="16" t="s">
        <v>939</v>
      </c>
      <c r="E776" s="24" t="s">
        <v>945</v>
      </c>
      <c r="F776" s="18">
        <v>0.6</v>
      </c>
      <c r="G776" s="18">
        <v>0.6</v>
      </c>
      <c r="H776" s="18">
        <f t="shared" si="3"/>
        <v>0</v>
      </c>
      <c r="J776" s="15"/>
    </row>
    <row r="777" ht="13.5" customHeight="1">
      <c r="A777" s="16" t="s">
        <v>11</v>
      </c>
      <c r="B777" s="16" t="s">
        <v>125</v>
      </c>
      <c r="C777" s="17" t="s">
        <v>46</v>
      </c>
      <c r="D777" s="16" t="s">
        <v>939</v>
      </c>
      <c r="E777" s="16" t="s">
        <v>946</v>
      </c>
      <c r="F777" s="18">
        <v>200.45</v>
      </c>
      <c r="G777" s="18">
        <v>200.45</v>
      </c>
      <c r="H777" s="18">
        <f t="shared" si="3"/>
        <v>0</v>
      </c>
      <c r="J777" s="15"/>
    </row>
    <row r="778" ht="13.5" customHeight="1">
      <c r="A778" s="16" t="s">
        <v>11</v>
      </c>
      <c r="B778" s="16" t="s">
        <v>125</v>
      </c>
      <c r="C778" s="17" t="s">
        <v>702</v>
      </c>
      <c r="D778" s="16" t="s">
        <v>939</v>
      </c>
      <c r="E778" s="24" t="s">
        <v>947</v>
      </c>
      <c r="F778" s="18">
        <v>191.5</v>
      </c>
      <c r="G778" s="18">
        <v>191.5</v>
      </c>
      <c r="H778" s="18">
        <f t="shared" si="3"/>
        <v>0</v>
      </c>
      <c r="J778" s="15"/>
    </row>
    <row r="779" ht="13.5" customHeight="1">
      <c r="A779" s="16" t="s">
        <v>11</v>
      </c>
      <c r="B779" s="16" t="s">
        <v>125</v>
      </c>
      <c r="C779" s="17" t="s">
        <v>38</v>
      </c>
      <c r="D779" s="16" t="s">
        <v>939</v>
      </c>
      <c r="E779" s="24" t="s">
        <v>948</v>
      </c>
      <c r="F779" s="18">
        <v>1049.44</v>
      </c>
      <c r="G779" s="18">
        <v>1049.44</v>
      </c>
      <c r="H779" s="18">
        <f t="shared" si="3"/>
        <v>0</v>
      </c>
      <c r="J779" s="15"/>
    </row>
    <row r="780" ht="13.5" customHeight="1">
      <c r="A780" s="16" t="s">
        <v>11</v>
      </c>
      <c r="B780" s="16" t="s">
        <v>125</v>
      </c>
      <c r="C780" s="17" t="s">
        <v>38</v>
      </c>
      <c r="D780" s="16" t="s">
        <v>939</v>
      </c>
      <c r="E780" s="16" t="s">
        <v>949</v>
      </c>
      <c r="F780" s="18">
        <v>113.23</v>
      </c>
      <c r="G780" s="18">
        <v>113.23</v>
      </c>
      <c r="H780" s="18">
        <f t="shared" si="3"/>
        <v>0</v>
      </c>
      <c r="J780" s="15"/>
    </row>
    <row r="781" ht="13.5" customHeight="1">
      <c r="A781" s="16" t="s">
        <v>11</v>
      </c>
      <c r="B781" s="16" t="s">
        <v>125</v>
      </c>
      <c r="C781" s="17" t="s">
        <v>80</v>
      </c>
      <c r="D781" s="16" t="s">
        <v>939</v>
      </c>
      <c r="E781" s="16" t="s">
        <v>950</v>
      </c>
      <c r="F781" s="18">
        <v>172.49</v>
      </c>
      <c r="G781" s="18">
        <v>172.49</v>
      </c>
      <c r="H781" s="18">
        <f t="shared" si="3"/>
        <v>0</v>
      </c>
      <c r="J781" s="15"/>
    </row>
    <row r="782" ht="13.5" customHeight="1">
      <c r="A782" s="16" t="s">
        <v>11</v>
      </c>
      <c r="B782" s="16" t="s">
        <v>125</v>
      </c>
      <c r="C782" s="17" t="s">
        <v>27</v>
      </c>
      <c r="D782" s="16" t="s">
        <v>939</v>
      </c>
      <c r="E782" s="24" t="s">
        <v>951</v>
      </c>
      <c r="F782" s="18">
        <v>345.97</v>
      </c>
      <c r="G782" s="18">
        <v>345.97</v>
      </c>
      <c r="H782" s="18">
        <f t="shared" si="3"/>
        <v>0</v>
      </c>
      <c r="J782" s="15"/>
    </row>
    <row r="783" ht="13.5" customHeight="1">
      <c r="A783" s="16" t="s">
        <v>11</v>
      </c>
      <c r="B783" s="16" t="s">
        <v>125</v>
      </c>
      <c r="C783" s="17" t="s">
        <v>503</v>
      </c>
      <c r="D783" s="16" t="s">
        <v>939</v>
      </c>
      <c r="E783" s="24" t="s">
        <v>952</v>
      </c>
      <c r="F783" s="18">
        <v>157.31</v>
      </c>
      <c r="G783" s="18">
        <v>157.31</v>
      </c>
      <c r="H783" s="18">
        <f t="shared" si="3"/>
        <v>0</v>
      </c>
      <c r="J783" s="15"/>
    </row>
    <row r="784" ht="13.5" customHeight="1">
      <c r="A784" s="16" t="s">
        <v>11</v>
      </c>
      <c r="B784" s="16" t="s">
        <v>125</v>
      </c>
      <c r="C784" s="17" t="s">
        <v>953</v>
      </c>
      <c r="D784" s="16" t="s">
        <v>939</v>
      </c>
      <c r="E784" s="16" t="s">
        <v>954</v>
      </c>
      <c r="F784" s="18">
        <v>811.84</v>
      </c>
      <c r="G784" s="18">
        <v>811.84</v>
      </c>
      <c r="H784" s="18">
        <f t="shared" si="3"/>
        <v>0</v>
      </c>
      <c r="J784" s="15"/>
    </row>
    <row r="785" ht="13.5" customHeight="1">
      <c r="A785" s="16" t="s">
        <v>11</v>
      </c>
      <c r="B785" s="16" t="s">
        <v>125</v>
      </c>
      <c r="C785" s="17" t="s">
        <v>370</v>
      </c>
      <c r="D785" s="16" t="s">
        <v>939</v>
      </c>
      <c r="E785" s="24" t="s">
        <v>955</v>
      </c>
      <c r="F785" s="18">
        <v>313.77</v>
      </c>
      <c r="G785" s="18">
        <v>313.77</v>
      </c>
      <c r="H785" s="18">
        <f t="shared" si="3"/>
        <v>0</v>
      </c>
      <c r="J785" s="15"/>
    </row>
    <row r="786" ht="13.5" customHeight="1">
      <c r="A786" s="16" t="s">
        <v>11</v>
      </c>
      <c r="B786" s="16" t="s">
        <v>125</v>
      </c>
      <c r="C786" s="17" t="s">
        <v>421</v>
      </c>
      <c r="D786" s="16" t="s">
        <v>939</v>
      </c>
      <c r="E786" s="24" t="s">
        <v>956</v>
      </c>
      <c r="F786" s="18">
        <v>1860.78</v>
      </c>
      <c r="G786" s="18">
        <v>1860.78</v>
      </c>
      <c r="H786" s="18">
        <f t="shared" si="3"/>
        <v>0</v>
      </c>
      <c r="J786" s="15"/>
    </row>
    <row r="787" ht="13.5" customHeight="1">
      <c r="A787" s="16" t="s">
        <v>11</v>
      </c>
      <c r="B787" s="16" t="s">
        <v>125</v>
      </c>
      <c r="C787" s="17" t="s">
        <v>380</v>
      </c>
      <c r="D787" s="16" t="s">
        <v>939</v>
      </c>
      <c r="E787" s="16" t="s">
        <v>957</v>
      </c>
      <c r="F787" s="18">
        <v>350.0</v>
      </c>
      <c r="G787" s="18">
        <v>350.0</v>
      </c>
      <c r="H787" s="18">
        <f t="shared" si="3"/>
        <v>0</v>
      </c>
      <c r="J787" s="15"/>
    </row>
    <row r="788" ht="13.5" customHeight="1">
      <c r="A788" s="16" t="s">
        <v>11</v>
      </c>
      <c r="B788" s="16" t="s">
        <v>125</v>
      </c>
      <c r="C788" s="17" t="s">
        <v>958</v>
      </c>
      <c r="D788" s="16" t="s">
        <v>939</v>
      </c>
      <c r="E788" s="24" t="s">
        <v>959</v>
      </c>
      <c r="F788" s="18">
        <v>1110.85</v>
      </c>
      <c r="G788" s="18">
        <v>1110.85</v>
      </c>
      <c r="H788" s="18">
        <f t="shared" si="3"/>
        <v>0</v>
      </c>
      <c r="J788" s="15"/>
    </row>
    <row r="789" ht="13.5" customHeight="1">
      <c r="A789" s="16" t="s">
        <v>11</v>
      </c>
      <c r="B789" s="16" t="s">
        <v>125</v>
      </c>
      <c r="C789" s="17" t="s">
        <v>510</v>
      </c>
      <c r="D789" s="16" t="s">
        <v>939</v>
      </c>
      <c r="E789" s="24" t="s">
        <v>960</v>
      </c>
      <c r="F789" s="18">
        <v>2069.31</v>
      </c>
      <c r="G789" s="18">
        <v>2069.31</v>
      </c>
      <c r="H789" s="18">
        <f t="shared" si="3"/>
        <v>0</v>
      </c>
      <c r="J789" s="15"/>
    </row>
    <row r="790" ht="13.5" customHeight="1">
      <c r="A790" s="16" t="s">
        <v>11</v>
      </c>
      <c r="B790" s="16" t="s">
        <v>125</v>
      </c>
      <c r="C790" s="17" t="s">
        <v>53</v>
      </c>
      <c r="D790" s="16" t="s">
        <v>939</v>
      </c>
      <c r="E790" s="24" t="s">
        <v>961</v>
      </c>
      <c r="F790" s="18">
        <v>648.95</v>
      </c>
      <c r="G790" s="18">
        <v>648.95</v>
      </c>
      <c r="H790" s="18">
        <f t="shared" si="3"/>
        <v>0</v>
      </c>
      <c r="J790" s="15"/>
    </row>
    <row r="791" ht="13.5" customHeight="1">
      <c r="A791" s="16" t="s">
        <v>11</v>
      </c>
      <c r="B791" s="16" t="s">
        <v>125</v>
      </c>
      <c r="C791" s="17" t="s">
        <v>367</v>
      </c>
      <c r="D791" s="16" t="s">
        <v>939</v>
      </c>
      <c r="E791" s="24" t="s">
        <v>962</v>
      </c>
      <c r="F791" s="18">
        <v>64.55</v>
      </c>
      <c r="G791" s="18">
        <v>64.55</v>
      </c>
      <c r="H791" s="18">
        <f t="shared" si="3"/>
        <v>0</v>
      </c>
      <c r="J791" s="15"/>
    </row>
    <row r="792" ht="13.5" customHeight="1">
      <c r="A792" s="16" t="s">
        <v>11</v>
      </c>
      <c r="B792" s="16" t="s">
        <v>125</v>
      </c>
      <c r="C792" s="17" t="s">
        <v>272</v>
      </c>
      <c r="D792" s="16" t="s">
        <v>939</v>
      </c>
      <c r="E792" s="16" t="s">
        <v>963</v>
      </c>
      <c r="F792" s="18">
        <v>3459.25</v>
      </c>
      <c r="G792" s="18">
        <v>3459.25</v>
      </c>
      <c r="H792" s="18">
        <f t="shared" si="3"/>
        <v>0</v>
      </c>
      <c r="J792" s="15"/>
    </row>
    <row r="793" ht="13.5" customHeight="1">
      <c r="A793" s="16" t="s">
        <v>11</v>
      </c>
      <c r="B793" s="16" t="s">
        <v>125</v>
      </c>
      <c r="C793" s="17" t="s">
        <v>199</v>
      </c>
      <c r="D793" s="16" t="s">
        <v>939</v>
      </c>
      <c r="E793" s="24" t="s">
        <v>964</v>
      </c>
      <c r="F793" s="18">
        <v>236.76</v>
      </c>
      <c r="G793" s="18">
        <v>236.76</v>
      </c>
      <c r="H793" s="18">
        <f t="shared" si="3"/>
        <v>0</v>
      </c>
      <c r="J793" s="15"/>
    </row>
    <row r="794" ht="13.5" customHeight="1">
      <c r="A794" s="16" t="s">
        <v>11</v>
      </c>
      <c r="B794" s="16" t="s">
        <v>125</v>
      </c>
      <c r="C794" s="17" t="s">
        <v>346</v>
      </c>
      <c r="D794" s="16" t="s">
        <v>939</v>
      </c>
      <c r="E794" s="24" t="s">
        <v>965</v>
      </c>
      <c r="F794" s="18">
        <v>176.64</v>
      </c>
      <c r="G794" s="18">
        <v>176.64</v>
      </c>
      <c r="H794" s="18">
        <f t="shared" si="3"/>
        <v>0</v>
      </c>
      <c r="J794" s="15"/>
    </row>
    <row r="795" ht="13.5" customHeight="1">
      <c r="A795" s="16" t="s">
        <v>11</v>
      </c>
      <c r="B795" s="16" t="s">
        <v>125</v>
      </c>
      <c r="C795" s="17" t="s">
        <v>40</v>
      </c>
      <c r="D795" s="16" t="s">
        <v>939</v>
      </c>
      <c r="E795" s="16" t="s">
        <v>966</v>
      </c>
      <c r="F795" s="18">
        <v>1334.0</v>
      </c>
      <c r="G795" s="18">
        <v>1334.0</v>
      </c>
      <c r="H795" s="18">
        <f t="shared" si="3"/>
        <v>0</v>
      </c>
      <c r="J795" s="15"/>
    </row>
    <row r="796" ht="13.5" customHeight="1">
      <c r="A796" s="16" t="s">
        <v>11</v>
      </c>
      <c r="B796" s="16" t="s">
        <v>125</v>
      </c>
      <c r="C796" s="17" t="s">
        <v>317</v>
      </c>
      <c r="D796" s="16" t="s">
        <v>939</v>
      </c>
      <c r="E796" s="16" t="s">
        <v>967</v>
      </c>
      <c r="F796" s="18">
        <v>210.0</v>
      </c>
      <c r="G796" s="18">
        <v>210.0</v>
      </c>
      <c r="H796" s="18">
        <f t="shared" si="3"/>
        <v>0</v>
      </c>
      <c r="J796" s="15"/>
    </row>
    <row r="797" ht="13.5" customHeight="1">
      <c r="A797" s="16" t="s">
        <v>11</v>
      </c>
      <c r="B797" s="16" t="s">
        <v>125</v>
      </c>
      <c r="C797" s="17" t="s">
        <v>317</v>
      </c>
      <c r="D797" s="16" t="s">
        <v>939</v>
      </c>
      <c r="E797" s="24" t="s">
        <v>968</v>
      </c>
      <c r="F797" s="18">
        <v>246.58</v>
      </c>
      <c r="G797" s="18">
        <v>246.58</v>
      </c>
      <c r="H797" s="18">
        <f t="shared" si="3"/>
        <v>0</v>
      </c>
      <c r="J797" s="15"/>
    </row>
    <row r="798" ht="13.5" customHeight="1">
      <c r="A798" s="16" t="s">
        <v>11</v>
      </c>
      <c r="B798" s="16" t="s">
        <v>125</v>
      </c>
      <c r="C798" s="17" t="s">
        <v>130</v>
      </c>
      <c r="D798" s="16" t="s">
        <v>939</v>
      </c>
      <c r="E798" s="24" t="s">
        <v>969</v>
      </c>
      <c r="F798" s="18">
        <v>273.75</v>
      </c>
      <c r="G798" s="18">
        <v>273.75</v>
      </c>
      <c r="H798" s="18">
        <f t="shared" si="3"/>
        <v>0</v>
      </c>
      <c r="J798" s="15"/>
    </row>
    <row r="799" ht="13.5" customHeight="1">
      <c r="A799" s="16" t="s">
        <v>11</v>
      </c>
      <c r="B799" s="16" t="s">
        <v>125</v>
      </c>
      <c r="C799" s="17" t="s">
        <v>226</v>
      </c>
      <c r="D799" s="16" t="s">
        <v>970</v>
      </c>
      <c r="E799" s="24" t="s">
        <v>971</v>
      </c>
      <c r="F799" s="18">
        <v>914.46</v>
      </c>
      <c r="G799" s="18">
        <v>914.46</v>
      </c>
      <c r="H799" s="18">
        <f t="shared" si="3"/>
        <v>0</v>
      </c>
      <c r="J799" s="15"/>
    </row>
    <row r="800" ht="13.5" customHeight="1">
      <c r="A800" s="16" t="s">
        <v>11</v>
      </c>
      <c r="B800" s="16" t="s">
        <v>125</v>
      </c>
      <c r="C800" s="17" t="s">
        <v>257</v>
      </c>
      <c r="D800" s="16" t="s">
        <v>970</v>
      </c>
      <c r="E800" s="16" t="s">
        <v>972</v>
      </c>
      <c r="F800" s="18">
        <v>348.0</v>
      </c>
      <c r="G800" s="18">
        <v>348.0</v>
      </c>
      <c r="H800" s="18">
        <f t="shared" si="3"/>
        <v>0</v>
      </c>
      <c r="J800" s="15"/>
    </row>
    <row r="801" ht="13.5" customHeight="1">
      <c r="A801" s="16" t="s">
        <v>11</v>
      </c>
      <c r="B801" s="16" t="s">
        <v>125</v>
      </c>
      <c r="C801" s="17" t="s">
        <v>267</v>
      </c>
      <c r="D801" s="16" t="s">
        <v>970</v>
      </c>
      <c r="E801" s="16" t="s">
        <v>973</v>
      </c>
      <c r="F801" s="18">
        <v>100.98</v>
      </c>
      <c r="G801" s="18">
        <v>100.98</v>
      </c>
      <c r="H801" s="18">
        <f t="shared" si="3"/>
        <v>0</v>
      </c>
      <c r="J801" s="15"/>
    </row>
    <row r="802" ht="13.5" customHeight="1">
      <c r="A802" s="16" t="s">
        <v>11</v>
      </c>
      <c r="B802" s="16" t="s">
        <v>125</v>
      </c>
      <c r="C802" s="17" t="s">
        <v>466</v>
      </c>
      <c r="D802" s="16" t="s">
        <v>970</v>
      </c>
      <c r="E802" s="16" t="s">
        <v>974</v>
      </c>
      <c r="F802" s="18">
        <v>1891.01</v>
      </c>
      <c r="G802" s="18">
        <v>1891.01</v>
      </c>
      <c r="H802" s="18">
        <f t="shared" si="3"/>
        <v>0</v>
      </c>
      <c r="J802" s="15"/>
    </row>
    <row r="803" ht="13.5" customHeight="1">
      <c r="A803" s="16" t="s">
        <v>11</v>
      </c>
      <c r="B803" s="16" t="s">
        <v>125</v>
      </c>
      <c r="C803" s="17" t="s">
        <v>40</v>
      </c>
      <c r="D803" s="16" t="s">
        <v>970</v>
      </c>
      <c r="E803" s="16" t="s">
        <v>975</v>
      </c>
      <c r="F803" s="18">
        <v>870.0</v>
      </c>
      <c r="G803" s="18">
        <v>870.0</v>
      </c>
      <c r="H803" s="18">
        <f t="shared" si="3"/>
        <v>0</v>
      </c>
      <c r="J803" s="15"/>
    </row>
    <row r="804" ht="13.5" customHeight="1">
      <c r="A804" s="16" t="s">
        <v>11</v>
      </c>
      <c r="B804" s="16" t="s">
        <v>125</v>
      </c>
      <c r="C804" s="17" t="s">
        <v>99</v>
      </c>
      <c r="D804" s="16" t="s">
        <v>976</v>
      </c>
      <c r="E804" s="24" t="s">
        <v>977</v>
      </c>
      <c r="F804" s="18">
        <v>4402.2</v>
      </c>
      <c r="G804" s="18">
        <v>4402.2</v>
      </c>
      <c r="H804" s="18">
        <f t="shared" si="3"/>
        <v>0</v>
      </c>
      <c r="J804" s="15"/>
    </row>
    <row r="805" ht="13.5" customHeight="1">
      <c r="A805" s="16" t="s">
        <v>11</v>
      </c>
      <c r="B805" s="16" t="s">
        <v>62</v>
      </c>
      <c r="C805" s="17" t="s">
        <v>126</v>
      </c>
      <c r="D805" s="16" t="s">
        <v>978</v>
      </c>
      <c r="E805" s="16" t="s">
        <v>979</v>
      </c>
      <c r="F805" s="18">
        <v>2000.0</v>
      </c>
      <c r="G805" s="18">
        <v>2000.0</v>
      </c>
      <c r="H805" s="18">
        <f t="shared" si="3"/>
        <v>0</v>
      </c>
      <c r="J805" s="15"/>
    </row>
    <row r="806" ht="13.5" customHeight="1">
      <c r="A806" s="16" t="s">
        <v>11</v>
      </c>
      <c r="B806" s="16" t="s">
        <v>62</v>
      </c>
      <c r="C806" s="17" t="s">
        <v>126</v>
      </c>
      <c r="D806" s="16" t="s">
        <v>978</v>
      </c>
      <c r="E806" s="16" t="s">
        <v>979</v>
      </c>
      <c r="F806" s="18">
        <v>4000.0</v>
      </c>
      <c r="G806" s="18">
        <v>4000.0</v>
      </c>
      <c r="H806" s="18">
        <f t="shared" si="3"/>
        <v>0</v>
      </c>
      <c r="J806" s="15"/>
    </row>
    <row r="807" ht="13.5" customHeight="1">
      <c r="A807" s="16" t="s">
        <v>11</v>
      </c>
      <c r="B807" s="16" t="s">
        <v>980</v>
      </c>
      <c r="C807" s="17" t="s">
        <v>259</v>
      </c>
      <c r="D807" s="16" t="s">
        <v>981</v>
      </c>
      <c r="E807" s="16" t="s">
        <v>982</v>
      </c>
      <c r="F807" s="18">
        <v>234000.0</v>
      </c>
      <c r="G807" s="18">
        <v>234000.0</v>
      </c>
      <c r="H807" s="18">
        <f t="shared" si="3"/>
        <v>0</v>
      </c>
      <c r="J807" s="15"/>
    </row>
    <row r="808" ht="13.5" customHeight="1">
      <c r="A808" s="16" t="s">
        <v>11</v>
      </c>
      <c r="B808" s="16" t="s">
        <v>980</v>
      </c>
      <c r="C808" s="17" t="s">
        <v>130</v>
      </c>
      <c r="D808" s="16" t="s">
        <v>983</v>
      </c>
      <c r="E808" s="24" t="s">
        <v>984</v>
      </c>
      <c r="F808" s="18">
        <v>92800.0</v>
      </c>
      <c r="G808" s="18">
        <v>92800.0</v>
      </c>
      <c r="H808" s="18">
        <f t="shared" si="3"/>
        <v>0</v>
      </c>
      <c r="J808" s="15"/>
    </row>
    <row r="809" ht="13.5" customHeight="1">
      <c r="A809" s="16" t="s">
        <v>11</v>
      </c>
      <c r="B809" s="16" t="s">
        <v>980</v>
      </c>
      <c r="C809" s="17" t="s">
        <v>130</v>
      </c>
      <c r="D809" s="16" t="s">
        <v>983</v>
      </c>
      <c r="E809" s="24" t="s">
        <v>984</v>
      </c>
      <c r="F809" s="18">
        <v>92800.0</v>
      </c>
      <c r="G809" s="18">
        <v>92800.0</v>
      </c>
      <c r="H809" s="18">
        <f t="shared" si="3"/>
        <v>0</v>
      </c>
      <c r="J809" s="15"/>
    </row>
    <row r="810" ht="13.5" customHeight="1">
      <c r="A810" s="16" t="s">
        <v>11</v>
      </c>
      <c r="B810" s="16" t="s">
        <v>133</v>
      </c>
      <c r="C810" s="17" t="s">
        <v>985</v>
      </c>
      <c r="D810" s="16" t="s">
        <v>986</v>
      </c>
      <c r="E810" s="16" t="s">
        <v>987</v>
      </c>
      <c r="F810" s="18">
        <v>185.6</v>
      </c>
      <c r="G810" s="18">
        <v>185.6</v>
      </c>
      <c r="H810" s="18">
        <f t="shared" si="3"/>
        <v>0</v>
      </c>
      <c r="J810" s="15"/>
    </row>
    <row r="811" ht="13.5" customHeight="1">
      <c r="A811" s="16" t="s">
        <v>11</v>
      </c>
      <c r="B811" s="16" t="s">
        <v>125</v>
      </c>
      <c r="C811" s="17" t="s">
        <v>148</v>
      </c>
      <c r="D811" s="16" t="s">
        <v>988</v>
      </c>
      <c r="E811" s="16" t="s">
        <v>989</v>
      </c>
      <c r="F811" s="18">
        <v>1147.5</v>
      </c>
      <c r="G811" s="18">
        <v>1147.5</v>
      </c>
      <c r="H811" s="18">
        <f t="shared" si="3"/>
        <v>0</v>
      </c>
      <c r="J811" s="15"/>
    </row>
    <row r="812" ht="13.5" customHeight="1">
      <c r="A812" s="16" t="s">
        <v>11</v>
      </c>
      <c r="B812" s="16" t="s">
        <v>125</v>
      </c>
      <c r="C812" s="17" t="s">
        <v>101</v>
      </c>
      <c r="D812" s="16" t="s">
        <v>990</v>
      </c>
      <c r="E812" s="24" t="s">
        <v>991</v>
      </c>
      <c r="F812" s="18">
        <v>1120.31</v>
      </c>
      <c r="G812" s="18">
        <v>1120.31</v>
      </c>
      <c r="H812" s="18">
        <f t="shared" si="3"/>
        <v>0</v>
      </c>
      <c r="J812" s="15"/>
    </row>
    <row r="813" ht="13.5" customHeight="1">
      <c r="A813" s="16" t="s">
        <v>11</v>
      </c>
      <c r="B813" s="16" t="s">
        <v>125</v>
      </c>
      <c r="C813" s="17" t="s">
        <v>475</v>
      </c>
      <c r="D813" s="16" t="s">
        <v>990</v>
      </c>
      <c r="E813" s="16" t="s">
        <v>992</v>
      </c>
      <c r="F813" s="18">
        <v>1904.08</v>
      </c>
      <c r="G813" s="18">
        <v>1904.08</v>
      </c>
      <c r="H813" s="18">
        <f t="shared" si="3"/>
        <v>0</v>
      </c>
      <c r="J813" s="15"/>
    </row>
    <row r="814" ht="13.5" customHeight="1">
      <c r="A814" s="16" t="s">
        <v>11</v>
      </c>
      <c r="B814" s="16" t="s">
        <v>125</v>
      </c>
      <c r="C814" s="17" t="s">
        <v>154</v>
      </c>
      <c r="D814" s="16" t="s">
        <v>990</v>
      </c>
      <c r="E814" s="24" t="s">
        <v>993</v>
      </c>
      <c r="F814" s="18">
        <v>2644.39</v>
      </c>
      <c r="G814" s="18">
        <v>2644.39</v>
      </c>
      <c r="H814" s="18">
        <f t="shared" si="3"/>
        <v>0</v>
      </c>
      <c r="J814" s="15"/>
    </row>
    <row r="815" ht="13.5" customHeight="1">
      <c r="A815" s="16" t="s">
        <v>11</v>
      </c>
      <c r="B815" s="16" t="s">
        <v>125</v>
      </c>
      <c r="C815" s="17" t="s">
        <v>385</v>
      </c>
      <c r="D815" s="16" t="s">
        <v>990</v>
      </c>
      <c r="E815" s="24" t="s">
        <v>994</v>
      </c>
      <c r="F815" s="18">
        <v>392.43</v>
      </c>
      <c r="G815" s="18">
        <v>392.43</v>
      </c>
      <c r="H815" s="18">
        <f t="shared" si="3"/>
        <v>0</v>
      </c>
      <c r="J815" s="15"/>
    </row>
    <row r="816" ht="13.5" customHeight="1">
      <c r="A816" s="16" t="s">
        <v>11</v>
      </c>
      <c r="B816" s="16" t="s">
        <v>125</v>
      </c>
      <c r="C816" s="17" t="s">
        <v>995</v>
      </c>
      <c r="D816" s="16" t="s">
        <v>990</v>
      </c>
      <c r="E816" s="24" t="s">
        <v>996</v>
      </c>
      <c r="F816" s="18">
        <v>2630.95</v>
      </c>
      <c r="G816" s="18">
        <v>2630.95</v>
      </c>
      <c r="H816" s="18">
        <f t="shared" si="3"/>
        <v>0</v>
      </c>
      <c r="J816" s="15"/>
    </row>
    <row r="817" ht="13.5" customHeight="1">
      <c r="A817" s="16" t="s">
        <v>11</v>
      </c>
      <c r="B817" s="16" t="s">
        <v>125</v>
      </c>
      <c r="C817" s="17" t="s">
        <v>997</v>
      </c>
      <c r="D817" s="16" t="s">
        <v>990</v>
      </c>
      <c r="E817" s="24" t="s">
        <v>998</v>
      </c>
      <c r="F817" s="18">
        <v>495.03</v>
      </c>
      <c r="G817" s="18">
        <v>495.03</v>
      </c>
      <c r="H817" s="18">
        <f t="shared" si="3"/>
        <v>0</v>
      </c>
      <c r="J817" s="15"/>
    </row>
    <row r="818" ht="13.5" customHeight="1">
      <c r="A818" s="16" t="s">
        <v>10</v>
      </c>
      <c r="B818" s="16" t="s">
        <v>999</v>
      </c>
      <c r="C818" s="17" t="s">
        <v>580</v>
      </c>
      <c r="D818" s="16" t="s">
        <v>1000</v>
      </c>
      <c r="E818" s="16" t="s">
        <v>1001</v>
      </c>
      <c r="F818" s="18">
        <v>2666.66</v>
      </c>
      <c r="G818" s="18">
        <v>2666.66</v>
      </c>
      <c r="H818" s="18">
        <f t="shared" si="3"/>
        <v>0</v>
      </c>
      <c r="J818" s="15"/>
    </row>
    <row r="819" ht="13.5" customHeight="1">
      <c r="A819" s="16" t="s">
        <v>10</v>
      </c>
      <c r="B819" s="16" t="s">
        <v>999</v>
      </c>
      <c r="C819" s="17" t="s">
        <v>1002</v>
      </c>
      <c r="D819" s="16" t="s">
        <v>1000</v>
      </c>
      <c r="E819" s="16" t="s">
        <v>1001</v>
      </c>
      <c r="F819" s="18">
        <v>4000.0</v>
      </c>
      <c r="G819" s="18">
        <v>4000.0</v>
      </c>
      <c r="H819" s="18">
        <f t="shared" si="3"/>
        <v>0</v>
      </c>
      <c r="J819" s="15"/>
    </row>
    <row r="820" ht="13.5" customHeight="1">
      <c r="A820" s="16" t="s">
        <v>10</v>
      </c>
      <c r="B820" s="16" t="s">
        <v>999</v>
      </c>
      <c r="C820" s="17" t="s">
        <v>1003</v>
      </c>
      <c r="D820" s="16" t="s">
        <v>1000</v>
      </c>
      <c r="E820" s="16" t="s">
        <v>1001</v>
      </c>
      <c r="F820" s="18">
        <v>4000.0</v>
      </c>
      <c r="G820" s="18">
        <v>4000.0</v>
      </c>
      <c r="H820" s="18">
        <f t="shared" si="3"/>
        <v>0</v>
      </c>
      <c r="J820" s="15"/>
    </row>
    <row r="821" ht="13.5" customHeight="1">
      <c r="A821" s="16" t="s">
        <v>10</v>
      </c>
      <c r="B821" s="16" t="s">
        <v>999</v>
      </c>
      <c r="C821" s="17" t="s">
        <v>197</v>
      </c>
      <c r="D821" s="16" t="s">
        <v>1000</v>
      </c>
      <c r="E821" s="16" t="s">
        <v>1001</v>
      </c>
      <c r="F821" s="18">
        <v>4000.0</v>
      </c>
      <c r="G821" s="18">
        <v>4000.0</v>
      </c>
      <c r="H821" s="18">
        <f t="shared" si="3"/>
        <v>0</v>
      </c>
      <c r="J821" s="15"/>
    </row>
    <row r="822" ht="13.5" customHeight="1">
      <c r="A822" s="16" t="s">
        <v>11</v>
      </c>
      <c r="B822" s="16" t="s">
        <v>840</v>
      </c>
      <c r="C822" s="17" t="s">
        <v>396</v>
      </c>
      <c r="D822" s="16" t="s">
        <v>1004</v>
      </c>
      <c r="E822" s="16" t="s">
        <v>805</v>
      </c>
      <c r="F822" s="18">
        <v>52591.72</v>
      </c>
      <c r="G822" s="18">
        <v>52591.72</v>
      </c>
      <c r="H822" s="18">
        <f t="shared" si="3"/>
        <v>0</v>
      </c>
      <c r="J822" s="15"/>
    </row>
    <row r="823" ht="13.5" customHeight="1">
      <c r="A823" s="16" t="s">
        <v>11</v>
      </c>
      <c r="B823" s="16" t="s">
        <v>551</v>
      </c>
      <c r="C823" s="17" t="s">
        <v>32</v>
      </c>
      <c r="D823" s="16" t="s">
        <v>1004</v>
      </c>
      <c r="E823" s="16" t="s">
        <v>807</v>
      </c>
      <c r="F823" s="18">
        <v>2800.0</v>
      </c>
      <c r="G823" s="18">
        <v>2800.0</v>
      </c>
      <c r="H823" s="18">
        <f t="shared" si="3"/>
        <v>0</v>
      </c>
      <c r="J823" s="15"/>
    </row>
    <row r="824" ht="13.5" customHeight="1">
      <c r="A824" s="16" t="s">
        <v>11</v>
      </c>
      <c r="B824" s="16" t="s">
        <v>551</v>
      </c>
      <c r="C824" s="17" t="s">
        <v>405</v>
      </c>
      <c r="D824" s="16" t="s">
        <v>1004</v>
      </c>
      <c r="E824" s="16" t="s">
        <v>813</v>
      </c>
      <c r="F824" s="18">
        <v>2800.0</v>
      </c>
      <c r="G824" s="18">
        <v>2800.0</v>
      </c>
      <c r="H824" s="18">
        <f t="shared" si="3"/>
        <v>0</v>
      </c>
      <c r="J824" s="15"/>
    </row>
    <row r="825" ht="13.5" customHeight="1">
      <c r="A825" s="16" t="s">
        <v>11</v>
      </c>
      <c r="B825" s="16" t="s">
        <v>551</v>
      </c>
      <c r="C825" s="17" t="s">
        <v>402</v>
      </c>
      <c r="D825" s="16" t="s">
        <v>1004</v>
      </c>
      <c r="E825" s="16" t="s">
        <v>819</v>
      </c>
      <c r="F825" s="18">
        <v>2800.0</v>
      </c>
      <c r="G825" s="18">
        <v>2800.0</v>
      </c>
      <c r="H825" s="18">
        <f t="shared" si="3"/>
        <v>0</v>
      </c>
      <c r="J825" s="15"/>
    </row>
    <row r="826" ht="13.5" customHeight="1">
      <c r="A826" s="16" t="s">
        <v>11</v>
      </c>
      <c r="B826" s="16" t="s">
        <v>125</v>
      </c>
      <c r="C826" s="17" t="s">
        <v>1005</v>
      </c>
      <c r="D826" s="16" t="s">
        <v>1006</v>
      </c>
      <c r="E826" s="16" t="s">
        <v>1007</v>
      </c>
      <c r="F826" s="18">
        <v>1888.21</v>
      </c>
      <c r="G826" s="18">
        <v>1888.21</v>
      </c>
      <c r="H826" s="18">
        <f t="shared" si="3"/>
        <v>0</v>
      </c>
      <c r="J826" s="15"/>
    </row>
    <row r="827" ht="13.5" customHeight="1">
      <c r="A827" s="16" t="s">
        <v>11</v>
      </c>
      <c r="B827" s="16" t="s">
        <v>45</v>
      </c>
      <c r="C827" s="17" t="s">
        <v>46</v>
      </c>
      <c r="D827" s="16" t="s">
        <v>1008</v>
      </c>
      <c r="E827" s="16" t="s">
        <v>48</v>
      </c>
      <c r="F827" s="18">
        <v>35600.0</v>
      </c>
      <c r="G827" s="18">
        <v>35600.0</v>
      </c>
      <c r="H827" s="18">
        <f t="shared" si="3"/>
        <v>0</v>
      </c>
      <c r="J827" s="15"/>
    </row>
    <row r="828" ht="13.5" customHeight="1">
      <c r="A828" s="16" t="s">
        <v>11</v>
      </c>
      <c r="B828" s="16" t="s">
        <v>45</v>
      </c>
      <c r="C828" s="17" t="s">
        <v>84</v>
      </c>
      <c r="D828" s="16" t="s">
        <v>1008</v>
      </c>
      <c r="E828" s="16" t="s">
        <v>1009</v>
      </c>
      <c r="F828" s="18">
        <v>78800.0</v>
      </c>
      <c r="G828" s="18">
        <v>78800.0</v>
      </c>
      <c r="H828" s="18">
        <f t="shared" si="3"/>
        <v>0</v>
      </c>
      <c r="J828" s="15"/>
    </row>
    <row r="829" ht="13.5" customHeight="1">
      <c r="A829" s="16" t="s">
        <v>11</v>
      </c>
      <c r="B829" s="16" t="s">
        <v>125</v>
      </c>
      <c r="C829" s="17" t="s">
        <v>660</v>
      </c>
      <c r="D829" s="16" t="s">
        <v>1010</v>
      </c>
      <c r="E829" s="16" t="s">
        <v>1011</v>
      </c>
      <c r="F829" s="18">
        <v>1930.0</v>
      </c>
      <c r="G829" s="18">
        <v>1930.0</v>
      </c>
      <c r="H829" s="18">
        <f t="shared" si="3"/>
        <v>0</v>
      </c>
      <c r="J829" s="15"/>
    </row>
    <row r="830" ht="13.5" customHeight="1">
      <c r="A830" s="16" t="s">
        <v>11</v>
      </c>
      <c r="B830" s="16" t="s">
        <v>125</v>
      </c>
      <c r="C830" s="17" t="s">
        <v>285</v>
      </c>
      <c r="D830" s="16" t="s">
        <v>1010</v>
      </c>
      <c r="E830" s="16" t="s">
        <v>1012</v>
      </c>
      <c r="F830" s="18">
        <v>800.01</v>
      </c>
      <c r="G830" s="18">
        <v>800.01</v>
      </c>
      <c r="H830" s="18">
        <f t="shared" si="3"/>
        <v>0</v>
      </c>
      <c r="J830" s="15"/>
    </row>
    <row r="831" ht="13.5" customHeight="1">
      <c r="A831" s="16" t="s">
        <v>11</v>
      </c>
      <c r="B831" s="16" t="s">
        <v>125</v>
      </c>
      <c r="C831" s="17" t="s">
        <v>217</v>
      </c>
      <c r="D831" s="16" t="s">
        <v>1010</v>
      </c>
      <c r="E831" s="16" t="s">
        <v>1012</v>
      </c>
      <c r="F831" s="18">
        <v>800.01</v>
      </c>
      <c r="G831" s="18">
        <v>800.01</v>
      </c>
      <c r="H831" s="18">
        <f t="shared" si="3"/>
        <v>0</v>
      </c>
      <c r="J831" s="15"/>
    </row>
    <row r="832" ht="13.5" customHeight="1">
      <c r="A832" s="16" t="s">
        <v>10</v>
      </c>
      <c r="B832" s="16" t="s">
        <v>91</v>
      </c>
      <c r="C832" s="17" t="s">
        <v>311</v>
      </c>
      <c r="D832" s="16" t="s">
        <v>1013</v>
      </c>
      <c r="E832" s="16" t="s">
        <v>539</v>
      </c>
      <c r="F832" s="18">
        <v>550.0</v>
      </c>
      <c r="G832" s="18">
        <v>550.0</v>
      </c>
      <c r="H832" s="18">
        <f t="shared" si="3"/>
        <v>0</v>
      </c>
      <c r="J832" s="15"/>
    </row>
    <row r="833" ht="13.5" customHeight="1">
      <c r="A833" s="16" t="s">
        <v>11</v>
      </c>
      <c r="B833" s="16" t="s">
        <v>140</v>
      </c>
      <c r="C833" s="17" t="s">
        <v>161</v>
      </c>
      <c r="D833" s="16" t="s">
        <v>1014</v>
      </c>
      <c r="E833" s="16" t="s">
        <v>1015</v>
      </c>
      <c r="F833" s="18">
        <v>13000.0</v>
      </c>
      <c r="G833" s="18">
        <v>13000.0</v>
      </c>
      <c r="H833" s="18">
        <f t="shared" si="3"/>
        <v>0</v>
      </c>
      <c r="J833" s="15"/>
    </row>
    <row r="834" ht="13.5" customHeight="1">
      <c r="A834" s="16" t="s">
        <v>11</v>
      </c>
      <c r="B834" s="16" t="s">
        <v>140</v>
      </c>
      <c r="C834" s="17" t="s">
        <v>144</v>
      </c>
      <c r="D834" s="16" t="s">
        <v>1016</v>
      </c>
      <c r="E834" s="16" t="s">
        <v>1017</v>
      </c>
      <c r="F834" s="18">
        <v>3740.0</v>
      </c>
      <c r="G834" s="18">
        <v>3740.0</v>
      </c>
      <c r="H834" s="18">
        <f t="shared" si="3"/>
        <v>0</v>
      </c>
      <c r="J834" s="15"/>
    </row>
    <row r="835" ht="13.5" customHeight="1">
      <c r="A835" s="16" t="s">
        <v>11</v>
      </c>
      <c r="B835" s="16" t="s">
        <v>140</v>
      </c>
      <c r="C835" s="17" t="s">
        <v>144</v>
      </c>
      <c r="D835" s="16" t="s">
        <v>1016</v>
      </c>
      <c r="E835" s="16" t="s">
        <v>1018</v>
      </c>
      <c r="F835" s="18">
        <v>22560.0</v>
      </c>
      <c r="G835" s="18">
        <v>22560.0</v>
      </c>
      <c r="H835" s="18">
        <f t="shared" si="3"/>
        <v>0</v>
      </c>
      <c r="J835" s="15"/>
    </row>
    <row r="836" ht="13.5" customHeight="1">
      <c r="A836" s="16" t="s">
        <v>11</v>
      </c>
      <c r="B836" s="16" t="s">
        <v>140</v>
      </c>
      <c r="C836" s="17" t="s">
        <v>104</v>
      </c>
      <c r="D836" s="16" t="s">
        <v>1016</v>
      </c>
      <c r="E836" s="16" t="s">
        <v>1019</v>
      </c>
      <c r="F836" s="18">
        <v>4579.2</v>
      </c>
      <c r="G836" s="18">
        <v>4579.2</v>
      </c>
      <c r="H836" s="18">
        <f t="shared" si="3"/>
        <v>0</v>
      </c>
      <c r="J836" s="15"/>
    </row>
    <row r="837" ht="13.5" customHeight="1">
      <c r="A837" s="16" t="s">
        <v>11</v>
      </c>
      <c r="B837" s="16" t="s">
        <v>140</v>
      </c>
      <c r="C837" s="17" t="s">
        <v>73</v>
      </c>
      <c r="D837" s="16" t="s">
        <v>1016</v>
      </c>
      <c r="E837" s="16" t="s">
        <v>1020</v>
      </c>
      <c r="F837" s="18">
        <v>4811.34</v>
      </c>
      <c r="G837" s="18">
        <v>4811.34</v>
      </c>
      <c r="H837" s="18">
        <f t="shared" si="3"/>
        <v>0</v>
      </c>
      <c r="J837" s="15"/>
    </row>
    <row r="838" ht="13.5" customHeight="1">
      <c r="A838" s="16" t="s">
        <v>11</v>
      </c>
      <c r="B838" s="16" t="s">
        <v>140</v>
      </c>
      <c r="C838" s="17" t="s">
        <v>73</v>
      </c>
      <c r="D838" s="16" t="s">
        <v>1016</v>
      </c>
      <c r="E838" s="16" t="s">
        <v>1020</v>
      </c>
      <c r="F838" s="18">
        <v>24056.7</v>
      </c>
      <c r="G838" s="18">
        <v>24056.7</v>
      </c>
      <c r="H838" s="18">
        <f t="shared" si="3"/>
        <v>0</v>
      </c>
      <c r="J838" s="15"/>
    </row>
    <row r="839" ht="13.5" customHeight="1">
      <c r="A839" s="16" t="s">
        <v>11</v>
      </c>
      <c r="B839" s="16" t="s">
        <v>140</v>
      </c>
      <c r="C839" s="17" t="s">
        <v>163</v>
      </c>
      <c r="D839" s="16" t="s">
        <v>1016</v>
      </c>
      <c r="E839" s="16" t="s">
        <v>1021</v>
      </c>
      <c r="F839" s="18">
        <v>31800.0</v>
      </c>
      <c r="G839" s="18">
        <v>31800.0</v>
      </c>
      <c r="H839" s="18">
        <f t="shared" si="3"/>
        <v>0</v>
      </c>
      <c r="J839" s="15"/>
    </row>
    <row r="840" ht="13.5" customHeight="1">
      <c r="A840" s="16" t="s">
        <v>11</v>
      </c>
      <c r="B840" s="16" t="s">
        <v>140</v>
      </c>
      <c r="C840" s="17" t="s">
        <v>308</v>
      </c>
      <c r="D840" s="16" t="s">
        <v>1016</v>
      </c>
      <c r="E840" s="16" t="s">
        <v>1022</v>
      </c>
      <c r="F840" s="18">
        <v>10800.0</v>
      </c>
      <c r="G840" s="18">
        <v>10800.0</v>
      </c>
      <c r="H840" s="18">
        <f t="shared" si="3"/>
        <v>0</v>
      </c>
      <c r="J840" s="15"/>
    </row>
    <row r="841" ht="13.5" customHeight="1">
      <c r="A841" s="16" t="s">
        <v>11</v>
      </c>
      <c r="B841" s="16" t="s">
        <v>140</v>
      </c>
      <c r="C841" s="17" t="s">
        <v>88</v>
      </c>
      <c r="D841" s="16" t="s">
        <v>1016</v>
      </c>
      <c r="E841" s="16" t="s">
        <v>455</v>
      </c>
      <c r="F841" s="18">
        <v>19200.0</v>
      </c>
      <c r="G841" s="18">
        <v>19200.0</v>
      </c>
      <c r="H841" s="18">
        <f t="shared" si="3"/>
        <v>0</v>
      </c>
      <c r="J841" s="15"/>
    </row>
    <row r="842" ht="13.5" customHeight="1">
      <c r="A842" s="16" t="s">
        <v>11</v>
      </c>
      <c r="B842" s="16" t="s">
        <v>140</v>
      </c>
      <c r="C842" s="17" t="s">
        <v>516</v>
      </c>
      <c r="D842" s="16" t="s">
        <v>1016</v>
      </c>
      <c r="E842" s="16" t="s">
        <v>1023</v>
      </c>
      <c r="F842" s="18">
        <v>9500.0</v>
      </c>
      <c r="G842" s="18">
        <v>9500.0</v>
      </c>
      <c r="H842" s="18">
        <f t="shared" si="3"/>
        <v>0</v>
      </c>
      <c r="J842" s="15"/>
    </row>
    <row r="843" ht="13.5" customHeight="1">
      <c r="A843" s="16" t="s">
        <v>11</v>
      </c>
      <c r="B843" s="16" t="s">
        <v>129</v>
      </c>
      <c r="C843" s="17" t="s">
        <v>130</v>
      </c>
      <c r="D843" s="16" t="s">
        <v>1024</v>
      </c>
      <c r="E843" s="16" t="s">
        <v>132</v>
      </c>
      <c r="F843" s="18">
        <v>300000.0</v>
      </c>
      <c r="G843" s="18">
        <v>300000.0</v>
      </c>
      <c r="H843" s="18">
        <f t="shared" si="3"/>
        <v>0</v>
      </c>
      <c r="J843" s="15"/>
    </row>
    <row r="844" ht="13.5" customHeight="1">
      <c r="A844" s="16" t="s">
        <v>11</v>
      </c>
      <c r="B844" s="16" t="s">
        <v>125</v>
      </c>
      <c r="C844" s="17" t="s">
        <v>63</v>
      </c>
      <c r="D844" s="16" t="s">
        <v>1025</v>
      </c>
      <c r="E844" s="16" t="s">
        <v>1026</v>
      </c>
      <c r="F844" s="18">
        <v>1710.8</v>
      </c>
      <c r="G844" s="18">
        <v>1710.8</v>
      </c>
      <c r="H844" s="18">
        <f t="shared" si="3"/>
        <v>0</v>
      </c>
      <c r="J844" s="15"/>
    </row>
    <row r="845" ht="13.5" customHeight="1">
      <c r="A845" s="16" t="s">
        <v>11</v>
      </c>
      <c r="B845" s="16" t="s">
        <v>125</v>
      </c>
      <c r="C845" s="17" t="s">
        <v>475</v>
      </c>
      <c r="D845" s="16" t="s">
        <v>1025</v>
      </c>
      <c r="E845" s="24" t="s">
        <v>1027</v>
      </c>
      <c r="F845" s="18">
        <v>8057.77</v>
      </c>
      <c r="G845" s="18">
        <v>8057.77</v>
      </c>
      <c r="H845" s="18">
        <f t="shared" si="3"/>
        <v>0</v>
      </c>
      <c r="J845" s="15"/>
    </row>
    <row r="846" ht="13.5" customHeight="1">
      <c r="A846" s="16" t="s">
        <v>11</v>
      </c>
      <c r="B846" s="16" t="s">
        <v>125</v>
      </c>
      <c r="C846" s="17" t="s">
        <v>663</v>
      </c>
      <c r="D846" s="16" t="s">
        <v>1025</v>
      </c>
      <c r="E846" s="16" t="s">
        <v>1028</v>
      </c>
      <c r="F846" s="18">
        <v>1680.54</v>
      </c>
      <c r="G846" s="18">
        <v>1680.54</v>
      </c>
      <c r="H846" s="18">
        <f t="shared" si="3"/>
        <v>0</v>
      </c>
      <c r="J846" s="15"/>
    </row>
    <row r="847" ht="13.5" customHeight="1">
      <c r="A847" s="16" t="s">
        <v>11</v>
      </c>
      <c r="B847" s="16" t="s">
        <v>62</v>
      </c>
      <c r="C847" s="17" t="s">
        <v>936</v>
      </c>
      <c r="D847" s="16" t="s">
        <v>1029</v>
      </c>
      <c r="E847" s="16" t="s">
        <v>1030</v>
      </c>
      <c r="F847" s="18">
        <v>10009.0</v>
      </c>
      <c r="G847" s="18">
        <v>10009.0</v>
      </c>
      <c r="H847" s="18">
        <f t="shared" si="3"/>
        <v>0</v>
      </c>
      <c r="J847" s="15"/>
    </row>
    <row r="848" ht="13.5" customHeight="1">
      <c r="A848" s="16" t="s">
        <v>11</v>
      </c>
      <c r="B848" s="16" t="s">
        <v>140</v>
      </c>
      <c r="C848" s="29" t="s">
        <v>96</v>
      </c>
      <c r="D848" s="16" t="s">
        <v>1031</v>
      </c>
      <c r="E848" s="24" t="s">
        <v>1032</v>
      </c>
      <c r="F848" s="18">
        <v>81005.91</v>
      </c>
      <c r="G848" s="18">
        <v>0.0</v>
      </c>
      <c r="H848" s="25">
        <f t="shared" si="3"/>
        <v>81005.91</v>
      </c>
      <c r="J848" s="15"/>
    </row>
    <row r="849" ht="13.5" customHeight="1">
      <c r="A849" s="16" t="s">
        <v>11</v>
      </c>
      <c r="B849" s="16" t="s">
        <v>140</v>
      </c>
      <c r="C849" s="29" t="s">
        <v>189</v>
      </c>
      <c r="D849" s="16" t="s">
        <v>1031</v>
      </c>
      <c r="E849" s="24" t="s">
        <v>1033</v>
      </c>
      <c r="F849" s="18">
        <v>62065.14</v>
      </c>
      <c r="G849" s="18">
        <f>F849</f>
        <v>62065.14</v>
      </c>
      <c r="H849" s="25">
        <f t="shared" si="3"/>
        <v>0</v>
      </c>
      <c r="J849" s="15"/>
    </row>
    <row r="850" ht="13.5" customHeight="1">
      <c r="A850" s="16" t="s">
        <v>11</v>
      </c>
      <c r="B850" s="16" t="s">
        <v>140</v>
      </c>
      <c r="C850" s="29" t="s">
        <v>148</v>
      </c>
      <c r="D850" s="16" t="s">
        <v>1031</v>
      </c>
      <c r="E850" s="24" t="s">
        <v>1034</v>
      </c>
      <c r="F850" s="18">
        <v>51638.86</v>
      </c>
      <c r="G850" s="18">
        <v>0.0</v>
      </c>
      <c r="H850" s="25">
        <f t="shared" si="3"/>
        <v>51638.86</v>
      </c>
      <c r="J850" s="15"/>
    </row>
    <row r="851" ht="13.5" customHeight="1">
      <c r="A851" s="16" t="s">
        <v>11</v>
      </c>
      <c r="B851" s="16" t="s">
        <v>140</v>
      </c>
      <c r="C851" s="29" t="s">
        <v>1035</v>
      </c>
      <c r="D851" s="16" t="s">
        <v>1031</v>
      </c>
      <c r="E851" s="16" t="s">
        <v>1036</v>
      </c>
      <c r="F851" s="18">
        <v>43337.14</v>
      </c>
      <c r="G851" s="18">
        <v>0.0</v>
      </c>
      <c r="H851" s="25">
        <f t="shared" si="3"/>
        <v>43337.14</v>
      </c>
      <c r="J851" s="15"/>
    </row>
    <row r="852" ht="13.5" customHeight="1">
      <c r="A852" s="16" t="s">
        <v>11</v>
      </c>
      <c r="B852" s="16" t="s">
        <v>140</v>
      </c>
      <c r="C852" s="29" t="s">
        <v>189</v>
      </c>
      <c r="D852" s="16" t="s">
        <v>1031</v>
      </c>
      <c r="E852" s="24" t="s">
        <v>1037</v>
      </c>
      <c r="F852" s="18">
        <v>26394.35</v>
      </c>
      <c r="G852" s="18">
        <f>F852</f>
        <v>26394.35</v>
      </c>
      <c r="H852" s="25">
        <f t="shared" si="3"/>
        <v>0</v>
      </c>
      <c r="J852" s="15"/>
    </row>
    <row r="853" ht="13.5" customHeight="1">
      <c r="A853" s="16" t="s">
        <v>11</v>
      </c>
      <c r="B853" s="16" t="s">
        <v>140</v>
      </c>
      <c r="C853" s="29" t="s">
        <v>96</v>
      </c>
      <c r="D853" s="16" t="s">
        <v>1031</v>
      </c>
      <c r="E853" s="16" t="s">
        <v>1038</v>
      </c>
      <c r="F853" s="18">
        <v>17334.86</v>
      </c>
      <c r="G853" s="30">
        <v>0.0</v>
      </c>
      <c r="H853" s="25">
        <f t="shared" si="3"/>
        <v>17334.86</v>
      </c>
      <c r="J853" s="15"/>
    </row>
    <row r="854" ht="13.5" customHeight="1">
      <c r="A854" s="16" t="s">
        <v>11</v>
      </c>
      <c r="B854" s="16" t="s">
        <v>140</v>
      </c>
      <c r="C854" s="29" t="s">
        <v>189</v>
      </c>
      <c r="D854" s="16" t="s">
        <v>1031</v>
      </c>
      <c r="E854" s="16" t="s">
        <v>1039</v>
      </c>
      <c r="F854" s="18">
        <v>12038.0</v>
      </c>
      <c r="G854" s="18">
        <f t="shared" ref="G854:G855" si="4">F854</f>
        <v>12038</v>
      </c>
      <c r="H854" s="25">
        <f t="shared" si="3"/>
        <v>0</v>
      </c>
      <c r="J854" s="15"/>
    </row>
    <row r="855" ht="13.5" customHeight="1">
      <c r="A855" s="16" t="s">
        <v>11</v>
      </c>
      <c r="B855" s="16" t="s">
        <v>140</v>
      </c>
      <c r="C855" s="29" t="s">
        <v>189</v>
      </c>
      <c r="D855" s="16" t="s">
        <v>1031</v>
      </c>
      <c r="E855" s="16" t="s">
        <v>1040</v>
      </c>
      <c r="F855" s="18">
        <v>9750.86</v>
      </c>
      <c r="G855" s="18">
        <f t="shared" si="4"/>
        <v>9750.86</v>
      </c>
      <c r="H855" s="25">
        <f t="shared" si="3"/>
        <v>0</v>
      </c>
      <c r="J855" s="15"/>
    </row>
    <row r="856" ht="13.5" customHeight="1">
      <c r="A856" s="16" t="s">
        <v>11</v>
      </c>
      <c r="B856" s="16" t="s">
        <v>140</v>
      </c>
      <c r="C856" s="29" t="s">
        <v>1035</v>
      </c>
      <c r="D856" s="16" t="s">
        <v>1031</v>
      </c>
      <c r="E856" s="16" t="s">
        <v>1041</v>
      </c>
      <c r="F856" s="18">
        <v>8704.0</v>
      </c>
      <c r="G856" s="18">
        <v>0.0</v>
      </c>
      <c r="H856" s="25">
        <f t="shared" si="3"/>
        <v>8704</v>
      </c>
      <c r="J856" s="15"/>
    </row>
    <row r="857" ht="13.5" customHeight="1">
      <c r="A857" s="16" t="s">
        <v>11</v>
      </c>
      <c r="B857" s="16" t="s">
        <v>140</v>
      </c>
      <c r="C857" s="29" t="s">
        <v>148</v>
      </c>
      <c r="D857" s="16" t="s">
        <v>1031</v>
      </c>
      <c r="E857" s="16" t="s">
        <v>1042</v>
      </c>
      <c r="F857" s="18">
        <v>8667.43</v>
      </c>
      <c r="G857" s="18">
        <v>0.0</v>
      </c>
      <c r="H857" s="25">
        <f t="shared" si="3"/>
        <v>8667.43</v>
      </c>
      <c r="J857" s="15"/>
    </row>
    <row r="858" ht="13.5" customHeight="1">
      <c r="A858" s="20" t="s">
        <v>6</v>
      </c>
      <c r="B858" s="21" t="s">
        <v>1043</v>
      </c>
      <c r="C858" s="22" t="s">
        <v>126</v>
      </c>
      <c r="D858" s="21" t="s">
        <v>1044</v>
      </c>
      <c r="E858" s="21" t="s">
        <v>1045</v>
      </c>
      <c r="F858" s="23">
        <v>25288.0</v>
      </c>
      <c r="G858" s="23">
        <v>25288.0</v>
      </c>
      <c r="H858" s="23">
        <f t="shared" si="3"/>
        <v>0</v>
      </c>
      <c r="J858" s="15"/>
    </row>
    <row r="859" ht="13.5" customHeight="1">
      <c r="A859" s="16" t="s">
        <v>11</v>
      </c>
      <c r="B859" s="16" t="s">
        <v>140</v>
      </c>
      <c r="C859" s="29" t="s">
        <v>660</v>
      </c>
      <c r="D859" s="16" t="s">
        <v>1031</v>
      </c>
      <c r="E859" s="16" t="s">
        <v>1046</v>
      </c>
      <c r="F859" s="18">
        <v>12221.11</v>
      </c>
      <c r="G859" s="18">
        <f>+Datos!$F859</f>
        <v>12221.11</v>
      </c>
      <c r="H859" s="25">
        <f t="shared" si="3"/>
        <v>0</v>
      </c>
      <c r="J859" s="15"/>
    </row>
    <row r="860" ht="13.5" customHeight="1">
      <c r="A860" s="16" t="s">
        <v>11</v>
      </c>
      <c r="B860" s="16" t="s">
        <v>140</v>
      </c>
      <c r="C860" s="29" t="s">
        <v>212</v>
      </c>
      <c r="D860" s="16" t="s">
        <v>1031</v>
      </c>
      <c r="E860" s="24" t="s">
        <v>1047</v>
      </c>
      <c r="F860" s="18">
        <v>8054.98</v>
      </c>
      <c r="G860" s="18">
        <f>+Datos!$F860</f>
        <v>8054.98</v>
      </c>
      <c r="H860" s="25">
        <f t="shared" si="3"/>
        <v>0</v>
      </c>
      <c r="J860" s="15"/>
    </row>
    <row r="861" ht="13.5" customHeight="1">
      <c r="A861" s="16" t="s">
        <v>11</v>
      </c>
      <c r="B861" s="16" t="s">
        <v>140</v>
      </c>
      <c r="C861" s="29" t="s">
        <v>212</v>
      </c>
      <c r="D861" s="16" t="s">
        <v>1031</v>
      </c>
      <c r="E861" s="16" t="s">
        <v>1048</v>
      </c>
      <c r="F861" s="18">
        <v>6479.57</v>
      </c>
      <c r="G861" s="18">
        <f>+Datos!$F861</f>
        <v>6479.57</v>
      </c>
      <c r="H861" s="25">
        <f t="shared" si="3"/>
        <v>0</v>
      </c>
      <c r="J861" s="15"/>
    </row>
    <row r="862" ht="13.5" customHeight="1">
      <c r="A862" s="16" t="s">
        <v>11</v>
      </c>
      <c r="B862" s="16" t="s">
        <v>140</v>
      </c>
      <c r="C862" s="29" t="s">
        <v>212</v>
      </c>
      <c r="D862" s="16" t="s">
        <v>1031</v>
      </c>
      <c r="E862" s="16" t="s">
        <v>1049</v>
      </c>
      <c r="F862" s="18">
        <v>5079.4</v>
      </c>
      <c r="G862" s="18">
        <f>+Datos!$F862</f>
        <v>5079.4</v>
      </c>
      <c r="H862" s="25">
        <f t="shared" si="3"/>
        <v>0</v>
      </c>
      <c r="J862" s="15"/>
    </row>
    <row r="863" ht="13.5" customHeight="1">
      <c r="A863" s="16" t="s">
        <v>11</v>
      </c>
      <c r="B863" s="16" t="s">
        <v>140</v>
      </c>
      <c r="C863" s="29" t="s">
        <v>217</v>
      </c>
      <c r="D863" s="16" t="s">
        <v>1031</v>
      </c>
      <c r="E863" s="16" t="s">
        <v>1050</v>
      </c>
      <c r="F863" s="18">
        <v>43180.0</v>
      </c>
      <c r="G863" s="18">
        <f>+Datos!$F863</f>
        <v>43180</v>
      </c>
      <c r="H863" s="25">
        <f t="shared" si="3"/>
        <v>0</v>
      </c>
      <c r="J863" s="15"/>
    </row>
    <row r="864" ht="13.5" customHeight="1">
      <c r="A864" s="16" t="s">
        <v>11</v>
      </c>
      <c r="B864" s="16" t="s">
        <v>140</v>
      </c>
      <c r="C864" s="29" t="s">
        <v>1051</v>
      </c>
      <c r="D864" s="16" t="s">
        <v>1031</v>
      </c>
      <c r="E864" s="24" t="s">
        <v>1052</v>
      </c>
      <c r="F864" s="18">
        <v>9505.0</v>
      </c>
      <c r="G864" s="18">
        <v>9505.0</v>
      </c>
      <c r="H864" s="18">
        <f t="shared" si="3"/>
        <v>0</v>
      </c>
      <c r="J864" s="15"/>
    </row>
    <row r="865" ht="13.5" customHeight="1">
      <c r="A865" s="16" t="s">
        <v>11</v>
      </c>
      <c r="B865" s="16" t="s">
        <v>140</v>
      </c>
      <c r="C865" s="29" t="s">
        <v>288</v>
      </c>
      <c r="D865" s="16" t="s">
        <v>1031</v>
      </c>
      <c r="E865" s="24" t="s">
        <v>1053</v>
      </c>
      <c r="F865" s="18">
        <v>17395.03</v>
      </c>
      <c r="G865" s="18">
        <f>+Datos!$F865</f>
        <v>17395.03</v>
      </c>
      <c r="H865" s="25">
        <f t="shared" si="3"/>
        <v>0</v>
      </c>
      <c r="J865" s="15"/>
    </row>
    <row r="866" ht="13.5" customHeight="1">
      <c r="A866" s="16" t="s">
        <v>11</v>
      </c>
      <c r="B866" s="16" t="s">
        <v>140</v>
      </c>
      <c r="C866" s="29" t="s">
        <v>444</v>
      </c>
      <c r="D866" s="16" t="s">
        <v>1031</v>
      </c>
      <c r="E866" s="24" t="s">
        <v>1054</v>
      </c>
      <c r="F866" s="18">
        <v>33536.25</v>
      </c>
      <c r="G866" s="18">
        <v>33536.25</v>
      </c>
      <c r="H866" s="18">
        <f t="shared" si="3"/>
        <v>0</v>
      </c>
      <c r="J866" s="15"/>
    </row>
    <row r="867" ht="13.5" customHeight="1">
      <c r="A867" s="16" t="s">
        <v>11</v>
      </c>
      <c r="B867" s="16" t="s">
        <v>140</v>
      </c>
      <c r="C867" s="29" t="s">
        <v>444</v>
      </c>
      <c r="D867" s="16" t="s">
        <v>1031</v>
      </c>
      <c r="E867" s="16" t="s">
        <v>1055</v>
      </c>
      <c r="F867" s="18">
        <v>3611.3</v>
      </c>
      <c r="G867" s="18">
        <v>3611.3</v>
      </c>
      <c r="H867" s="18">
        <f t="shared" si="3"/>
        <v>0</v>
      </c>
      <c r="J867" s="15"/>
    </row>
    <row r="868" ht="13.5" customHeight="1">
      <c r="A868" s="16" t="s">
        <v>11</v>
      </c>
      <c r="B868" s="16" t="s">
        <v>140</v>
      </c>
      <c r="C868" s="29" t="s">
        <v>444</v>
      </c>
      <c r="D868" s="16" t="s">
        <v>1031</v>
      </c>
      <c r="E868" s="16" t="s">
        <v>1056</v>
      </c>
      <c r="F868" s="18">
        <v>70000.0</v>
      </c>
      <c r="G868" s="18">
        <v>70000.0</v>
      </c>
      <c r="H868" s="18">
        <f t="shared" si="3"/>
        <v>0</v>
      </c>
      <c r="J868" s="15"/>
    </row>
    <row r="869" ht="13.5" customHeight="1">
      <c r="A869" s="16" t="s">
        <v>11</v>
      </c>
      <c r="B869" s="16" t="s">
        <v>140</v>
      </c>
      <c r="C869" s="29" t="s">
        <v>444</v>
      </c>
      <c r="D869" s="16" t="s">
        <v>1031</v>
      </c>
      <c r="E869" s="16" t="s">
        <v>1057</v>
      </c>
      <c r="F869" s="18">
        <v>6480.0</v>
      </c>
      <c r="G869" s="18">
        <v>6480.0</v>
      </c>
      <c r="H869" s="18">
        <f t="shared" si="3"/>
        <v>0</v>
      </c>
      <c r="J869" s="15"/>
    </row>
    <row r="870" ht="13.5" customHeight="1">
      <c r="A870" s="16" t="s">
        <v>11</v>
      </c>
      <c r="B870" s="16" t="s">
        <v>140</v>
      </c>
      <c r="C870" s="29" t="s">
        <v>444</v>
      </c>
      <c r="D870" s="16" t="s">
        <v>1031</v>
      </c>
      <c r="E870" s="24" t="s">
        <v>1058</v>
      </c>
      <c r="F870" s="18">
        <v>71746.4</v>
      </c>
      <c r="G870" s="18">
        <v>71746.4</v>
      </c>
      <c r="H870" s="18">
        <f t="shared" si="3"/>
        <v>0</v>
      </c>
      <c r="J870" s="15"/>
    </row>
    <row r="871" ht="13.5" customHeight="1">
      <c r="A871" s="16" t="s">
        <v>11</v>
      </c>
      <c r="B871" s="16" t="s">
        <v>140</v>
      </c>
      <c r="C871" s="29" t="s">
        <v>444</v>
      </c>
      <c r="D871" s="16" t="s">
        <v>1031</v>
      </c>
      <c r="E871" s="24" t="s">
        <v>1059</v>
      </c>
      <c r="F871" s="18">
        <v>30895.0</v>
      </c>
      <c r="G871" s="18">
        <v>30895.0</v>
      </c>
      <c r="H871" s="18">
        <f t="shared" si="3"/>
        <v>0</v>
      </c>
      <c r="J871" s="15"/>
    </row>
    <row r="872" ht="13.5" customHeight="1">
      <c r="A872" s="16" t="s">
        <v>11</v>
      </c>
      <c r="B872" s="16" t="s">
        <v>140</v>
      </c>
      <c r="C872" s="29" t="s">
        <v>444</v>
      </c>
      <c r="D872" s="16" t="s">
        <v>1031</v>
      </c>
      <c r="E872" s="16" t="s">
        <v>1060</v>
      </c>
      <c r="F872" s="18">
        <v>6045.0</v>
      </c>
      <c r="G872" s="18">
        <v>6045.0</v>
      </c>
      <c r="H872" s="18">
        <f t="shared" si="3"/>
        <v>0</v>
      </c>
      <c r="J872" s="15"/>
    </row>
    <row r="873" ht="13.5" customHeight="1">
      <c r="A873" s="16" t="s">
        <v>11</v>
      </c>
      <c r="B873" s="16" t="s">
        <v>140</v>
      </c>
      <c r="C873" s="29" t="s">
        <v>444</v>
      </c>
      <c r="D873" s="16" t="s">
        <v>1031</v>
      </c>
      <c r="E873" s="16" t="s">
        <v>1061</v>
      </c>
      <c r="F873" s="18">
        <v>11340.0</v>
      </c>
      <c r="G873" s="18">
        <v>11340.0</v>
      </c>
      <c r="H873" s="18">
        <f t="shared" si="3"/>
        <v>0</v>
      </c>
      <c r="J873" s="15"/>
    </row>
    <row r="874" ht="13.5" customHeight="1">
      <c r="A874" s="16" t="s">
        <v>11</v>
      </c>
      <c r="B874" s="16" t="s">
        <v>140</v>
      </c>
      <c r="C874" s="29" t="s">
        <v>444</v>
      </c>
      <c r="D874" s="16" t="s">
        <v>1031</v>
      </c>
      <c r="E874" s="16" t="s">
        <v>1062</v>
      </c>
      <c r="F874" s="18">
        <v>8682.02</v>
      </c>
      <c r="G874" s="18">
        <v>8682.02</v>
      </c>
      <c r="H874" s="18">
        <f t="shared" si="3"/>
        <v>0</v>
      </c>
      <c r="J874" s="15"/>
    </row>
    <row r="875" ht="13.5" customHeight="1">
      <c r="A875" s="16" t="s">
        <v>11</v>
      </c>
      <c r="B875" s="16" t="s">
        <v>140</v>
      </c>
      <c r="C875" s="29" t="s">
        <v>444</v>
      </c>
      <c r="D875" s="16" t="s">
        <v>1031</v>
      </c>
      <c r="E875" s="24" t="s">
        <v>1063</v>
      </c>
      <c r="F875" s="18">
        <v>7081.3</v>
      </c>
      <c r="G875" s="18">
        <v>7081.3</v>
      </c>
      <c r="H875" s="18">
        <f t="shared" si="3"/>
        <v>0</v>
      </c>
      <c r="J875" s="15"/>
    </row>
    <row r="876" ht="13.5" customHeight="1">
      <c r="A876" s="16" t="s">
        <v>11</v>
      </c>
      <c r="B876" s="16" t="s">
        <v>140</v>
      </c>
      <c r="C876" s="29" t="s">
        <v>1064</v>
      </c>
      <c r="D876" s="16" t="s">
        <v>1031</v>
      </c>
      <c r="E876" s="16" t="s">
        <v>1065</v>
      </c>
      <c r="F876" s="18">
        <v>91838.4</v>
      </c>
      <c r="G876" s="18">
        <f>+Datos!$F876</f>
        <v>91838.4</v>
      </c>
      <c r="H876" s="19">
        <f t="shared" si="3"/>
        <v>0</v>
      </c>
      <c r="J876" s="15"/>
    </row>
    <row r="877" ht="13.5" customHeight="1">
      <c r="A877" s="16" t="s">
        <v>11</v>
      </c>
      <c r="B877" s="16" t="s">
        <v>140</v>
      </c>
      <c r="C877" s="29" t="s">
        <v>1064</v>
      </c>
      <c r="D877" s="16" t="s">
        <v>1031</v>
      </c>
      <c r="E877" s="16" t="s">
        <v>457</v>
      </c>
      <c r="F877" s="18">
        <v>49288.5</v>
      </c>
      <c r="G877" s="18">
        <v>49288.5</v>
      </c>
      <c r="H877" s="18">
        <f t="shared" si="3"/>
        <v>0</v>
      </c>
      <c r="J877" s="15"/>
    </row>
    <row r="878" ht="13.5" customHeight="1">
      <c r="A878" s="16" t="s">
        <v>11</v>
      </c>
      <c r="B878" s="16" t="s">
        <v>140</v>
      </c>
      <c r="C878" s="29" t="s">
        <v>1064</v>
      </c>
      <c r="D878" s="16" t="s">
        <v>1031</v>
      </c>
      <c r="E878" s="16" t="s">
        <v>1066</v>
      </c>
      <c r="F878" s="18">
        <v>19426.0</v>
      </c>
      <c r="G878" s="18">
        <v>19426.0</v>
      </c>
      <c r="H878" s="18">
        <f t="shared" si="3"/>
        <v>0</v>
      </c>
      <c r="J878" s="15"/>
    </row>
    <row r="879" ht="13.5" customHeight="1">
      <c r="A879" s="16" t="s">
        <v>11</v>
      </c>
      <c r="B879" s="16" t="s">
        <v>140</v>
      </c>
      <c r="C879" s="29" t="s">
        <v>1064</v>
      </c>
      <c r="D879" s="16" t="s">
        <v>1031</v>
      </c>
      <c r="E879" s="16" t="s">
        <v>1067</v>
      </c>
      <c r="F879" s="18">
        <v>65605.45</v>
      </c>
      <c r="G879" s="18">
        <v>65605.45</v>
      </c>
      <c r="H879" s="18">
        <f t="shared" si="3"/>
        <v>0</v>
      </c>
      <c r="J879" s="15"/>
    </row>
    <row r="880" ht="13.5" customHeight="1">
      <c r="A880" s="16" t="s">
        <v>11</v>
      </c>
      <c r="B880" s="16" t="s">
        <v>140</v>
      </c>
      <c r="C880" s="29" t="s">
        <v>1064</v>
      </c>
      <c r="D880" s="16" t="s">
        <v>1031</v>
      </c>
      <c r="E880" s="16" t="s">
        <v>1068</v>
      </c>
      <c r="F880" s="18">
        <v>293.6</v>
      </c>
      <c r="G880" s="18">
        <v>293.6</v>
      </c>
      <c r="H880" s="18">
        <f t="shared" si="3"/>
        <v>0</v>
      </c>
      <c r="J880" s="15"/>
    </row>
    <row r="881" ht="13.5" customHeight="1">
      <c r="A881" s="16" t="s">
        <v>11</v>
      </c>
      <c r="B881" s="16" t="s">
        <v>140</v>
      </c>
      <c r="C881" s="29" t="s">
        <v>1064</v>
      </c>
      <c r="D881" s="16" t="s">
        <v>1031</v>
      </c>
      <c r="E881" s="24" t="s">
        <v>1069</v>
      </c>
      <c r="F881" s="18">
        <v>49288.5</v>
      </c>
      <c r="G881" s="18">
        <v>49288.5</v>
      </c>
      <c r="H881" s="18">
        <f t="shared" si="3"/>
        <v>0</v>
      </c>
      <c r="J881" s="15"/>
    </row>
    <row r="882" ht="13.5" customHeight="1">
      <c r="A882" s="16" t="s">
        <v>11</v>
      </c>
      <c r="B882" s="16" t="s">
        <v>140</v>
      </c>
      <c r="C882" s="29" t="s">
        <v>1064</v>
      </c>
      <c r="D882" s="16" t="s">
        <v>1031</v>
      </c>
      <c r="E882" s="16" t="s">
        <v>1070</v>
      </c>
      <c r="F882" s="18">
        <v>14387.89</v>
      </c>
      <c r="G882" s="18">
        <v>14387.89</v>
      </c>
      <c r="H882" s="18">
        <f t="shared" si="3"/>
        <v>0</v>
      </c>
      <c r="J882" s="15"/>
    </row>
    <row r="883" ht="13.5" customHeight="1">
      <c r="A883" s="16" t="s">
        <v>11</v>
      </c>
      <c r="B883" s="16" t="s">
        <v>140</v>
      </c>
      <c r="C883" s="29" t="s">
        <v>1064</v>
      </c>
      <c r="D883" s="16" t="s">
        <v>1031</v>
      </c>
      <c r="E883" s="24" t="s">
        <v>1071</v>
      </c>
      <c r="F883" s="18">
        <v>29050.93</v>
      </c>
      <c r="G883" s="18">
        <v>29050.93</v>
      </c>
      <c r="H883" s="18">
        <f t="shared" si="3"/>
        <v>0</v>
      </c>
      <c r="J883" s="15"/>
    </row>
    <row r="884" ht="13.5" customHeight="1">
      <c r="A884" s="16" t="s">
        <v>11</v>
      </c>
      <c r="B884" s="16" t="s">
        <v>140</v>
      </c>
      <c r="C884" s="29" t="s">
        <v>1064</v>
      </c>
      <c r="D884" s="16" t="s">
        <v>1031</v>
      </c>
      <c r="E884" s="16" t="s">
        <v>1072</v>
      </c>
      <c r="F884" s="18">
        <v>23760.0</v>
      </c>
      <c r="G884" s="18">
        <v>23760.0</v>
      </c>
      <c r="H884" s="18">
        <f t="shared" si="3"/>
        <v>0</v>
      </c>
      <c r="J884" s="15"/>
    </row>
    <row r="885" ht="13.5" customHeight="1">
      <c r="A885" s="16" t="s">
        <v>11</v>
      </c>
      <c r="B885" s="16" t="s">
        <v>140</v>
      </c>
      <c r="C885" s="29" t="s">
        <v>1064</v>
      </c>
      <c r="D885" s="16" t="s">
        <v>1031</v>
      </c>
      <c r="E885" s="24" t="s">
        <v>1073</v>
      </c>
      <c r="F885" s="18">
        <v>22179.2</v>
      </c>
      <c r="G885" s="18">
        <v>22179.2</v>
      </c>
      <c r="H885" s="18">
        <f t="shared" si="3"/>
        <v>0</v>
      </c>
      <c r="J885" s="15"/>
    </row>
    <row r="886" ht="13.5" customHeight="1">
      <c r="A886" s="16" t="s">
        <v>11</v>
      </c>
      <c r="B886" s="16" t="s">
        <v>140</v>
      </c>
      <c r="C886" s="29" t="s">
        <v>1064</v>
      </c>
      <c r="D886" s="16" t="s">
        <v>1031</v>
      </c>
      <c r="E886" s="16" t="s">
        <v>1074</v>
      </c>
      <c r="F886" s="18">
        <v>9689.73</v>
      </c>
      <c r="G886" s="18">
        <v>9689.73</v>
      </c>
      <c r="H886" s="18">
        <f t="shared" si="3"/>
        <v>0</v>
      </c>
      <c r="J886" s="15"/>
    </row>
    <row r="887" ht="13.5" customHeight="1">
      <c r="A887" s="16" t="s">
        <v>11</v>
      </c>
      <c r="B887" s="16" t="s">
        <v>140</v>
      </c>
      <c r="C887" s="29" t="s">
        <v>1064</v>
      </c>
      <c r="D887" s="16" t="s">
        <v>1031</v>
      </c>
      <c r="E887" s="16" t="s">
        <v>1075</v>
      </c>
      <c r="F887" s="18">
        <v>5100.0</v>
      </c>
      <c r="G887" s="18">
        <v>5100.0</v>
      </c>
      <c r="H887" s="18">
        <f t="shared" si="3"/>
        <v>0</v>
      </c>
      <c r="J887" s="15"/>
    </row>
    <row r="888" ht="13.5" customHeight="1">
      <c r="A888" s="16" t="s">
        <v>11</v>
      </c>
      <c r="B888" s="16" t="s">
        <v>140</v>
      </c>
      <c r="C888" s="29" t="s">
        <v>1064</v>
      </c>
      <c r="D888" s="16" t="s">
        <v>1031</v>
      </c>
      <c r="E888" s="24" t="s">
        <v>1076</v>
      </c>
      <c r="F888" s="18">
        <v>18828.17</v>
      </c>
      <c r="G888" s="18">
        <v>18828.17</v>
      </c>
      <c r="H888" s="18">
        <f t="shared" si="3"/>
        <v>0</v>
      </c>
      <c r="J888" s="15"/>
    </row>
    <row r="889" ht="13.5" customHeight="1">
      <c r="A889" s="16" t="s">
        <v>11</v>
      </c>
      <c r="B889" s="16" t="s">
        <v>140</v>
      </c>
      <c r="C889" s="29" t="s">
        <v>189</v>
      </c>
      <c r="D889" s="16" t="s">
        <v>1031</v>
      </c>
      <c r="E889" s="16" t="s">
        <v>1077</v>
      </c>
      <c r="F889" s="18">
        <v>8619.92</v>
      </c>
      <c r="G889" s="18">
        <f>+Datos!$F889</f>
        <v>8619.92</v>
      </c>
      <c r="H889" s="25">
        <f t="shared" si="3"/>
        <v>0</v>
      </c>
      <c r="J889" s="15"/>
    </row>
    <row r="890" ht="13.5" customHeight="1">
      <c r="A890" s="16" t="s">
        <v>11</v>
      </c>
      <c r="B890" s="16" t="s">
        <v>140</v>
      </c>
      <c r="C890" s="29" t="s">
        <v>189</v>
      </c>
      <c r="D890" s="16" t="s">
        <v>1031</v>
      </c>
      <c r="E890" s="16" t="s">
        <v>1078</v>
      </c>
      <c r="F890" s="18">
        <v>7584.0</v>
      </c>
      <c r="G890" s="18">
        <f>+Datos!$F890</f>
        <v>7584</v>
      </c>
      <c r="H890" s="25">
        <f t="shared" si="3"/>
        <v>0</v>
      </c>
      <c r="J890" s="15"/>
    </row>
    <row r="891" ht="13.5" customHeight="1">
      <c r="A891" s="16" t="s">
        <v>11</v>
      </c>
      <c r="B891" s="16" t="s">
        <v>140</v>
      </c>
      <c r="C891" s="29" t="s">
        <v>189</v>
      </c>
      <c r="D891" s="16" t="s">
        <v>1031</v>
      </c>
      <c r="E891" s="16" t="s">
        <v>1079</v>
      </c>
      <c r="F891" s="18">
        <v>1336.16</v>
      </c>
      <c r="G891" s="18">
        <f>+Datos!$F891</f>
        <v>1336.16</v>
      </c>
      <c r="H891" s="25">
        <f t="shared" si="3"/>
        <v>0</v>
      </c>
      <c r="J891" s="15"/>
    </row>
    <row r="892" ht="13.5" customHeight="1">
      <c r="A892" s="16" t="s">
        <v>11</v>
      </c>
      <c r="B892" s="16" t="s">
        <v>140</v>
      </c>
      <c r="C892" s="29" t="s">
        <v>506</v>
      </c>
      <c r="D892" s="16" t="s">
        <v>1031</v>
      </c>
      <c r="E892" s="16" t="s">
        <v>1080</v>
      </c>
      <c r="F892" s="18">
        <v>30220.8</v>
      </c>
      <c r="G892" s="18">
        <v>30220.8</v>
      </c>
      <c r="H892" s="18">
        <f t="shared" si="3"/>
        <v>0</v>
      </c>
      <c r="J892" s="15"/>
    </row>
    <row r="893" ht="13.5" customHeight="1">
      <c r="A893" s="16" t="s">
        <v>11</v>
      </c>
      <c r="B893" s="16" t="s">
        <v>140</v>
      </c>
      <c r="C893" s="29" t="s">
        <v>506</v>
      </c>
      <c r="D893" s="16" t="s">
        <v>1031</v>
      </c>
      <c r="E893" s="24" t="s">
        <v>1081</v>
      </c>
      <c r="F893" s="18">
        <v>4306.3</v>
      </c>
      <c r="G893" s="18">
        <v>4306.3</v>
      </c>
      <c r="H893" s="18">
        <f t="shared" si="3"/>
        <v>0</v>
      </c>
      <c r="J893" s="15"/>
    </row>
    <row r="894" ht="13.5" customHeight="1">
      <c r="A894" s="16" t="s">
        <v>11</v>
      </c>
      <c r="B894" s="16" t="s">
        <v>140</v>
      </c>
      <c r="C894" s="29" t="s">
        <v>506</v>
      </c>
      <c r="D894" s="16" t="s">
        <v>1031</v>
      </c>
      <c r="E894" s="24" t="s">
        <v>1082</v>
      </c>
      <c r="F894" s="18">
        <v>32472.8</v>
      </c>
      <c r="G894" s="18">
        <v>32472.8</v>
      </c>
      <c r="H894" s="18">
        <f t="shared" si="3"/>
        <v>0</v>
      </c>
      <c r="J894" s="15"/>
    </row>
    <row r="895" ht="13.5" customHeight="1">
      <c r="A895" s="16" t="s">
        <v>11</v>
      </c>
      <c r="B895" s="16" t="s">
        <v>140</v>
      </c>
      <c r="C895" s="29" t="s">
        <v>506</v>
      </c>
      <c r="D895" s="16" t="s">
        <v>1031</v>
      </c>
      <c r="E895" s="16" t="s">
        <v>1083</v>
      </c>
      <c r="F895" s="18">
        <v>17297.6</v>
      </c>
      <c r="G895" s="18">
        <v>17297.6</v>
      </c>
      <c r="H895" s="18">
        <f t="shared" si="3"/>
        <v>0</v>
      </c>
      <c r="J895" s="15"/>
    </row>
    <row r="896" ht="13.5" customHeight="1">
      <c r="A896" s="16" t="s">
        <v>11</v>
      </c>
      <c r="B896" s="16" t="s">
        <v>140</v>
      </c>
      <c r="C896" s="29" t="s">
        <v>191</v>
      </c>
      <c r="D896" s="16" t="s">
        <v>1031</v>
      </c>
      <c r="E896" s="16" t="s">
        <v>1084</v>
      </c>
      <c r="F896" s="18">
        <v>4240.0</v>
      </c>
      <c r="G896" s="18">
        <v>4240.0</v>
      </c>
      <c r="H896" s="18">
        <f t="shared" si="3"/>
        <v>0</v>
      </c>
      <c r="J896" s="15"/>
    </row>
    <row r="897" ht="13.5" customHeight="1">
      <c r="A897" s="16" t="s">
        <v>11</v>
      </c>
      <c r="B897" s="16" t="s">
        <v>140</v>
      </c>
      <c r="C897" s="29" t="s">
        <v>191</v>
      </c>
      <c r="D897" s="16" t="s">
        <v>1031</v>
      </c>
      <c r="E897" s="24" t="s">
        <v>1085</v>
      </c>
      <c r="F897" s="18">
        <v>40140.8</v>
      </c>
      <c r="G897" s="18">
        <v>40140.8</v>
      </c>
      <c r="H897" s="18">
        <f t="shared" si="3"/>
        <v>0</v>
      </c>
      <c r="J897" s="15"/>
    </row>
    <row r="898" ht="13.5" customHeight="1">
      <c r="A898" s="16" t="s">
        <v>11</v>
      </c>
      <c r="B898" s="16" t="s">
        <v>140</v>
      </c>
      <c r="C898" s="29" t="s">
        <v>873</v>
      </c>
      <c r="D898" s="16" t="s">
        <v>1031</v>
      </c>
      <c r="E898" s="24" t="s">
        <v>1086</v>
      </c>
      <c r="F898" s="18">
        <v>10930.0</v>
      </c>
      <c r="G898" s="18">
        <v>10930.0</v>
      </c>
      <c r="H898" s="18">
        <f t="shared" si="3"/>
        <v>0</v>
      </c>
      <c r="J898" s="15"/>
    </row>
    <row r="899" ht="13.5" customHeight="1">
      <c r="A899" s="16" t="s">
        <v>11</v>
      </c>
      <c r="B899" s="16" t="s">
        <v>140</v>
      </c>
      <c r="C899" s="29" t="s">
        <v>473</v>
      </c>
      <c r="D899" s="16" t="s">
        <v>1031</v>
      </c>
      <c r="E899" s="16" t="s">
        <v>1087</v>
      </c>
      <c r="F899" s="18">
        <v>8667.43</v>
      </c>
      <c r="G899" s="18">
        <f>+Datos!$F899</f>
        <v>8667.43</v>
      </c>
      <c r="H899" s="25">
        <f t="shared" si="3"/>
        <v>0</v>
      </c>
      <c r="J899" s="15"/>
    </row>
    <row r="900" ht="13.5" customHeight="1">
      <c r="A900" s="16" t="s">
        <v>11</v>
      </c>
      <c r="B900" s="16" t="s">
        <v>140</v>
      </c>
      <c r="C900" s="29" t="s">
        <v>473</v>
      </c>
      <c r="D900" s="16" t="s">
        <v>1031</v>
      </c>
      <c r="E900" s="16" t="s">
        <v>1088</v>
      </c>
      <c r="F900" s="18">
        <v>4333.71</v>
      </c>
      <c r="G900" s="18">
        <f>+Datos!$F900</f>
        <v>4333.71</v>
      </c>
      <c r="H900" s="25">
        <f t="shared" si="3"/>
        <v>0</v>
      </c>
      <c r="J900" s="15"/>
    </row>
    <row r="901" ht="13.5" customHeight="1">
      <c r="A901" s="16" t="s">
        <v>11</v>
      </c>
      <c r="B901" s="16" t="s">
        <v>140</v>
      </c>
      <c r="C901" s="29" t="s">
        <v>878</v>
      </c>
      <c r="D901" s="16" t="s">
        <v>1031</v>
      </c>
      <c r="E901" s="24" t="s">
        <v>1089</v>
      </c>
      <c r="F901" s="18">
        <v>15206.4</v>
      </c>
      <c r="G901" s="18">
        <v>15206.4</v>
      </c>
      <c r="H901" s="18">
        <f t="shared" si="3"/>
        <v>0</v>
      </c>
      <c r="J901" s="15"/>
    </row>
    <row r="902" ht="13.5" customHeight="1">
      <c r="A902" s="16" t="s">
        <v>11</v>
      </c>
      <c r="B902" s="16" t="s">
        <v>140</v>
      </c>
      <c r="C902" s="29" t="s">
        <v>878</v>
      </c>
      <c r="D902" s="16" t="s">
        <v>1031</v>
      </c>
      <c r="E902" s="24" t="s">
        <v>1090</v>
      </c>
      <c r="F902" s="18">
        <v>71966.8</v>
      </c>
      <c r="G902" s="18">
        <v>71966.8</v>
      </c>
      <c r="H902" s="18">
        <f t="shared" si="3"/>
        <v>0</v>
      </c>
      <c r="J902" s="15"/>
    </row>
    <row r="903" ht="13.5" customHeight="1">
      <c r="A903" s="16" t="s">
        <v>11</v>
      </c>
      <c r="B903" s="16" t="s">
        <v>140</v>
      </c>
      <c r="C903" s="29" t="s">
        <v>878</v>
      </c>
      <c r="D903" s="16" t="s">
        <v>1031</v>
      </c>
      <c r="E903" s="24" t="s">
        <v>1091</v>
      </c>
      <c r="F903" s="18">
        <v>88771.0</v>
      </c>
      <c r="G903" s="18">
        <v>88771.0</v>
      </c>
      <c r="H903" s="18">
        <f t="shared" si="3"/>
        <v>0</v>
      </c>
      <c r="J903" s="15"/>
    </row>
    <row r="904" ht="13.5" customHeight="1">
      <c r="A904" s="16" t="s">
        <v>11</v>
      </c>
      <c r="B904" s="16" t="s">
        <v>140</v>
      </c>
      <c r="C904" s="29" t="s">
        <v>878</v>
      </c>
      <c r="D904" s="16" t="s">
        <v>1031</v>
      </c>
      <c r="E904" s="16" t="s">
        <v>1092</v>
      </c>
      <c r="F904" s="18">
        <v>1356.8</v>
      </c>
      <c r="G904" s="18">
        <v>1356.8</v>
      </c>
      <c r="H904" s="18">
        <f t="shared" si="3"/>
        <v>0</v>
      </c>
      <c r="J904" s="15"/>
    </row>
    <row r="905" ht="13.5" customHeight="1">
      <c r="A905" s="16" t="s">
        <v>11</v>
      </c>
      <c r="B905" s="16" t="s">
        <v>140</v>
      </c>
      <c r="C905" s="29" t="s">
        <v>518</v>
      </c>
      <c r="D905" s="16" t="s">
        <v>1031</v>
      </c>
      <c r="E905" s="24" t="s">
        <v>1093</v>
      </c>
      <c r="F905" s="18">
        <v>67010.2</v>
      </c>
      <c r="G905" s="18">
        <v>67010.2</v>
      </c>
      <c r="H905" s="18">
        <f t="shared" si="3"/>
        <v>0</v>
      </c>
      <c r="J905" s="15"/>
    </row>
    <row r="906" ht="13.5" customHeight="1">
      <c r="A906" s="16" t="s">
        <v>11</v>
      </c>
      <c r="B906" s="16" t="s">
        <v>140</v>
      </c>
      <c r="C906" s="29" t="s">
        <v>518</v>
      </c>
      <c r="D906" s="16" t="s">
        <v>1031</v>
      </c>
      <c r="E906" s="16" t="s">
        <v>1066</v>
      </c>
      <c r="F906" s="18">
        <v>19426.0</v>
      </c>
      <c r="G906" s="18">
        <v>19426.0</v>
      </c>
      <c r="H906" s="18">
        <f t="shared" si="3"/>
        <v>0</v>
      </c>
      <c r="J906" s="15"/>
    </row>
    <row r="907" ht="13.5" customHeight="1">
      <c r="A907" s="20" t="s">
        <v>6</v>
      </c>
      <c r="B907" s="21" t="s">
        <v>225</v>
      </c>
      <c r="C907" s="22" t="s">
        <v>576</v>
      </c>
      <c r="D907" s="21" t="s">
        <v>1094</v>
      </c>
      <c r="E907" s="21" t="s">
        <v>578</v>
      </c>
      <c r="F907" s="23">
        <v>617187.5</v>
      </c>
      <c r="G907" s="23">
        <v>617187.5</v>
      </c>
      <c r="H907" s="23">
        <f t="shared" si="3"/>
        <v>0</v>
      </c>
      <c r="J907" s="15"/>
    </row>
    <row r="908" ht="13.5" customHeight="1">
      <c r="A908" s="16" t="s">
        <v>11</v>
      </c>
      <c r="B908" s="16" t="s">
        <v>129</v>
      </c>
      <c r="C908" s="17" t="s">
        <v>130</v>
      </c>
      <c r="D908" s="16" t="s">
        <v>1095</v>
      </c>
      <c r="E908" s="16" t="s">
        <v>132</v>
      </c>
      <c r="F908" s="18">
        <v>1275000.0</v>
      </c>
      <c r="G908" s="18">
        <v>1275000.0</v>
      </c>
      <c r="H908" s="18">
        <f t="shared" si="3"/>
        <v>0</v>
      </c>
      <c r="J908" s="15"/>
    </row>
    <row r="909" ht="13.5" customHeight="1">
      <c r="A909" s="16" t="s">
        <v>10</v>
      </c>
      <c r="B909" s="16" t="s">
        <v>91</v>
      </c>
      <c r="C909" s="17" t="s">
        <v>405</v>
      </c>
      <c r="D909" s="16" t="s">
        <v>1096</v>
      </c>
      <c r="E909" s="16" t="s">
        <v>1097</v>
      </c>
      <c r="F909" s="18">
        <v>480.0</v>
      </c>
      <c r="G909" s="18">
        <v>480.0</v>
      </c>
      <c r="H909" s="18">
        <f t="shared" si="3"/>
        <v>0</v>
      </c>
      <c r="J909" s="15"/>
    </row>
    <row r="910" ht="13.5" customHeight="1">
      <c r="A910" s="16" t="s">
        <v>11</v>
      </c>
      <c r="B910" s="16" t="s">
        <v>133</v>
      </c>
      <c r="C910" s="17" t="s">
        <v>364</v>
      </c>
      <c r="D910" s="16" t="s">
        <v>1098</v>
      </c>
      <c r="E910" s="16" t="s">
        <v>1099</v>
      </c>
      <c r="F910" s="18">
        <v>5800.0</v>
      </c>
      <c r="G910" s="18">
        <v>5800.0</v>
      </c>
      <c r="H910" s="18">
        <f t="shared" si="3"/>
        <v>0</v>
      </c>
      <c r="J910" s="15"/>
    </row>
    <row r="911" ht="13.5" customHeight="1">
      <c r="A911" s="16" t="s">
        <v>11</v>
      </c>
      <c r="B911" s="16" t="s">
        <v>133</v>
      </c>
      <c r="C911" s="17" t="s">
        <v>460</v>
      </c>
      <c r="D911" s="16" t="s">
        <v>1098</v>
      </c>
      <c r="E911" s="16" t="s">
        <v>1100</v>
      </c>
      <c r="F911" s="18">
        <v>928.0</v>
      </c>
      <c r="G911" s="18">
        <v>928.0</v>
      </c>
      <c r="H911" s="18">
        <f t="shared" si="3"/>
        <v>0</v>
      </c>
      <c r="J911" s="15"/>
    </row>
    <row r="912" ht="13.5" customHeight="1">
      <c r="A912" s="16" t="s">
        <v>11</v>
      </c>
      <c r="B912" s="16" t="s">
        <v>298</v>
      </c>
      <c r="C912" s="17" t="s">
        <v>489</v>
      </c>
      <c r="D912" s="16" t="s">
        <v>1101</v>
      </c>
      <c r="E912" s="16" t="s">
        <v>591</v>
      </c>
      <c r="F912" s="18">
        <v>92652.56</v>
      </c>
      <c r="G912" s="18">
        <v>92652.56</v>
      </c>
      <c r="H912" s="18">
        <f t="shared" si="3"/>
        <v>0</v>
      </c>
      <c r="J912" s="15"/>
    </row>
    <row r="913" ht="13.5" customHeight="1">
      <c r="A913" s="16" t="s">
        <v>11</v>
      </c>
      <c r="B913" s="16" t="s">
        <v>125</v>
      </c>
      <c r="C913" s="17" t="s">
        <v>257</v>
      </c>
      <c r="D913" s="16" t="s">
        <v>1102</v>
      </c>
      <c r="E913" s="24" t="s">
        <v>1103</v>
      </c>
      <c r="F913" s="18">
        <v>360.0</v>
      </c>
      <c r="G913" s="18">
        <v>360.0</v>
      </c>
      <c r="H913" s="18">
        <f t="shared" si="3"/>
        <v>0</v>
      </c>
      <c r="J913" s="15"/>
    </row>
    <row r="914" ht="13.5" customHeight="1">
      <c r="A914" s="16" t="s">
        <v>10</v>
      </c>
      <c r="B914" s="16" t="s">
        <v>91</v>
      </c>
      <c r="C914" s="17" t="s">
        <v>1104</v>
      </c>
      <c r="D914" s="16" t="s">
        <v>1105</v>
      </c>
      <c r="E914" s="16" t="s">
        <v>1106</v>
      </c>
      <c r="F914" s="18">
        <v>314.23</v>
      </c>
      <c r="G914" s="18">
        <v>314.23</v>
      </c>
      <c r="H914" s="18">
        <f t="shared" si="3"/>
        <v>0</v>
      </c>
      <c r="J914" s="15"/>
    </row>
    <row r="915" ht="13.5" customHeight="1">
      <c r="A915" s="16" t="s">
        <v>10</v>
      </c>
      <c r="B915" s="16" t="s">
        <v>91</v>
      </c>
      <c r="C915" s="17" t="s">
        <v>1107</v>
      </c>
      <c r="D915" s="16" t="s">
        <v>1105</v>
      </c>
      <c r="E915" s="16" t="s">
        <v>1106</v>
      </c>
      <c r="F915" s="18">
        <v>314.23</v>
      </c>
      <c r="G915" s="18">
        <v>314.23</v>
      </c>
      <c r="H915" s="18">
        <f t="shared" si="3"/>
        <v>0</v>
      </c>
      <c r="J915" s="15"/>
    </row>
    <row r="916" ht="13.5" customHeight="1">
      <c r="A916" s="16" t="s">
        <v>10</v>
      </c>
      <c r="B916" s="16" t="s">
        <v>91</v>
      </c>
      <c r="C916" s="17" t="s">
        <v>1107</v>
      </c>
      <c r="D916" s="16" t="s">
        <v>1105</v>
      </c>
      <c r="E916" s="16" t="s">
        <v>1106</v>
      </c>
      <c r="F916" s="18">
        <v>314.23</v>
      </c>
      <c r="G916" s="18">
        <v>314.23</v>
      </c>
      <c r="H916" s="18">
        <f t="shared" si="3"/>
        <v>0</v>
      </c>
      <c r="J916" s="15"/>
    </row>
    <row r="917" ht="13.5" customHeight="1">
      <c r="A917" s="16" t="s">
        <v>10</v>
      </c>
      <c r="B917" s="16" t="s">
        <v>91</v>
      </c>
      <c r="C917" s="17" t="s">
        <v>154</v>
      </c>
      <c r="D917" s="16" t="s">
        <v>1105</v>
      </c>
      <c r="E917" s="16" t="s">
        <v>1106</v>
      </c>
      <c r="F917" s="18">
        <v>314.23</v>
      </c>
      <c r="G917" s="18">
        <v>314.23</v>
      </c>
      <c r="H917" s="18">
        <f t="shared" si="3"/>
        <v>0</v>
      </c>
      <c r="J917" s="15"/>
    </row>
    <row r="918" ht="13.5" customHeight="1">
      <c r="A918" s="16" t="s">
        <v>10</v>
      </c>
      <c r="B918" s="16" t="s">
        <v>91</v>
      </c>
      <c r="C918" s="17" t="s">
        <v>330</v>
      </c>
      <c r="D918" s="16" t="s">
        <v>1105</v>
      </c>
      <c r="E918" s="16" t="s">
        <v>1108</v>
      </c>
      <c r="F918" s="18">
        <v>398.99</v>
      </c>
      <c r="G918" s="18">
        <v>398.99</v>
      </c>
      <c r="H918" s="18">
        <f t="shared" si="3"/>
        <v>0</v>
      </c>
      <c r="J918" s="15"/>
    </row>
    <row r="919" ht="13.5" customHeight="1">
      <c r="A919" s="16" t="s">
        <v>10</v>
      </c>
      <c r="B919" s="16" t="s">
        <v>91</v>
      </c>
      <c r="C919" s="17" t="s">
        <v>568</v>
      </c>
      <c r="D919" s="16" t="s">
        <v>1105</v>
      </c>
      <c r="E919" s="16" t="s">
        <v>1106</v>
      </c>
      <c r="F919" s="18">
        <v>398.99</v>
      </c>
      <c r="G919" s="18">
        <v>398.99</v>
      </c>
      <c r="H919" s="18">
        <f t="shared" si="3"/>
        <v>0</v>
      </c>
      <c r="J919" s="15"/>
    </row>
    <row r="920" ht="13.5" customHeight="1">
      <c r="A920" s="16" t="s">
        <v>10</v>
      </c>
      <c r="B920" s="16" t="s">
        <v>91</v>
      </c>
      <c r="C920" s="17" t="s">
        <v>1107</v>
      </c>
      <c r="D920" s="16" t="s">
        <v>1109</v>
      </c>
      <c r="E920" s="16" t="s">
        <v>1110</v>
      </c>
      <c r="F920" s="18">
        <v>5504.2</v>
      </c>
      <c r="G920" s="18">
        <v>5504.2</v>
      </c>
      <c r="H920" s="18">
        <f t="shared" si="3"/>
        <v>0</v>
      </c>
      <c r="J920" s="15"/>
    </row>
    <row r="921" ht="13.5" customHeight="1">
      <c r="A921" s="16" t="s">
        <v>10</v>
      </c>
      <c r="B921" s="16" t="s">
        <v>91</v>
      </c>
      <c r="C921" s="17" t="s">
        <v>1104</v>
      </c>
      <c r="D921" s="16" t="s">
        <v>1111</v>
      </c>
      <c r="E921" s="16" t="s">
        <v>1112</v>
      </c>
      <c r="F921" s="18">
        <v>550.0</v>
      </c>
      <c r="G921" s="18">
        <v>550.0</v>
      </c>
      <c r="H921" s="18">
        <f t="shared" si="3"/>
        <v>0</v>
      </c>
      <c r="J921" s="15"/>
    </row>
    <row r="922" ht="13.5" customHeight="1">
      <c r="A922" s="16" t="s">
        <v>11</v>
      </c>
      <c r="B922" s="16" t="s">
        <v>133</v>
      </c>
      <c r="C922" s="17" t="s">
        <v>330</v>
      </c>
      <c r="D922" s="16" t="s">
        <v>1113</v>
      </c>
      <c r="E922" s="24" t="s">
        <v>1114</v>
      </c>
      <c r="F922" s="18">
        <v>1686.82</v>
      </c>
      <c r="G922" s="18">
        <v>1686.82</v>
      </c>
      <c r="H922" s="18">
        <f t="shared" si="3"/>
        <v>0</v>
      </c>
      <c r="J922" s="15"/>
    </row>
    <row r="923" ht="13.5" customHeight="1">
      <c r="A923" s="16" t="s">
        <v>10</v>
      </c>
      <c r="B923" s="16" t="s">
        <v>548</v>
      </c>
      <c r="C923" s="17" t="s">
        <v>1115</v>
      </c>
      <c r="D923" s="16" t="s">
        <v>1116</v>
      </c>
      <c r="E923" s="24" t="s">
        <v>1117</v>
      </c>
      <c r="F923" s="18">
        <v>6820.0</v>
      </c>
      <c r="G923" s="18">
        <v>6820.0</v>
      </c>
      <c r="H923" s="18">
        <f t="shared" si="3"/>
        <v>0</v>
      </c>
      <c r="J923" s="15"/>
    </row>
    <row r="924" ht="13.5" customHeight="1">
      <c r="A924" s="16" t="s">
        <v>10</v>
      </c>
      <c r="B924" s="16" t="s">
        <v>548</v>
      </c>
      <c r="C924" s="17" t="s">
        <v>1115</v>
      </c>
      <c r="D924" s="16" t="s">
        <v>1116</v>
      </c>
      <c r="E924" s="16" t="s">
        <v>1118</v>
      </c>
      <c r="F924" s="18">
        <v>5000.0</v>
      </c>
      <c r="G924" s="18">
        <v>5000.0</v>
      </c>
      <c r="H924" s="18">
        <f t="shared" si="3"/>
        <v>0</v>
      </c>
      <c r="J924" s="15"/>
    </row>
    <row r="925" ht="13.5" customHeight="1">
      <c r="A925" s="16" t="s">
        <v>10</v>
      </c>
      <c r="B925" s="16" t="s">
        <v>548</v>
      </c>
      <c r="C925" s="17" t="s">
        <v>1115</v>
      </c>
      <c r="D925" s="16" t="s">
        <v>1116</v>
      </c>
      <c r="E925" s="24" t="s">
        <v>1119</v>
      </c>
      <c r="F925" s="18">
        <v>13950.0</v>
      </c>
      <c r="G925" s="18">
        <v>13950.0</v>
      </c>
      <c r="H925" s="18">
        <f t="shared" si="3"/>
        <v>0</v>
      </c>
      <c r="J925" s="15"/>
    </row>
    <row r="926" ht="13.5" customHeight="1">
      <c r="A926" s="16" t="s">
        <v>10</v>
      </c>
      <c r="B926" s="16" t="s">
        <v>548</v>
      </c>
      <c r="C926" s="31" t="s">
        <v>1115</v>
      </c>
      <c r="D926" s="16" t="s">
        <v>1116</v>
      </c>
      <c r="E926" s="24" t="s">
        <v>1120</v>
      </c>
      <c r="F926" s="18">
        <v>6850.0</v>
      </c>
      <c r="G926" s="18">
        <v>6850.0</v>
      </c>
      <c r="H926" s="18">
        <f t="shared" si="3"/>
        <v>0</v>
      </c>
      <c r="J926" s="15"/>
    </row>
    <row r="927" ht="13.5" customHeight="1">
      <c r="A927" s="16" t="s">
        <v>11</v>
      </c>
      <c r="B927" s="16" t="s">
        <v>125</v>
      </c>
      <c r="C927" s="17" t="s">
        <v>1121</v>
      </c>
      <c r="D927" s="16" t="s">
        <v>1122</v>
      </c>
      <c r="E927" s="16" t="s">
        <v>1123</v>
      </c>
      <c r="F927" s="18">
        <v>930.0</v>
      </c>
      <c r="G927" s="18">
        <v>930.0</v>
      </c>
      <c r="H927" s="18">
        <f t="shared" si="3"/>
        <v>0</v>
      </c>
      <c r="J927" s="15"/>
    </row>
    <row r="928" ht="15.75" customHeight="1">
      <c r="C928" s="32"/>
      <c r="J928" s="15"/>
    </row>
    <row r="929" ht="31.5" customHeight="1">
      <c r="A929" s="33" t="s">
        <v>1124</v>
      </c>
      <c r="B929" s="34"/>
      <c r="C929" s="34"/>
      <c r="D929" s="34"/>
      <c r="E929" s="34"/>
      <c r="F929" s="34"/>
      <c r="G929" s="34"/>
      <c r="H929" s="2"/>
      <c r="J929" s="15"/>
    </row>
    <row r="930" ht="15.75" customHeight="1">
      <c r="C930" s="32"/>
      <c r="J930" s="15"/>
    </row>
    <row r="931" ht="15.75" customHeight="1">
      <c r="C931" s="32"/>
      <c r="J931" s="15"/>
    </row>
    <row r="932" ht="15.75" customHeight="1">
      <c r="C932" s="32"/>
      <c r="J932" s="15"/>
    </row>
    <row r="933" ht="15.75" customHeight="1">
      <c r="C933" s="32"/>
      <c r="J933" s="15"/>
    </row>
    <row r="934" ht="15.75" customHeight="1">
      <c r="C934" s="32"/>
      <c r="J934" s="15"/>
    </row>
    <row r="935" ht="15.75" customHeight="1">
      <c r="C935" s="32"/>
      <c r="J935" s="15"/>
    </row>
    <row r="936" ht="15.75" customHeight="1">
      <c r="C936" s="32"/>
      <c r="J936" s="15"/>
    </row>
    <row r="937" ht="15.75" customHeight="1">
      <c r="C937" s="32"/>
      <c r="J937" s="15"/>
    </row>
    <row r="938" ht="15.75" customHeight="1">
      <c r="C938" s="32"/>
      <c r="J938" s="15"/>
    </row>
    <row r="939" ht="15.75" customHeight="1">
      <c r="C939" s="32"/>
      <c r="J939" s="15"/>
    </row>
    <row r="940" ht="15.75" customHeight="1">
      <c r="C940" s="32"/>
      <c r="J940" s="15"/>
    </row>
    <row r="941" ht="15.75" customHeight="1">
      <c r="C941" s="32"/>
      <c r="J941" s="15"/>
    </row>
    <row r="942" ht="15.75" customHeight="1">
      <c r="C942" s="32"/>
      <c r="J942" s="15"/>
    </row>
    <row r="943" ht="15.75" customHeight="1">
      <c r="C943" s="32"/>
      <c r="J943" s="15"/>
    </row>
    <row r="944" ht="15.75" customHeight="1">
      <c r="C944" s="32"/>
      <c r="J944" s="15"/>
    </row>
    <row r="945" ht="15.75" customHeight="1">
      <c r="C945" s="32"/>
      <c r="J945" s="15"/>
    </row>
    <row r="946" ht="15.75" customHeight="1">
      <c r="C946" s="32"/>
      <c r="J946" s="15"/>
    </row>
    <row r="947" ht="15.75" customHeight="1">
      <c r="C947" s="32"/>
      <c r="J947" s="15"/>
    </row>
    <row r="948" ht="15.75" customHeight="1">
      <c r="C948" s="32"/>
      <c r="J948" s="15"/>
    </row>
    <row r="949" ht="15.75" customHeight="1">
      <c r="C949" s="32"/>
      <c r="J949" s="15"/>
    </row>
    <row r="950" ht="15.75" customHeight="1">
      <c r="C950" s="32"/>
      <c r="J950" s="15"/>
    </row>
    <row r="951" ht="15.75" customHeight="1">
      <c r="C951" s="32"/>
      <c r="J951" s="15"/>
    </row>
    <row r="952" ht="15.75" customHeight="1">
      <c r="C952" s="32"/>
      <c r="J952" s="15"/>
    </row>
    <row r="953" ht="15.75" customHeight="1">
      <c r="C953" s="32"/>
      <c r="J953" s="15"/>
    </row>
    <row r="954" ht="15.75" customHeight="1">
      <c r="C954" s="32"/>
      <c r="J954" s="15"/>
    </row>
    <row r="955" ht="15.75" customHeight="1">
      <c r="C955" s="32"/>
      <c r="J955" s="15"/>
    </row>
    <row r="956" ht="15.75" customHeight="1">
      <c r="C956" s="32"/>
      <c r="J956" s="15"/>
    </row>
    <row r="957" ht="15.75" customHeight="1">
      <c r="C957" s="32"/>
      <c r="J957" s="15"/>
    </row>
    <row r="958" ht="15.75" customHeight="1">
      <c r="C958" s="32"/>
      <c r="J958" s="15"/>
    </row>
    <row r="959" ht="15.75" customHeight="1">
      <c r="C959" s="32"/>
      <c r="J959" s="15"/>
    </row>
    <row r="960" ht="15.75" customHeight="1">
      <c r="C960" s="32"/>
      <c r="J960" s="15"/>
    </row>
    <row r="961" ht="15.75" customHeight="1">
      <c r="C961" s="32"/>
      <c r="J961" s="15"/>
    </row>
    <row r="962" ht="15.75" customHeight="1">
      <c r="C962" s="32"/>
      <c r="J962" s="15"/>
    </row>
    <row r="963" ht="15.75" customHeight="1">
      <c r="C963" s="32"/>
      <c r="J963" s="15"/>
    </row>
    <row r="964" ht="15.75" customHeight="1">
      <c r="C964" s="32"/>
      <c r="J964" s="15"/>
    </row>
    <row r="965" ht="15.75" customHeight="1">
      <c r="C965" s="32"/>
      <c r="J965" s="15"/>
    </row>
    <row r="966" ht="15.75" customHeight="1">
      <c r="C966" s="32"/>
      <c r="J966" s="15"/>
    </row>
    <row r="967" ht="15.75" customHeight="1">
      <c r="C967" s="32"/>
      <c r="J967" s="15"/>
    </row>
    <row r="968" ht="15.75" customHeight="1">
      <c r="C968" s="32"/>
      <c r="J968" s="15"/>
    </row>
    <row r="969" ht="15.75" customHeight="1">
      <c r="C969" s="32"/>
      <c r="J969" s="15"/>
    </row>
    <row r="970" ht="15.75" customHeight="1">
      <c r="C970" s="32"/>
      <c r="J970" s="15"/>
    </row>
    <row r="971" ht="15.75" customHeight="1">
      <c r="C971" s="32"/>
      <c r="J971" s="15"/>
    </row>
    <row r="972" ht="15.75" customHeight="1">
      <c r="C972" s="32"/>
      <c r="J972" s="15"/>
    </row>
    <row r="973" ht="15.75" customHeight="1">
      <c r="C973" s="32"/>
      <c r="J973" s="15"/>
    </row>
    <row r="974" ht="15.75" customHeight="1">
      <c r="C974" s="32"/>
      <c r="J974" s="15"/>
    </row>
    <row r="975" ht="15.75" customHeight="1">
      <c r="C975" s="32"/>
      <c r="J975" s="15"/>
    </row>
    <row r="976" ht="15.75" customHeight="1">
      <c r="C976" s="32"/>
      <c r="J976" s="15"/>
    </row>
    <row r="977" ht="15.75" customHeight="1">
      <c r="C977" s="32"/>
      <c r="J977" s="15"/>
    </row>
    <row r="978" ht="15.75" customHeight="1">
      <c r="C978" s="32"/>
      <c r="J978" s="15"/>
    </row>
    <row r="979" ht="15.75" customHeight="1">
      <c r="C979" s="32"/>
      <c r="J979" s="15"/>
    </row>
    <row r="980" ht="15.75" customHeight="1">
      <c r="C980" s="32"/>
      <c r="J980" s="15"/>
    </row>
    <row r="981" ht="15.75" customHeight="1">
      <c r="C981" s="32"/>
      <c r="J981" s="15"/>
    </row>
    <row r="982" ht="15.75" customHeight="1">
      <c r="C982" s="32"/>
      <c r="J982" s="15"/>
    </row>
    <row r="983" ht="15.75" customHeight="1">
      <c r="C983" s="32"/>
      <c r="J983" s="15"/>
    </row>
    <row r="984" ht="15.75" customHeight="1">
      <c r="C984" s="32"/>
      <c r="J984" s="15"/>
    </row>
    <row r="985" ht="15.75" customHeight="1">
      <c r="C985" s="32"/>
      <c r="J985" s="15"/>
    </row>
    <row r="986" ht="15.75" customHeight="1">
      <c r="C986" s="32"/>
      <c r="J986" s="15"/>
    </row>
    <row r="987" ht="15.75" customHeight="1">
      <c r="C987" s="32"/>
      <c r="J987" s="15"/>
    </row>
    <row r="988" ht="15.75" customHeight="1">
      <c r="C988" s="32"/>
      <c r="J988" s="15"/>
    </row>
    <row r="989" ht="15.75" customHeight="1">
      <c r="C989" s="32"/>
      <c r="J989" s="15"/>
    </row>
    <row r="990" ht="15.75" customHeight="1">
      <c r="C990" s="32"/>
      <c r="J990" s="15"/>
    </row>
    <row r="991" ht="15.75" customHeight="1">
      <c r="C991" s="32"/>
      <c r="J991" s="15"/>
    </row>
    <row r="992" ht="15.75" customHeight="1">
      <c r="C992" s="32"/>
      <c r="J992" s="15"/>
    </row>
    <row r="993" ht="15.75" customHeight="1">
      <c r="C993" s="32"/>
      <c r="J993" s="15"/>
    </row>
    <row r="994" ht="15.75" customHeight="1">
      <c r="C994" s="32"/>
      <c r="J994" s="15"/>
    </row>
    <row r="995" ht="15.75" customHeight="1">
      <c r="C995" s="32"/>
      <c r="J995" s="15"/>
    </row>
    <row r="996" ht="15.75" customHeight="1">
      <c r="C996" s="32"/>
      <c r="J996" s="15"/>
    </row>
    <row r="997" ht="15.75" customHeight="1">
      <c r="C997" s="32"/>
      <c r="J997" s="15"/>
    </row>
    <row r="998" ht="15.75" customHeight="1">
      <c r="C998" s="32"/>
      <c r="J998" s="15"/>
    </row>
    <row r="999" ht="15.75" customHeight="1">
      <c r="C999" s="32"/>
      <c r="J999" s="15"/>
    </row>
    <row r="1000" ht="15.75" customHeight="1">
      <c r="C1000" s="32"/>
      <c r="J1000" s="15"/>
    </row>
  </sheetData>
  <mergeCells count="1">
    <mergeCell ref="A929:H929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7" width="18.0"/>
    <col customWidth="1" min="8" max="8" width="2.0"/>
    <col customWidth="1" min="9" max="15" width="8.71"/>
    <col customWidth="1" min="16" max="17" width="18.0"/>
    <col customWidth="1" min="18" max="26" width="8.71"/>
  </cols>
  <sheetData>
    <row r="2" ht="45.75" customHeight="1">
      <c r="B2" s="35" t="s">
        <v>1125</v>
      </c>
      <c r="C2" s="34"/>
      <c r="D2" s="34"/>
      <c r="E2" s="34"/>
      <c r="F2" s="34"/>
      <c r="G2" s="2"/>
      <c r="P2" s="36" t="s">
        <v>1126</v>
      </c>
      <c r="Q2" s="36" t="s">
        <v>1127</v>
      </c>
    </row>
    <row r="3" ht="19.5" customHeight="1">
      <c r="B3" s="3" t="s">
        <v>1128</v>
      </c>
      <c r="C3" s="34"/>
      <c r="D3" s="34"/>
      <c r="E3" s="34"/>
      <c r="F3" s="34"/>
      <c r="G3" s="2"/>
      <c r="P3" s="36" t="s">
        <v>1129</v>
      </c>
      <c r="Q3" s="36">
        <f>SUMIFS(Datos!$G$2:$G$5001,Datos!$A$2:$A$5001,"&lt;&gt;"&amp;Config!$C$9)</f>
        <v>21136495.4</v>
      </c>
    </row>
    <row r="4" ht="7.5" customHeight="1">
      <c r="P4" s="36" t="s">
        <v>20</v>
      </c>
      <c r="Q4" s="36">
        <f>SUMIFS(Datos!$H$2:$H$5001,Datos!$A$2:$A$5001,"&lt;&gt;"&amp;Config!$C$9)</f>
        <v>1429255.12</v>
      </c>
    </row>
    <row r="5" ht="21.75" customHeight="1">
      <c r="B5" s="37" t="s">
        <v>1130</v>
      </c>
      <c r="C5" s="34"/>
      <c r="D5" s="2"/>
      <c r="F5" s="38" t="s">
        <v>1131</v>
      </c>
      <c r="G5" s="34"/>
      <c r="H5" s="34"/>
      <c r="I5" s="34"/>
      <c r="J5" s="34"/>
      <c r="K5" s="2"/>
    </row>
    <row r="7">
      <c r="P7" s="36" t="s">
        <v>20</v>
      </c>
      <c r="Q7" s="36" t="s">
        <v>1132</v>
      </c>
    </row>
    <row r="8">
      <c r="P8" s="36">
        <f>IFERROR(LARGE('🗂️ Por Categoría'!$F$5:$F$40,1),0)</f>
        <v>1424883.2</v>
      </c>
      <c r="Q8" s="36" t="str">
        <f t="array" ref="Q8">IFERROR(INDEX('🗂️ Por Categoría'!$C$5:$C$40,MATCH(P8,'🗂️ Por Categoría'!$F$5:$F$40,0)),"")</f>
        <v>Fertilizantes y Agroquimicos</v>
      </c>
    </row>
    <row r="9">
      <c r="P9" s="36">
        <f>IFERROR(LARGE('🗂️ Por Categoría'!$F$5:$F$40,2),0)</f>
        <v>4371.92</v>
      </c>
      <c r="Q9" s="36" t="str">
        <f t="array" ref="Q9">IFERROR(INDEX('🗂️ Por Categoría'!$C$5:$C$40,MATCH(P9,'🗂️ Por Categoría'!$F$5:$F$40,0)),"")</f>
        <v>Analisis</v>
      </c>
    </row>
    <row r="10">
      <c r="P10" s="36">
        <f>IFERROR(LARGE('🗂️ Por Categoría'!$F$5:$F$40,3),0)</f>
        <v>0</v>
      </c>
      <c r="Q10" s="36" t="str">
        <f t="array" ref="Q10">IFERROR(INDEX('🗂️ Por Categoría'!$C$5:$C$40,MATCH(P10,'🗂️ Por Categoría'!$F$5:$F$40,0)),"")</f>
        <v>Nomina Administrativa</v>
      </c>
    </row>
    <row r="11">
      <c r="P11" s="36">
        <f>IFERROR(LARGE('🗂️ Por Categoría'!$F$5:$F$40,4),0)</f>
        <v>0</v>
      </c>
      <c r="Q11" s="36" t="str">
        <f t="array" ref="Q11">IFERROR(INDEX('🗂️ Por Categoría'!$C$5:$C$40,MATCH(P11,'🗂️ Por Categoría'!$F$5:$F$40,0)),"")</f>
        <v>Nomina Administrativa</v>
      </c>
    </row>
    <row r="12">
      <c r="P12" s="36">
        <f>IFERROR(LARGE('🗂️ Por Categoría'!$F$5:$F$40,5),0)</f>
        <v>0</v>
      </c>
      <c r="Q12" s="36" t="str">
        <f t="array" ref="Q12">IFERROR(INDEX('🗂️ Por Categoría'!$C$5:$C$40,MATCH(P12,'🗂️ Por Categoría'!$F$5:$F$40,0)),"")</f>
        <v>Nomina Administrativa</v>
      </c>
    </row>
    <row r="13">
      <c r="P13" s="36">
        <f>IFERROR(LARGE('🗂️ Por Categoría'!$F$5:$F$40,6),0)</f>
        <v>0</v>
      </c>
      <c r="Q13" s="36" t="str">
        <f t="array" ref="Q13">IFERROR(INDEX('🗂️ Por Categoría'!$C$5:$C$40,MATCH(P13,'🗂️ Por Categoría'!$F$5:$F$40,0)),"")</f>
        <v>Nomina Administrativa</v>
      </c>
    </row>
    <row r="17">
      <c r="P17" s="36" t="s">
        <v>1133</v>
      </c>
      <c r="Q17" s="36" t="s">
        <v>18</v>
      </c>
    </row>
    <row r="18">
      <c r="P18" s="36" t="str">
        <f>'📊 Resumen Ejecutivo'!B13</f>
        <v>Administracion</v>
      </c>
      <c r="Q18" s="39">
        <f>'📊 Resumen Ejecutivo'!D13</f>
        <v>1214203.4</v>
      </c>
    </row>
    <row r="19">
      <c r="P19" s="36" t="str">
        <f>'📊 Resumen Ejecutivo'!B14</f>
        <v>Operación</v>
      </c>
      <c r="Q19" s="39">
        <f>'📊 Resumen Ejecutivo'!D14</f>
        <v>21347717.12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21.75" customHeight="1">
      <c r="B30" s="37" t="s">
        <v>1134</v>
      </c>
      <c r="C30" s="34"/>
      <c r="D30" s="34"/>
      <c r="E30" s="34"/>
      <c r="F30" s="34"/>
      <c r="G30" s="2"/>
    </row>
    <row r="31" ht="18.0" customHeight="1">
      <c r="B31" s="40" t="s">
        <v>1135</v>
      </c>
      <c r="C31" s="34"/>
      <c r="D31" s="34"/>
      <c r="E31" s="34"/>
      <c r="F31" s="34"/>
      <c r="G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21.75" customHeight="1">
      <c r="B56" s="41" t="s">
        <v>1136</v>
      </c>
      <c r="C56" s="34"/>
      <c r="D56" s="34"/>
      <c r="E56" s="34"/>
      <c r="F56" s="34"/>
      <c r="G56" s="2"/>
    </row>
    <row r="57" ht="18.0" customHeight="1">
      <c r="B57" s="40" t="s">
        <v>1137</v>
      </c>
      <c r="C57" s="34"/>
      <c r="D57" s="34"/>
      <c r="E57" s="34"/>
      <c r="F57" s="34"/>
      <c r="G57" s="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21.75" customHeight="1">
      <c r="B82" s="42" t="s">
        <v>1138</v>
      </c>
      <c r="C82" s="34"/>
      <c r="D82" s="34"/>
      <c r="E82" s="34"/>
      <c r="F82" s="34"/>
      <c r="G82" s="2"/>
    </row>
    <row r="83" ht="18.0" customHeight="1">
      <c r="B83" s="40" t="s">
        <v>1139</v>
      </c>
      <c r="C83" s="34"/>
      <c r="D83" s="34"/>
      <c r="E83" s="34"/>
      <c r="F83" s="34"/>
      <c r="G83" s="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57:G57"/>
    <mergeCell ref="B82:G82"/>
    <mergeCell ref="B83:G83"/>
    <mergeCell ref="B2:G2"/>
    <mergeCell ref="B3:G3"/>
    <mergeCell ref="B5:D5"/>
    <mergeCell ref="F5:K5"/>
    <mergeCell ref="B30:G30"/>
    <mergeCell ref="B31:G31"/>
    <mergeCell ref="B56:G5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18.0"/>
    <col customWidth="1" min="7" max="7" width="8.86"/>
    <col customWidth="1" min="8" max="26" width="8.71"/>
  </cols>
  <sheetData>
    <row r="2" ht="45.75" customHeight="1">
      <c r="B2" s="43" t="s">
        <v>1140</v>
      </c>
      <c r="C2" s="34"/>
      <c r="D2" s="34"/>
      <c r="E2" s="34"/>
      <c r="F2" s="2"/>
    </row>
    <row r="3" ht="19.5" customHeight="1">
      <c r="B3" s="3" t="str">
        <f>"Proyecto: "&amp;Config!C5&amp;"  |  "&amp;Config!C7&amp;" Hectáreas  |  Excluye: "&amp;Config!C9</f>
        <v>Proyecto: Proyecto Papa 2025-2026  |  90 Hectáreas  |  Excluye: Inversiones</v>
      </c>
      <c r="C3" s="34"/>
      <c r="D3" s="34"/>
      <c r="E3" s="34"/>
      <c r="F3" s="2"/>
    </row>
    <row r="4" ht="7.5" customHeight="1"/>
    <row r="5" ht="15.75" customHeight="1">
      <c r="B5" s="44" t="s">
        <v>1141</v>
      </c>
      <c r="C5" s="45" t="s">
        <v>1142</v>
      </c>
      <c r="D5" s="46" t="s">
        <v>1143</v>
      </c>
      <c r="E5" s="47" t="s">
        <v>1144</v>
      </c>
      <c r="F5" s="48" t="s">
        <v>1145</v>
      </c>
    </row>
    <row r="6" ht="36.0" customHeight="1">
      <c r="B6" s="49">
        <f>SUMIFS(Datos!$F$2:$F$5001,Datos!$A$2:$A$5001,"&lt;&gt;"&amp;Config!$C$9)</f>
        <v>22561920.52</v>
      </c>
      <c r="C6" s="50">
        <f>SUMIFS(Datos!$G$2:$G$5001,Datos!$A$2:$A$5001,"&lt;&gt;"&amp;Config!$C$9)</f>
        <v>21136495.4</v>
      </c>
      <c r="D6" s="51">
        <f>SUMIFS(Datos!$H$2:$H$5001,Datos!$A$2:$A$5001,"&lt;&gt;"&amp;Config!$C$9)</f>
        <v>1429255.12</v>
      </c>
      <c r="E6" s="52">
        <f>IFERROR(SUMIFS(Datos!$F$2:$F$5001,Datos!$A$2:$A$5001,"&lt;&gt;"&amp;Config!$C$9)/Config!$C$7,"N/A")</f>
        <v>250688.0058</v>
      </c>
      <c r="F6" s="53">
        <f>IFERROR(SUMIFS(Datos!$F$2:$F$5001,Datos!$A$2:$A$5001,"Operación"),0)</f>
        <v>21347717.12</v>
      </c>
    </row>
    <row r="7" ht="21.75" customHeight="1">
      <c r="B7" s="54" t="s">
        <v>1146</v>
      </c>
      <c r="C7" s="55" t="str">
        <f>IFERROR(TEXT(SUMIFS(Datos!$G$2:$G$5001,Datos!$A$2:$A$5001,"&lt;&gt;"&amp;Config!$C$9)/SUMIFS(Datos!$F$2:$F$5001,Datos!$A$2:$A$5001,"&lt;&gt;"&amp;Config!$C$9),"0.0%")&amp;" del total liquidado","")</f>
        <v>93,7% del total liquidado</v>
      </c>
      <c r="D7" s="56" t="str">
        <f>IFERROR(TEXT(SUMIFS(Datos!$H$2:$H$5001,Datos!$A$2:$A$5001,"&lt;&gt;"&amp;Config!$C$9)/SUMIFS(Datos!$F$2:$F$5001,Datos!$A$2:$A$5001,"&lt;&gt;"&amp;Config!$C$9),"0.0%")&amp;" por liquidar próx. semanas","")</f>
        <v>6,3% por liquidar próx. semanas</v>
      </c>
      <c r="E7" s="57" t="str">
        <f>IFERROR(Config!$C$7&amp;" hectáreas cultivadas","N/A")</f>
        <v>90 hectáreas cultivadas</v>
      </c>
      <c r="F7" s="58" t="s">
        <v>1147</v>
      </c>
    </row>
    <row r="8" ht="18.0" customHeight="1">
      <c r="B8" s="59"/>
      <c r="C8" s="60"/>
      <c r="D8" s="61"/>
      <c r="E8" s="62"/>
      <c r="F8" s="63"/>
    </row>
    <row r="9" ht="7.5" customHeight="1"/>
    <row r="10" ht="7.5" customHeight="1"/>
    <row r="11" ht="19.5" customHeight="1">
      <c r="B11" s="64" t="s">
        <v>1148</v>
      </c>
      <c r="C11" s="34"/>
      <c r="D11" s="34"/>
      <c r="E11" s="34"/>
      <c r="F11" s="2"/>
    </row>
    <row r="12" ht="18.0" customHeight="1">
      <c r="B12" s="65" t="s">
        <v>1149</v>
      </c>
      <c r="C12" s="65" t="s">
        <v>1150</v>
      </c>
      <c r="D12" s="65" t="s">
        <v>1151</v>
      </c>
      <c r="E12" s="65" t="s">
        <v>1152</v>
      </c>
      <c r="F12" s="65" t="s">
        <v>1153</v>
      </c>
      <c r="G12" s="65" t="s">
        <v>1154</v>
      </c>
    </row>
    <row r="13">
      <c r="B13" s="11" t="s">
        <v>10</v>
      </c>
      <c r="C13" s="66" t="s">
        <v>1155</v>
      </c>
      <c r="D13" s="67">
        <f>SUMIFS(Datos!$F$2:$F$5001,Datos!$A$2:$A$5001,B13)</f>
        <v>1214203.4</v>
      </c>
      <c r="E13" s="67">
        <f>SUMIFS(Datos!$G$2:$G$5001,Datos!$A$2:$A$5001,B13)</f>
        <v>1214203.4</v>
      </c>
      <c r="F13" s="68">
        <f>SUMIFS(Datos!$H$2:$H$5001,Datos!$A$2:$A$5001,B13)</f>
        <v>0</v>
      </c>
      <c r="G13" s="69">
        <f>IFERROR(D13/SUMIFS(Datos!$F$2:$F$5001,Datos!$A$2:$A$5001,"&lt;&gt;"&amp;Config!$C$9),0)</f>
        <v>0.05381649132</v>
      </c>
    </row>
    <row r="14">
      <c r="B14" s="11" t="s">
        <v>11</v>
      </c>
      <c r="C14" s="70" t="s">
        <v>1156</v>
      </c>
      <c r="D14" s="71">
        <f>SUMIFS(Datos!$F$2:$F$5001,Datos!$A$2:$A$5001,B14)</f>
        <v>21347717.12</v>
      </c>
      <c r="E14" s="71">
        <f>SUMIFS(Datos!$G$2:$G$5001,Datos!$A$2:$A$5001,B14)</f>
        <v>19922292</v>
      </c>
      <c r="F14" s="68">
        <f>SUMIFS(Datos!$H$2:$H$5001,Datos!$A$2:$A$5001,B14)</f>
        <v>1429255.12</v>
      </c>
      <c r="G14" s="72">
        <f>IFERROR(D14/SUMIFS(Datos!$F$2:$F$5001,Datos!$A$2:$A$5001,"&lt;&gt;"&amp;Config!$C$9),0)</f>
        <v>0.9461835087</v>
      </c>
    </row>
    <row r="15" ht="18.0" customHeight="1">
      <c r="B15" s="73" t="s">
        <v>1157</v>
      </c>
      <c r="C15" s="74"/>
      <c r="D15" s="75">
        <f>SUMIFS(Datos!$F$2:$F$5001,Datos!$A$2:$A$5001,"&lt;&gt;"&amp;Config!$C$9)</f>
        <v>22561920.52</v>
      </c>
      <c r="E15" s="75">
        <f>SUMIFS(Datos!$G$2:$G$5001,Datos!$A$2:$A$5001,"&lt;&gt;"&amp;Config!$C$9)</f>
        <v>21136495.4</v>
      </c>
      <c r="F15" s="75">
        <f>SUMIFS(Datos!$H$2:$H$5001,Datos!$A$2:$A$5001,"&lt;&gt;"&amp;Config!$C$9)</f>
        <v>1429255.12</v>
      </c>
      <c r="G15" s="76">
        <f>1</f>
        <v>1</v>
      </c>
    </row>
    <row r="17" ht="27.75" customHeight="1">
      <c r="B17" s="7" t="s">
        <v>1158</v>
      </c>
      <c r="C17" s="34"/>
      <c r="D17" s="34"/>
      <c r="E17" s="34"/>
      <c r="F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3:F3"/>
    <mergeCell ref="B11:F11"/>
    <mergeCell ref="B17:F1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3" width="32.0"/>
    <col customWidth="1" min="4" max="6" width="16.0"/>
    <col customWidth="1" min="7" max="7" width="10.0"/>
    <col customWidth="1" min="8" max="26" width="8.71"/>
  </cols>
  <sheetData>
    <row r="2" ht="39.75" customHeight="1">
      <c r="B2" s="77" t="s">
        <v>1159</v>
      </c>
      <c r="C2" s="34"/>
      <c r="D2" s="34"/>
      <c r="E2" s="34"/>
      <c r="F2" s="34"/>
      <c r="G2" s="2"/>
    </row>
    <row r="3" ht="18.0" customHeight="1">
      <c r="B3" s="78" t="s">
        <v>1160</v>
      </c>
      <c r="C3" s="34"/>
      <c r="D3" s="34"/>
      <c r="E3" s="34"/>
      <c r="F3" s="34"/>
      <c r="G3" s="2"/>
    </row>
    <row r="4" ht="19.5" customHeight="1">
      <c r="B4" s="65" t="s">
        <v>1133</v>
      </c>
      <c r="C4" s="65" t="s">
        <v>1132</v>
      </c>
      <c r="D4" s="65" t="s">
        <v>1151</v>
      </c>
      <c r="E4" s="65" t="s">
        <v>1152</v>
      </c>
      <c r="F4" s="65" t="s">
        <v>20</v>
      </c>
      <c r="G4" s="65" t="s">
        <v>1154</v>
      </c>
    </row>
    <row r="5" ht="15.75" customHeight="1">
      <c r="B5" s="79" t="s">
        <v>10</v>
      </c>
      <c r="C5" s="80" t="s">
        <v>31</v>
      </c>
      <c r="D5" s="81">
        <f>IFERROR(SUMIFS(Datos!$F$2:$F$5001,Datos!$B$2:$B$5001,C5,Datos!$A$2:$A$5001,"&lt;&gt;"&amp;Config!$C$9),0)</f>
        <v>547395.66</v>
      </c>
      <c r="E5" s="81">
        <f>IFERROR(SUMIFS(Datos!$G$2:$G$5001,Datos!$B$2:$B$5001,C5,Datos!$A$2:$A$5001,"&lt;&gt;"&amp;Config!$C$9),0)</f>
        <v>547395.66</v>
      </c>
      <c r="F5" s="82">
        <f>IFERROR(SUMIFS(Datos!$H$2:$H$5001,Datos!$B$2:$B$5001,C5,Datos!$A$2:$A$5001,"&lt;&gt;"&amp;Config!$C$9),0)</f>
        <v>0</v>
      </c>
      <c r="G5" s="83">
        <f>IFERROR(D5/SUMIFS(Datos!$F$2:$F$5001,Datos!$A$2:$A$5001,"&lt;&gt;"&amp;Config!$C$9),0)</f>
        <v>0.02426192661</v>
      </c>
    </row>
    <row r="6" ht="15.75" customHeight="1">
      <c r="B6" s="84" t="s">
        <v>10</v>
      </c>
      <c r="C6" s="80" t="s">
        <v>603</v>
      </c>
      <c r="D6" s="85">
        <f>IFERROR(SUMIFS(Datos!$F$2:$F$5001,Datos!$B$2:$B$5001,C6,Datos!$A$2:$A$5001,"&lt;&gt;"&amp;Config!$C$9),0)</f>
        <v>463649.63</v>
      </c>
      <c r="E6" s="85">
        <f>IFERROR(SUMIFS(Datos!$G$2:$G$5001,Datos!$B$2:$B$5001,C6,Datos!$A$2:$A$5001,"&lt;&gt;"&amp;Config!$C$9),0)</f>
        <v>463649.63</v>
      </c>
      <c r="F6" s="86">
        <f>IFERROR(SUMIFS(Datos!$H$2:$H$5001,Datos!$B$2:$B$5001,C6,Datos!$A$2:$A$5001,"&lt;&gt;"&amp;Config!$C$9),0)</f>
        <v>0</v>
      </c>
      <c r="G6" s="72">
        <f>IFERROR(D6/SUMIFS(Datos!$F$2:$F$5001,Datos!$A$2:$A$5001,"&lt;&gt;"&amp;Config!$C$9),0)</f>
        <v>0.02055009588</v>
      </c>
    </row>
    <row r="7" ht="15.75" customHeight="1">
      <c r="B7" s="79" t="s">
        <v>10</v>
      </c>
      <c r="C7" s="80" t="s">
        <v>548</v>
      </c>
      <c r="D7" s="81">
        <f>IFERROR(SUMIFS(Datos!$F$2:$F$5001,Datos!$B$2:$B$5001,C7,Datos!$A$2:$A$5001,"&lt;&gt;"&amp;Config!$C$9),0)</f>
        <v>93060.01</v>
      </c>
      <c r="E7" s="81">
        <f>IFERROR(SUMIFS(Datos!$G$2:$G$5001,Datos!$B$2:$B$5001,C7,Datos!$A$2:$A$5001,"&lt;&gt;"&amp;Config!$C$9),0)</f>
        <v>93060.01</v>
      </c>
      <c r="F7" s="82">
        <f>IFERROR(SUMIFS(Datos!$H$2:$H$5001,Datos!$B$2:$B$5001,C7,Datos!$A$2:$A$5001,"&lt;&gt;"&amp;Config!$C$9),0)</f>
        <v>0</v>
      </c>
      <c r="G7" s="83">
        <f>IFERROR(D7/SUMIFS(Datos!$F$2:$F$5001,Datos!$A$2:$A$5001,"&lt;&gt;"&amp;Config!$C$9),0)</f>
        <v>0.004124649314</v>
      </c>
    </row>
    <row r="8" ht="15.75" customHeight="1">
      <c r="B8" s="84" t="s">
        <v>10</v>
      </c>
      <c r="C8" s="80" t="s">
        <v>91</v>
      </c>
      <c r="D8" s="85">
        <f>IFERROR(SUMIFS(Datos!$F$2:$F$5001,Datos!$B$2:$B$5001,C8,Datos!$A$2:$A$5001,"&lt;&gt;"&amp;Config!$C$9),0)</f>
        <v>74808.13</v>
      </c>
      <c r="E8" s="85">
        <f>IFERROR(SUMIFS(Datos!$G$2:$G$5001,Datos!$B$2:$B$5001,C8,Datos!$A$2:$A$5001,"&lt;&gt;"&amp;Config!$C$9),0)</f>
        <v>74808.13</v>
      </c>
      <c r="F8" s="86">
        <f>IFERROR(SUMIFS(Datos!$H$2:$H$5001,Datos!$B$2:$B$5001,C8,Datos!$A$2:$A$5001,"&lt;&gt;"&amp;Config!$C$9),0)</f>
        <v>0</v>
      </c>
      <c r="G8" s="72">
        <f>IFERROR(D8/SUMIFS(Datos!$F$2:$F$5001,Datos!$A$2:$A$5001,"&lt;&gt;"&amp;Config!$C$9),0)</f>
        <v>0.003315680947</v>
      </c>
    </row>
    <row r="9" ht="15.75" customHeight="1">
      <c r="B9" s="79" t="s">
        <v>10</v>
      </c>
      <c r="C9" s="80" t="s">
        <v>999</v>
      </c>
      <c r="D9" s="81">
        <f>IFERROR(SUMIFS(Datos!$F$2:$F$5001,Datos!$B$2:$B$5001,C9,Datos!$A$2:$A$5001,"&lt;&gt;"&amp;Config!$C$9),0)</f>
        <v>14666.66</v>
      </c>
      <c r="E9" s="81">
        <f>IFERROR(SUMIFS(Datos!$G$2:$G$5001,Datos!$B$2:$B$5001,C9,Datos!$A$2:$A$5001,"&lt;&gt;"&amp;Config!$C$9),0)</f>
        <v>14666.66</v>
      </c>
      <c r="F9" s="82">
        <f>IFERROR(SUMIFS(Datos!$H$2:$H$5001,Datos!$B$2:$B$5001,C9,Datos!$A$2:$A$5001,"&lt;&gt;"&amp;Config!$C$9),0)</f>
        <v>0</v>
      </c>
      <c r="G9" s="83">
        <f>IFERROR(D9/SUMIFS(Datos!$F$2:$F$5001,Datos!$A$2:$A$5001,"&lt;&gt;"&amp;Config!$C$9),0)</f>
        <v>0.0006500625683</v>
      </c>
    </row>
    <row r="10" ht="15.75" customHeight="1">
      <c r="B10" s="84" t="s">
        <v>10</v>
      </c>
      <c r="C10" s="80" t="s">
        <v>28</v>
      </c>
      <c r="D10" s="85">
        <f>IFERROR(SUMIFS(Datos!$F$2:$F$5001,Datos!$B$2:$B$5001,C10,Datos!$A$2:$A$5001,"&lt;&gt;"&amp;Config!$C$9),0)</f>
        <v>9543.32</v>
      </c>
      <c r="E10" s="85">
        <f>IFERROR(SUMIFS(Datos!$G$2:$G$5001,Datos!$B$2:$B$5001,C10,Datos!$A$2:$A$5001,"&lt;&gt;"&amp;Config!$C$9),0)</f>
        <v>9543.32</v>
      </c>
      <c r="F10" s="86">
        <f>IFERROR(SUMIFS(Datos!$H$2:$H$5001,Datos!$B$2:$B$5001,C10,Datos!$A$2:$A$5001,"&lt;&gt;"&amp;Config!$C$9),0)</f>
        <v>0</v>
      </c>
      <c r="G10" s="72">
        <f>IFERROR(D10/SUMIFS(Datos!$F$2:$F$5001,Datos!$A$2:$A$5001,"&lt;&gt;"&amp;Config!$C$9),0)</f>
        <v>0.0004229834951</v>
      </c>
    </row>
    <row r="11" ht="15.75" customHeight="1">
      <c r="B11" s="79" t="s">
        <v>10</v>
      </c>
      <c r="C11" s="80" t="s">
        <v>49</v>
      </c>
      <c r="D11" s="81">
        <f>IFERROR(SUMIFS(Datos!$F$2:$F$5001,Datos!$B$2:$B$5001,C11,Datos!$A$2:$A$5001,"&lt;&gt;"&amp;Config!$C$9),0)</f>
        <v>5199.99</v>
      </c>
      <c r="E11" s="81">
        <f>IFERROR(SUMIFS(Datos!$G$2:$G$5001,Datos!$B$2:$B$5001,C11,Datos!$A$2:$A$5001,"&lt;&gt;"&amp;Config!$C$9),0)</f>
        <v>5199.99</v>
      </c>
      <c r="F11" s="82">
        <f>IFERROR(SUMIFS(Datos!$H$2:$H$5001,Datos!$B$2:$B$5001,C11,Datos!$A$2:$A$5001,"&lt;&gt;"&amp;Config!$C$9),0)</f>
        <v>0</v>
      </c>
      <c r="G11" s="83">
        <f>IFERROR(D11/SUMIFS(Datos!$F$2:$F$5001,Datos!$A$2:$A$5001,"&lt;&gt;"&amp;Config!$C$9),0)</f>
        <v>0.0002304763903</v>
      </c>
    </row>
    <row r="12" ht="15.75" customHeight="1">
      <c r="B12" s="84" t="s">
        <v>10</v>
      </c>
      <c r="C12" s="80" t="s">
        <v>222</v>
      </c>
      <c r="D12" s="85">
        <f>IFERROR(SUMIFS(Datos!$F$2:$F$5001,Datos!$B$2:$B$5001,C12,Datos!$A$2:$A$5001,"&lt;&gt;"&amp;Config!$C$9),0)</f>
        <v>5080</v>
      </c>
      <c r="E12" s="85">
        <f>IFERROR(SUMIFS(Datos!$G$2:$G$5001,Datos!$B$2:$B$5001,C12,Datos!$A$2:$A$5001,"&lt;&gt;"&amp;Config!$C$9),0)</f>
        <v>5080</v>
      </c>
      <c r="F12" s="86">
        <f>IFERROR(SUMIFS(Datos!$H$2:$H$5001,Datos!$B$2:$B$5001,C12,Datos!$A$2:$A$5001,"&lt;&gt;"&amp;Config!$C$9),0)</f>
        <v>0</v>
      </c>
      <c r="G12" s="72">
        <f>IFERROR(D12/SUMIFS(Datos!$F$2:$F$5001,Datos!$A$2:$A$5001,"&lt;&gt;"&amp;Config!$C$9),0)</f>
        <v>0.0002251581374</v>
      </c>
    </row>
    <row r="13" ht="15.75" customHeight="1">
      <c r="B13" s="79" t="s">
        <v>10</v>
      </c>
      <c r="C13" s="80" t="s">
        <v>66</v>
      </c>
      <c r="D13" s="81">
        <f>IFERROR(SUMIFS(Datos!$F$2:$F$5001,Datos!$B$2:$B$5001,C13,Datos!$A$2:$A$5001,"&lt;&gt;"&amp;Config!$C$9),0)</f>
        <v>10349.97</v>
      </c>
      <c r="E13" s="81">
        <f>IFERROR(SUMIFS(Datos!$G$2:$G$5001,Datos!$B$2:$B$5001,C13,Datos!$A$2:$A$5001,"&lt;&gt;"&amp;Config!$C$9),0)</f>
        <v>10349.97</v>
      </c>
      <c r="F13" s="82">
        <f>IFERROR(SUMIFS(Datos!$H$2:$H$5001,Datos!$B$2:$B$5001,C13,Datos!$A$2:$A$5001,"&lt;&gt;"&amp;Config!$C$9),0)</f>
        <v>0</v>
      </c>
      <c r="G13" s="83">
        <f>IFERROR(D13/SUMIFS(Datos!$F$2:$F$5001,Datos!$A$2:$A$5001,"&lt;&gt;"&amp;Config!$C$9),0)</f>
        <v>0.0004587362139</v>
      </c>
    </row>
    <row r="14" ht="15.75" customHeight="1">
      <c r="B14" s="84" t="s">
        <v>11</v>
      </c>
      <c r="C14" s="80" t="s">
        <v>140</v>
      </c>
      <c r="D14" s="85">
        <f>IFERROR(SUMIFS(Datos!$F$2:$F$5001,Datos!$B$2:$B$5001,C14,Datos!$A$2:$A$5001,"&lt;&gt;"&amp;Config!$C$9),0)</f>
        <v>7166899.96</v>
      </c>
      <c r="E14" s="85">
        <f>IFERROR(SUMIFS(Datos!$G$2:$G$5001,Datos!$B$2:$B$5001,C14,Datos!$A$2:$A$5001,"&lt;&gt;"&amp;Config!$C$9),0)</f>
        <v>5742286.76</v>
      </c>
      <c r="F14" s="86">
        <f>IFERROR(SUMIFS(Datos!$H$2:$H$5001,Datos!$B$2:$B$5001,C14,Datos!$A$2:$A$5001,"&lt;&gt;"&amp;Config!$C$9),0)</f>
        <v>1424883.2</v>
      </c>
      <c r="G14" s="72">
        <f>IFERROR(D14/SUMIFS(Datos!$F$2:$F$5001,Datos!$A$2:$A$5001,"&lt;&gt;"&amp;Config!$C$9),0)</f>
        <v>0.317654694</v>
      </c>
    </row>
    <row r="15" ht="15.75" customHeight="1">
      <c r="B15" s="79" t="s">
        <v>11</v>
      </c>
      <c r="C15" s="80" t="s">
        <v>129</v>
      </c>
      <c r="D15" s="81">
        <f>IFERROR(SUMIFS(Datos!$F$2:$F$5001,Datos!$B$2:$B$5001,C15,Datos!$A$2:$A$5001,"&lt;&gt;"&amp;Config!$C$9),0)</f>
        <v>3700000</v>
      </c>
      <c r="E15" s="81">
        <f>IFERROR(SUMIFS(Datos!$G$2:$G$5001,Datos!$B$2:$B$5001,C15,Datos!$A$2:$A$5001,"&lt;&gt;"&amp;Config!$C$9),0)</f>
        <v>3700000</v>
      </c>
      <c r="F15" s="82">
        <f>IFERROR(SUMIFS(Datos!$H$2:$H$5001,Datos!$B$2:$B$5001,C15,Datos!$A$2:$A$5001,"&lt;&gt;"&amp;Config!$C$9),0)</f>
        <v>0</v>
      </c>
      <c r="G15" s="83">
        <f>IFERROR(D15/SUMIFS(Datos!$F$2:$F$5001,Datos!$A$2:$A$5001,"&lt;&gt;"&amp;Config!$C$9),0)</f>
        <v>0.1639931315</v>
      </c>
    </row>
    <row r="16" ht="15.75" customHeight="1">
      <c r="B16" s="84" t="s">
        <v>11</v>
      </c>
      <c r="C16" s="80" t="s">
        <v>842</v>
      </c>
      <c r="D16" s="85">
        <f>IFERROR(SUMIFS(Datos!$F$2:$F$5001,Datos!$B$2:$B$5001,C16,Datos!$A$2:$A$5001,"&lt;&gt;"&amp;Config!$C$9),0)</f>
        <v>1824339.6</v>
      </c>
      <c r="E16" s="85">
        <f>IFERROR(SUMIFS(Datos!$G$2:$G$5001,Datos!$B$2:$B$5001,C16,Datos!$A$2:$A$5001,"&lt;&gt;"&amp;Config!$C$9),0)</f>
        <v>1824339.6</v>
      </c>
      <c r="F16" s="86">
        <f>IFERROR(SUMIFS(Datos!$H$2:$H$5001,Datos!$B$2:$B$5001,C16,Datos!$A$2:$A$5001,"&lt;&gt;"&amp;Config!$C$9),0)</f>
        <v>0</v>
      </c>
      <c r="G16" s="72">
        <f>IFERROR(D16/SUMIFS(Datos!$F$2:$F$5001,Datos!$A$2:$A$5001,"&lt;&gt;"&amp;Config!$C$9),0)</f>
        <v>0.08085923351</v>
      </c>
    </row>
    <row r="17" ht="15.75" customHeight="1">
      <c r="B17" s="79" t="s">
        <v>11</v>
      </c>
      <c r="C17" s="80" t="s">
        <v>225</v>
      </c>
      <c r="D17" s="81">
        <f>IFERROR(SUMIFS(Datos!$F$2:$F$5001,Datos!$B$2:$B$5001,C17,Datos!$A$2:$A$5001,"&lt;&gt;"&amp;Config!$C$9),0)</f>
        <v>1800000</v>
      </c>
      <c r="E17" s="81">
        <f>IFERROR(SUMIFS(Datos!$G$2:$G$5001,Datos!$B$2:$B$5001,C17,Datos!$A$2:$A$5001,"&lt;&gt;"&amp;Config!$C$9),0)</f>
        <v>1800000</v>
      </c>
      <c r="F17" s="82">
        <f>IFERROR(SUMIFS(Datos!$H$2:$H$5001,Datos!$B$2:$B$5001,C17,Datos!$A$2:$A$5001,"&lt;&gt;"&amp;Config!$C$9),0)</f>
        <v>0</v>
      </c>
      <c r="G17" s="83">
        <f>IFERROR(D17/SUMIFS(Datos!$F$2:$F$5001,Datos!$A$2:$A$5001,"&lt;&gt;"&amp;Config!$C$9),0)</f>
        <v>0.07978044237</v>
      </c>
    </row>
    <row r="18" ht="15.75" customHeight="1">
      <c r="B18" s="84" t="s">
        <v>11</v>
      </c>
      <c r="C18" s="80" t="s">
        <v>21</v>
      </c>
      <c r="D18" s="85">
        <f>IFERROR(SUMIFS(Datos!$F$2:$F$5001,Datos!$B$2:$B$5001,C18,Datos!$A$2:$A$5001,"&lt;&gt;"&amp;Config!$C$9),0)</f>
        <v>1201151.12</v>
      </c>
      <c r="E18" s="85">
        <f>IFERROR(SUMIFS(Datos!$G$2:$G$5001,Datos!$B$2:$B$5001,C18,Datos!$A$2:$A$5001,"&lt;&gt;"&amp;Config!$C$9),0)</f>
        <v>1201151.12</v>
      </c>
      <c r="F18" s="86">
        <f>IFERROR(SUMIFS(Datos!$H$2:$H$5001,Datos!$B$2:$B$5001,C18,Datos!$A$2:$A$5001,"&lt;&gt;"&amp;Config!$C$9),0)</f>
        <v>0</v>
      </c>
      <c r="G18" s="72">
        <f>IFERROR(D18/SUMIFS(Datos!$F$2:$F$5001,Datos!$A$2:$A$5001,"&lt;&gt;"&amp;Config!$C$9),0)</f>
        <v>0.05323798206</v>
      </c>
    </row>
    <row r="19" ht="15.75" customHeight="1">
      <c r="B19" s="79" t="s">
        <v>11</v>
      </c>
      <c r="C19" s="80" t="s">
        <v>266</v>
      </c>
      <c r="D19" s="81">
        <f>IFERROR(SUMIFS(Datos!$F$2:$F$5001,Datos!$B$2:$B$5001,C19,Datos!$A$2:$A$5001,"&lt;&gt;"&amp;Config!$C$9),0)</f>
        <v>965646.31</v>
      </c>
      <c r="E19" s="81">
        <f>IFERROR(SUMIFS(Datos!$G$2:$G$5001,Datos!$B$2:$B$5001,C19,Datos!$A$2:$A$5001,"&lt;&gt;"&amp;Config!$C$9),0)</f>
        <v>965646.31</v>
      </c>
      <c r="F19" s="82">
        <f>IFERROR(SUMIFS(Datos!$H$2:$H$5001,Datos!$B$2:$B$5001,C19,Datos!$A$2:$A$5001,"&lt;&gt;"&amp;Config!$C$9),0)</f>
        <v>0</v>
      </c>
      <c r="G19" s="83">
        <f>IFERROR(D19/SUMIFS(Datos!$F$2:$F$5001,Datos!$A$2:$A$5001,"&lt;&gt;"&amp;Config!$C$9),0)</f>
        <v>0.04279982766</v>
      </c>
    </row>
    <row r="20" ht="15.75" customHeight="1">
      <c r="B20" s="84" t="s">
        <v>11</v>
      </c>
      <c r="C20" s="80" t="s">
        <v>335</v>
      </c>
      <c r="D20" s="85">
        <f>IFERROR(SUMIFS(Datos!$F$2:$F$5001,Datos!$B$2:$B$5001,C20,Datos!$A$2:$A$5001,"&lt;&gt;"&amp;Config!$C$9),0)</f>
        <v>881045.1</v>
      </c>
      <c r="E20" s="85">
        <f>IFERROR(SUMIFS(Datos!$G$2:$G$5001,Datos!$B$2:$B$5001,C20,Datos!$A$2:$A$5001,"&lt;&gt;"&amp;Config!$C$9),0)</f>
        <v>884605.1</v>
      </c>
      <c r="F20" s="86">
        <f>IFERROR(SUMIFS(Datos!$H$2:$H$5001,Datos!$B$2:$B$5001,C20,Datos!$A$2:$A$5001,"&lt;&gt;"&amp;Config!$C$9),0)</f>
        <v>0</v>
      </c>
      <c r="G20" s="72">
        <f>IFERROR(D20/SUMIFS(Datos!$F$2:$F$5001,Datos!$A$2:$A$5001,"&lt;&gt;"&amp;Config!$C$9),0)</f>
        <v>0.03905009324</v>
      </c>
    </row>
    <row r="21" ht="15.75" customHeight="1">
      <c r="B21" s="79" t="s">
        <v>11</v>
      </c>
      <c r="C21" s="80" t="s">
        <v>551</v>
      </c>
      <c r="D21" s="81">
        <f>IFERROR(SUMIFS(Datos!$F$2:$F$5001,Datos!$B$2:$B$5001,C21,Datos!$A$2:$A$5001,"&lt;&gt;"&amp;Config!$C$9),0)</f>
        <v>575219.49</v>
      </c>
      <c r="E21" s="81">
        <f>IFERROR(SUMIFS(Datos!$G$2:$G$5001,Datos!$B$2:$B$5001,C21,Datos!$A$2:$A$5001,"&lt;&gt;"&amp;Config!$C$9),0)</f>
        <v>575219.49</v>
      </c>
      <c r="F21" s="82">
        <f>IFERROR(SUMIFS(Datos!$H$2:$H$5001,Datos!$B$2:$B$5001,C21,Datos!$A$2:$A$5001,"&lt;&gt;"&amp;Config!$C$9),0)</f>
        <v>0</v>
      </c>
      <c r="G21" s="83">
        <f>IFERROR(D21/SUMIFS(Datos!$F$2:$F$5001,Datos!$A$2:$A$5001,"&lt;&gt;"&amp;Config!$C$9),0)</f>
        <v>0.02549514743</v>
      </c>
    </row>
    <row r="22" ht="15.75" customHeight="1">
      <c r="B22" s="84" t="s">
        <v>11</v>
      </c>
      <c r="C22" s="80" t="s">
        <v>298</v>
      </c>
      <c r="D22" s="85">
        <f>IFERROR(SUMIFS(Datos!$F$2:$F$5001,Datos!$B$2:$B$5001,C22,Datos!$A$2:$A$5001,"&lt;&gt;"&amp;Config!$C$9),0)</f>
        <v>766900.04</v>
      </c>
      <c r="E22" s="85">
        <f>IFERROR(SUMIFS(Datos!$G$2:$G$5001,Datos!$B$2:$B$5001,C22,Datos!$A$2:$A$5001,"&lt;&gt;"&amp;Config!$C$9),0)</f>
        <v>766900.04</v>
      </c>
      <c r="F22" s="86">
        <f>IFERROR(SUMIFS(Datos!$H$2:$H$5001,Datos!$B$2:$B$5001,C22,Datos!$A$2:$A$5001,"&lt;&gt;"&amp;Config!$C$9),0)</f>
        <v>0</v>
      </c>
      <c r="G22" s="72">
        <f>IFERROR(D22/SUMIFS(Datos!$F$2:$F$5001,Datos!$A$2:$A$5001,"&lt;&gt;"&amp;Config!$C$9),0)</f>
        <v>0.03399090247</v>
      </c>
    </row>
    <row r="23" ht="15.75" customHeight="1">
      <c r="B23" s="79" t="s">
        <v>11</v>
      </c>
      <c r="C23" s="80" t="s">
        <v>45</v>
      </c>
      <c r="D23" s="81">
        <f>IFERROR(SUMIFS(Datos!$F$2:$F$5001,Datos!$B$2:$B$5001,C23,Datos!$A$2:$A$5001,"&lt;&gt;"&amp;Config!$C$9),0)</f>
        <v>506563.84</v>
      </c>
      <c r="E23" s="81">
        <f>IFERROR(SUMIFS(Datos!$G$2:$G$5001,Datos!$B$2:$B$5001,C23,Datos!$A$2:$A$5001,"&lt;&gt;"&amp;Config!$C$9),0)</f>
        <v>506563.84</v>
      </c>
      <c r="F23" s="82">
        <f>IFERROR(SUMIFS(Datos!$H$2:$H$5001,Datos!$B$2:$B$5001,C23,Datos!$A$2:$A$5001,"&lt;&gt;"&amp;Config!$C$9),0)</f>
        <v>0</v>
      </c>
      <c r="G23" s="83">
        <f>IFERROR(D23/SUMIFS(Datos!$F$2:$F$5001,Datos!$A$2:$A$5001,"&lt;&gt;"&amp;Config!$C$9),0)</f>
        <v>0.02245215958</v>
      </c>
    </row>
    <row r="24" ht="15.75" customHeight="1">
      <c r="B24" s="84" t="s">
        <v>11</v>
      </c>
      <c r="C24" s="80" t="s">
        <v>980</v>
      </c>
      <c r="D24" s="85">
        <f>IFERROR(SUMIFS(Datos!$F$2:$F$5001,Datos!$B$2:$B$5001,C24,Datos!$A$2:$A$5001,"&lt;&gt;"&amp;Config!$C$9),0)</f>
        <v>419600</v>
      </c>
      <c r="E24" s="85">
        <f>IFERROR(SUMIFS(Datos!$G$2:$G$5001,Datos!$B$2:$B$5001,C24,Datos!$A$2:$A$5001,"&lt;&gt;"&amp;Config!$C$9),0)</f>
        <v>419600</v>
      </c>
      <c r="F24" s="86">
        <f>IFERROR(SUMIFS(Datos!$H$2:$H$5001,Datos!$B$2:$B$5001,C24,Datos!$A$2:$A$5001,"&lt;&gt;"&amp;Config!$C$9),0)</f>
        <v>0</v>
      </c>
      <c r="G24" s="72">
        <f>IFERROR(D24/SUMIFS(Datos!$F$2:$F$5001,Datos!$A$2:$A$5001,"&lt;&gt;"&amp;Config!$C$9),0)</f>
        <v>0.01859770757</v>
      </c>
    </row>
    <row r="25" ht="15.75" customHeight="1">
      <c r="B25" s="79" t="s">
        <v>11</v>
      </c>
      <c r="C25" s="80" t="s">
        <v>587</v>
      </c>
      <c r="D25" s="81">
        <f>IFERROR(SUMIFS(Datos!$F$2:$F$5001,Datos!$B$2:$B$5001,C25,Datos!$A$2:$A$5001,"&lt;&gt;"&amp;Config!$C$9),0)</f>
        <v>266470</v>
      </c>
      <c r="E25" s="81">
        <f>IFERROR(SUMIFS(Datos!$G$2:$G$5001,Datos!$B$2:$B$5001,C25,Datos!$A$2:$A$5001,"&lt;&gt;"&amp;Config!$C$9),0)</f>
        <v>266470</v>
      </c>
      <c r="F25" s="82">
        <f>IFERROR(SUMIFS(Datos!$H$2:$H$5001,Datos!$B$2:$B$5001,C25,Datos!$A$2:$A$5001,"&lt;&gt;"&amp;Config!$C$9),0)</f>
        <v>0</v>
      </c>
      <c r="G25" s="83">
        <f>IFERROR(D25/SUMIFS(Datos!$F$2:$F$5001,Datos!$A$2:$A$5001,"&lt;&gt;"&amp;Config!$C$9),0)</f>
        <v>0.01181060804</v>
      </c>
    </row>
    <row r="26" ht="15.75" customHeight="1">
      <c r="B26" s="84" t="s">
        <v>11</v>
      </c>
      <c r="C26" s="80" t="s">
        <v>125</v>
      </c>
      <c r="D26" s="85">
        <f>IFERROR(SUMIFS(Datos!$F$2:$F$5001,Datos!$B$2:$B$5001,C26,Datos!$A$2:$A$5001,"&lt;&gt;"&amp;Config!$C$9),0)</f>
        <v>237889.29</v>
      </c>
      <c r="E26" s="85">
        <f>IFERROR(SUMIFS(Datos!$G$2:$G$5001,Datos!$B$2:$B$5001,C26,Datos!$A$2:$A$5001,"&lt;&gt;"&amp;Config!$C$9),0)</f>
        <v>237889.29</v>
      </c>
      <c r="F26" s="86">
        <f>IFERROR(SUMIFS(Datos!$H$2:$H$5001,Datos!$B$2:$B$5001,C26,Datos!$A$2:$A$5001,"&lt;&gt;"&amp;Config!$C$9),0)</f>
        <v>0</v>
      </c>
      <c r="G26" s="72">
        <f>IFERROR(D26/SUMIFS(Datos!$F$2:$F$5001,Datos!$A$2:$A$5001,"&lt;&gt;"&amp;Config!$C$9),0)</f>
        <v>0.01054384044</v>
      </c>
    </row>
    <row r="27" ht="15.75" customHeight="1">
      <c r="B27" s="79" t="s">
        <v>11</v>
      </c>
      <c r="C27" s="80" t="s">
        <v>72</v>
      </c>
      <c r="D27" s="81">
        <f>IFERROR(SUMIFS(Datos!$F$2:$F$5001,Datos!$B$2:$B$5001,C27,Datos!$A$2:$A$5001,"&lt;&gt;"&amp;Config!$C$9),0)</f>
        <v>192700</v>
      </c>
      <c r="E27" s="81">
        <f>IFERROR(SUMIFS(Datos!$G$2:$G$5001,Datos!$B$2:$B$5001,C27,Datos!$A$2:$A$5001,"&lt;&gt;"&amp;Config!$C$9),0)</f>
        <v>192700</v>
      </c>
      <c r="F27" s="82">
        <f>IFERROR(SUMIFS(Datos!$H$2:$H$5001,Datos!$B$2:$B$5001,C27,Datos!$A$2:$A$5001,"&lt;&gt;"&amp;Config!$C$9),0)</f>
        <v>0</v>
      </c>
      <c r="G27" s="83">
        <f>IFERROR(D27/SUMIFS(Datos!$F$2:$F$5001,Datos!$A$2:$A$5001,"&lt;&gt;"&amp;Config!$C$9),0)</f>
        <v>0.00854093958</v>
      </c>
    </row>
    <row r="28" ht="15.75" customHeight="1">
      <c r="B28" s="84" t="s">
        <v>11</v>
      </c>
      <c r="C28" s="80" t="s">
        <v>927</v>
      </c>
      <c r="D28" s="85">
        <f>IFERROR(SUMIFS(Datos!$F$2:$F$5001,Datos!$B$2:$B$5001,C28,Datos!$A$2:$A$5001,"&lt;&gt;"&amp;Config!$C$9),0)</f>
        <v>185894.5</v>
      </c>
      <c r="E28" s="85">
        <f>IFERROR(SUMIFS(Datos!$G$2:$G$5001,Datos!$B$2:$B$5001,C28,Datos!$A$2:$A$5001,"&lt;&gt;"&amp;Config!$C$9),0)</f>
        <v>185894.5</v>
      </c>
      <c r="F28" s="86">
        <f>IFERROR(SUMIFS(Datos!$H$2:$H$5001,Datos!$B$2:$B$5001,C28,Datos!$A$2:$A$5001,"&lt;&gt;"&amp;Config!$C$9),0)</f>
        <v>0</v>
      </c>
      <c r="G28" s="72">
        <f>IFERROR(D28/SUMIFS(Datos!$F$2:$F$5001,Datos!$A$2:$A$5001,"&lt;&gt;"&amp;Config!$C$9),0)</f>
        <v>0.008239303024</v>
      </c>
    </row>
    <row r="29" ht="15.75" customHeight="1">
      <c r="B29" s="79" t="s">
        <v>11</v>
      </c>
      <c r="C29" s="80" t="s">
        <v>314</v>
      </c>
      <c r="D29" s="81">
        <f>IFERROR(SUMIFS(Datos!$F$2:$F$5001,Datos!$B$2:$B$5001,C29,Datos!$A$2:$A$5001,"&lt;&gt;"&amp;Config!$C$9),0)</f>
        <v>155218.6</v>
      </c>
      <c r="E29" s="81">
        <f>IFERROR(SUMIFS(Datos!$G$2:$G$5001,Datos!$B$2:$B$5001,C29,Datos!$A$2:$A$5001,"&lt;&gt;"&amp;Config!$C$9),0)</f>
        <v>155218.6</v>
      </c>
      <c r="F29" s="82">
        <f>IFERROR(SUMIFS(Datos!$H$2:$H$5001,Datos!$B$2:$B$5001,C29,Datos!$A$2:$A$5001,"&lt;&gt;"&amp;Config!$C$9),0)</f>
        <v>0</v>
      </c>
      <c r="G29" s="83">
        <f>IFERROR(D29/SUMIFS(Datos!$F$2:$F$5001,Datos!$A$2:$A$5001,"&lt;&gt;"&amp;Config!$C$9),0)</f>
        <v>0.006879671429</v>
      </c>
    </row>
    <row r="30" ht="15.75" customHeight="1">
      <c r="B30" s="84" t="s">
        <v>11</v>
      </c>
      <c r="C30" s="80" t="s">
        <v>840</v>
      </c>
      <c r="D30" s="85">
        <f>IFERROR(SUMIFS(Datos!$F$2:$F$5001,Datos!$B$2:$B$5001,C30,Datos!$A$2:$A$5001,"&lt;&gt;"&amp;Config!$C$9),0)</f>
        <v>111785.52</v>
      </c>
      <c r="E30" s="85">
        <f>IFERROR(SUMIFS(Datos!$G$2:$G$5001,Datos!$B$2:$B$5001,C30,Datos!$A$2:$A$5001,"&lt;&gt;"&amp;Config!$C$9),0)</f>
        <v>111785.52</v>
      </c>
      <c r="F30" s="86">
        <f>IFERROR(SUMIFS(Datos!$H$2:$H$5001,Datos!$B$2:$B$5001,C30,Datos!$A$2:$A$5001,"&lt;&gt;"&amp;Config!$C$9),0)</f>
        <v>0</v>
      </c>
      <c r="G30" s="72">
        <f>IFERROR(D30/SUMIFS(Datos!$F$2:$F$5001,Datos!$A$2:$A$5001,"&lt;&gt;"&amp;Config!$C$9),0)</f>
        <v>0.004954610131</v>
      </c>
    </row>
    <row r="31" ht="15.75" customHeight="1">
      <c r="B31" s="79" t="s">
        <v>11</v>
      </c>
      <c r="C31" s="80" t="s">
        <v>62</v>
      </c>
      <c r="D31" s="81">
        <f>IFERROR(SUMIFS(Datos!$F$2:$F$5001,Datos!$B$2:$B$5001,C31,Datos!$A$2:$A$5001,"&lt;&gt;"&amp;Config!$C$9),0)</f>
        <v>86856.23</v>
      </c>
      <c r="E31" s="81">
        <f>IFERROR(SUMIFS(Datos!$G$2:$G$5001,Datos!$B$2:$B$5001,C31,Datos!$A$2:$A$5001,"&lt;&gt;"&amp;Config!$C$9),0)</f>
        <v>86856.23</v>
      </c>
      <c r="F31" s="82">
        <f>IFERROR(SUMIFS(Datos!$H$2:$H$5001,Datos!$B$2:$B$5001,C31,Datos!$A$2:$A$5001,"&lt;&gt;"&amp;Config!$C$9),0)</f>
        <v>0</v>
      </c>
      <c r="G31" s="83">
        <f>IFERROR(D31/SUMIFS(Datos!$F$2:$F$5001,Datos!$A$2:$A$5001,"&lt;&gt;"&amp;Config!$C$9),0)</f>
        <v>0.003849682473</v>
      </c>
    </row>
    <row r="32" ht="15.75" customHeight="1">
      <c r="B32" s="84" t="s">
        <v>11</v>
      </c>
      <c r="C32" s="80" t="s">
        <v>133</v>
      </c>
      <c r="D32" s="85">
        <f>IFERROR(SUMIFS(Datos!$F$2:$F$5001,Datos!$B$2:$B$5001,C32,Datos!$A$2:$A$5001,"&lt;&gt;"&amp;Config!$C$9),0)</f>
        <v>118501.77</v>
      </c>
      <c r="E32" s="85">
        <f>IFERROR(SUMIFS(Datos!$G$2:$G$5001,Datos!$B$2:$B$5001,C32,Datos!$A$2:$A$5001,"&lt;&gt;"&amp;Config!$C$9),0)</f>
        <v>118501.77</v>
      </c>
      <c r="F32" s="86">
        <f>IFERROR(SUMIFS(Datos!$H$2:$H$5001,Datos!$B$2:$B$5001,C32,Datos!$A$2:$A$5001,"&lt;&gt;"&amp;Config!$C$9),0)</f>
        <v>0</v>
      </c>
      <c r="G32" s="72">
        <f>IFERROR(D32/SUMIFS(Datos!$F$2:$F$5001,Datos!$A$2:$A$5001,"&lt;&gt;"&amp;Config!$C$9),0)</f>
        <v>0.005252290907</v>
      </c>
    </row>
    <row r="33" ht="15.75" customHeight="1">
      <c r="B33" s="79" t="s">
        <v>11</v>
      </c>
      <c r="C33" s="80" t="s">
        <v>864</v>
      </c>
      <c r="D33" s="81">
        <f>IFERROR(SUMIFS(Datos!$F$2:$F$5001,Datos!$B$2:$B$5001,C33,Datos!$A$2:$A$5001,"&lt;&gt;"&amp;Config!$C$9),0)</f>
        <v>71918.5</v>
      </c>
      <c r="E33" s="81">
        <f>IFERROR(SUMIFS(Datos!$G$2:$G$5001,Datos!$B$2:$B$5001,C33,Datos!$A$2:$A$5001,"&lt;&gt;"&amp;Config!$C$9),0)</f>
        <v>71918.5</v>
      </c>
      <c r="F33" s="82">
        <f>IFERROR(SUMIFS(Datos!$H$2:$H$5001,Datos!$B$2:$B$5001,C33,Datos!$A$2:$A$5001,"&lt;&gt;"&amp;Config!$C$9),0)</f>
        <v>0</v>
      </c>
      <c r="G33" s="83">
        <f>IFERROR(D33/SUMIFS(Datos!$F$2:$F$5001,Datos!$A$2:$A$5001,"&lt;&gt;"&amp;Config!$C$9),0)</f>
        <v>0.003187605414</v>
      </c>
    </row>
    <row r="34" ht="15.75" customHeight="1">
      <c r="B34" s="84" t="s">
        <v>11</v>
      </c>
      <c r="C34" s="80" t="s">
        <v>462</v>
      </c>
      <c r="D34" s="85">
        <f>IFERROR(SUMIFS(Datos!$F$2:$F$5001,Datos!$B$2:$B$5001,C34,Datos!$A$2:$A$5001,"&lt;&gt;"&amp;Config!$C$9),0)</f>
        <v>5775.52</v>
      </c>
      <c r="E34" s="85">
        <f>IFERROR(SUMIFS(Datos!$G$2:$G$5001,Datos!$B$2:$B$5001,C34,Datos!$A$2:$A$5001,"&lt;&gt;"&amp;Config!$C$9),0)</f>
        <v>1403.6</v>
      </c>
      <c r="F34" s="86">
        <f>IFERROR(SUMIFS(Datos!$H$2:$H$5001,Datos!$B$2:$B$5001,C34,Datos!$A$2:$A$5001,"&lt;&gt;"&amp;Config!$C$9),0)</f>
        <v>4371.92</v>
      </c>
      <c r="G34" s="72">
        <f>IFERROR(D34/SUMIFS(Datos!$F$2:$F$5001,Datos!$A$2:$A$5001,"&lt;&gt;"&amp;Config!$C$9),0)</f>
        <v>0.0002559853003</v>
      </c>
    </row>
    <row r="35" ht="15.75" customHeight="1">
      <c r="B35" s="79" t="s">
        <v>11</v>
      </c>
      <c r="C35" s="80" t="s">
        <v>835</v>
      </c>
      <c r="D35" s="81">
        <f>IFERROR(SUMIFS(Datos!$F$2:$F$5001,Datos!$B$2:$B$5001,C35,Datos!$A$2:$A$5001,"&lt;&gt;"&amp;Config!$C$9),0)</f>
        <v>27140</v>
      </c>
      <c r="E35" s="81">
        <f>IFERROR(SUMIFS(Datos!$G$2:$G$5001,Datos!$B$2:$B$5001,C35,Datos!$A$2:$A$5001,"&lt;&gt;"&amp;Config!$C$9),0)</f>
        <v>27140</v>
      </c>
      <c r="F35" s="82">
        <f>IFERROR(SUMIFS(Datos!$H$2:$H$5001,Datos!$B$2:$B$5001,C35,Datos!$A$2:$A$5001,"&lt;&gt;"&amp;Config!$C$9),0)</f>
        <v>0</v>
      </c>
      <c r="G35" s="83">
        <f>IFERROR(D35/SUMIFS(Datos!$F$2:$F$5001,Datos!$A$2:$A$5001,"&lt;&gt;"&amp;Config!$C$9),0)</f>
        <v>0.001202911781</v>
      </c>
    </row>
    <row r="36" ht="15.75" customHeight="1">
      <c r="B36" s="84" t="s">
        <v>11</v>
      </c>
      <c r="C36" s="80" t="s">
        <v>776</v>
      </c>
      <c r="D36" s="85">
        <f>IFERROR(SUMIFS(Datos!$F$2:$F$5001,Datos!$B$2:$B$5001,C36,Datos!$A$2:$A$5001,"&lt;&gt;"&amp;Config!$C$9),0)</f>
        <v>23836.0628</v>
      </c>
      <c r="E36" s="85">
        <f>IFERROR(SUMIFS(Datos!$G$2:$G$5001,Datos!$B$2:$B$5001,C36,Datos!$A$2:$A$5001,"&lt;&gt;"&amp;Config!$C$9),0)</f>
        <v>23836.0628</v>
      </c>
      <c r="F36" s="86">
        <f>IFERROR(SUMIFS(Datos!$H$2:$H$5001,Datos!$B$2:$B$5001,C36,Datos!$A$2:$A$5001,"&lt;&gt;"&amp;Config!$C$9),0)</f>
        <v>0</v>
      </c>
      <c r="G36" s="72">
        <f>IFERROR(D36/SUMIFS(Datos!$F$2:$F$5001,Datos!$A$2:$A$5001,"&lt;&gt;"&amp;Config!$C$9),0)</f>
        <v>0.00105647313</v>
      </c>
    </row>
    <row r="37" ht="15.75" customHeight="1">
      <c r="B37" s="79" t="s">
        <v>11</v>
      </c>
      <c r="C37" s="80" t="s">
        <v>246</v>
      </c>
      <c r="D37" s="81">
        <f>IFERROR(SUMIFS(Datos!$F$2:$F$5001,Datos!$B$2:$B$5001,C37,Datos!$A$2:$A$5001,"&lt;&gt;"&amp;Config!$C$9),0)</f>
        <v>23084</v>
      </c>
      <c r="E37" s="81">
        <f>IFERROR(SUMIFS(Datos!$G$2:$G$5001,Datos!$B$2:$B$5001,C37,Datos!$A$2:$A$5001,"&lt;&gt;"&amp;Config!$C$9),0)</f>
        <v>23084</v>
      </c>
      <c r="F37" s="82">
        <f>IFERROR(SUMIFS(Datos!$H$2:$H$5001,Datos!$B$2:$B$5001,C37,Datos!$A$2:$A$5001,"&lt;&gt;"&amp;Config!$C$9),0)</f>
        <v>0</v>
      </c>
      <c r="G37" s="83">
        <f>IFERROR(D37/SUMIFS(Datos!$F$2:$F$5001,Datos!$A$2:$A$5001,"&lt;&gt;"&amp;Config!$C$9),0)</f>
        <v>0.001023139851</v>
      </c>
    </row>
    <row r="38" ht="15.75" customHeight="1">
      <c r="B38" s="84" t="s">
        <v>11</v>
      </c>
      <c r="C38" s="80" t="s">
        <v>229</v>
      </c>
      <c r="D38" s="85">
        <f>IFERROR(SUMIFS(Datos!$F$2:$F$5001,Datos!$B$2:$B$5001,C38,Datos!$A$2:$A$5001,"&lt;&gt;"&amp;Config!$C$9),0)</f>
        <v>12644</v>
      </c>
      <c r="E38" s="85">
        <f>IFERROR(SUMIFS(Datos!$G$2:$G$5001,Datos!$B$2:$B$5001,C38,Datos!$A$2:$A$5001,"&lt;&gt;"&amp;Config!$C$9),0)</f>
        <v>12644</v>
      </c>
      <c r="F38" s="86">
        <f>IFERROR(SUMIFS(Datos!$H$2:$H$5001,Datos!$B$2:$B$5001,C38,Datos!$A$2:$A$5001,"&lt;&gt;"&amp;Config!$C$9),0)</f>
        <v>0</v>
      </c>
      <c r="G38" s="72">
        <f>IFERROR(D38/SUMIFS(Datos!$F$2:$F$5001,Datos!$A$2:$A$5001,"&lt;&gt;"&amp;Config!$C$9),0)</f>
        <v>0.0005604132852</v>
      </c>
    </row>
    <row r="39" ht="15.75" customHeight="1">
      <c r="B39" s="79" t="s">
        <v>11</v>
      </c>
      <c r="C39" s="80" t="s">
        <v>87</v>
      </c>
      <c r="D39" s="81">
        <f>IFERROR(SUMIFS(Datos!$F$2:$F$5001,Datos!$B$2:$B$5001,C39,Datos!$A$2:$A$5001,"&lt;&gt;"&amp;Config!$C$9),0)</f>
        <v>11087.7</v>
      </c>
      <c r="E39" s="81">
        <f>IFERROR(SUMIFS(Datos!$G$2:$G$5001,Datos!$B$2:$B$5001,C39,Datos!$A$2:$A$5001,"&lt;&gt;"&amp;Config!$C$9),0)</f>
        <v>11087.7</v>
      </c>
      <c r="F39" s="82">
        <f>IFERROR(SUMIFS(Datos!$H$2:$H$5001,Datos!$B$2:$B$5001,C39,Datos!$A$2:$A$5001,"&lt;&gt;"&amp;Config!$C$9),0)</f>
        <v>0</v>
      </c>
      <c r="G39" s="83">
        <f>IFERROR(D39/SUMIFS(Datos!$F$2:$F$5001,Datos!$A$2:$A$5001,"&lt;&gt;"&amp;Config!$C$9),0)</f>
        <v>0.0004914342283</v>
      </c>
    </row>
    <row r="40" ht="15.75" customHeight="1">
      <c r="B40" s="84" t="s">
        <v>11</v>
      </c>
      <c r="C40" s="80" t="s">
        <v>66</v>
      </c>
      <c r="D40" s="85">
        <f>IFERROR(SUMIFS(Datos!$F$2:$F$5001,Datos!$B$2:$B$5001,C40,Datos!$A$2:$A$5001,"&lt;&gt;"&amp;Config!$C$9),0)</f>
        <v>10349.97</v>
      </c>
      <c r="E40" s="85">
        <f>IFERROR(SUMIFS(Datos!$G$2:$G$5001,Datos!$B$2:$B$5001,C40,Datos!$A$2:$A$5001,"&lt;&gt;"&amp;Config!$C$9),0)</f>
        <v>10349.97</v>
      </c>
      <c r="F40" s="86">
        <f>IFERROR(SUMIFS(Datos!$H$2:$H$5001,Datos!$B$2:$B$5001,C40,Datos!$A$2:$A$5001,"&lt;&gt;"&amp;Config!$C$9),0)</f>
        <v>0</v>
      </c>
      <c r="G40" s="72">
        <f>IFERROR(D40/SUMIFS(Datos!$F$2:$F$5001,Datos!$A$2:$A$5001,"&lt;&gt;"&amp;Config!$C$9),0)</f>
        <v>0.0004587362139</v>
      </c>
    </row>
    <row r="41" ht="18.0" customHeight="1">
      <c r="B41" s="73" t="s">
        <v>1157</v>
      </c>
      <c r="C41" s="74"/>
      <c r="D41" s="75">
        <f>SUMIFS(Datos!$F$2:$F$5001,Datos!$A$2:$A$5001,"&lt;&gt;"&amp;Config!$C$9)</f>
        <v>22561920.52</v>
      </c>
      <c r="E41" s="75">
        <f>SUMIFS(Datos!$G$2:$G$5001,Datos!$A$2:$A$5001,"&lt;&gt;"&amp;Config!$C$9)</f>
        <v>21136495.4</v>
      </c>
      <c r="F41" s="75">
        <f>SUMIFS(Datos!$H$2:$H$5001,Datos!$A$2:$A$5001,"&lt;&gt;"&amp;Config!$C$9)</f>
        <v>1429255.12</v>
      </c>
      <c r="G41" s="76">
        <f>1</f>
        <v>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G2"/>
    <mergeCell ref="B3:G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32.0"/>
    <col customWidth="1" min="4" max="4" width="18.0"/>
    <col customWidth="1" min="5" max="6" width="16.0"/>
    <col customWidth="1" min="7" max="7" width="12.0"/>
    <col customWidth="1" min="8" max="8" width="3.0"/>
    <col customWidth="1" min="9" max="9" width="8.71"/>
    <col customWidth="1" min="10" max="10" width="2.0"/>
    <col customWidth="1" min="11" max="11" width="30.0"/>
    <col customWidth="1" min="12" max="12" width="16.0"/>
    <col customWidth="1" min="13" max="13" width="12.0"/>
    <col customWidth="1" min="14" max="26" width="8.71"/>
  </cols>
  <sheetData>
    <row r="2" ht="42.0" customHeight="1">
      <c r="B2" s="1" t="s">
        <v>1161</v>
      </c>
      <c r="C2" s="34"/>
      <c r="D2" s="34"/>
      <c r="E2" s="34"/>
      <c r="F2" s="34"/>
      <c r="G2" s="2"/>
      <c r="K2" s="87" t="s">
        <v>1162</v>
      </c>
      <c r="L2" s="87" t="s">
        <v>1163</v>
      </c>
      <c r="M2" s="87" t="s">
        <v>1164</v>
      </c>
    </row>
    <row r="3" ht="18.0" customHeight="1">
      <c r="B3" s="88" t="s">
        <v>1165</v>
      </c>
      <c r="C3" s="34"/>
      <c r="D3" s="34"/>
      <c r="E3" s="34"/>
      <c r="F3" s="34"/>
      <c r="G3" s="2"/>
      <c r="K3" s="89" t="s">
        <v>31</v>
      </c>
      <c r="L3" s="90">
        <f>IFERROR(SUMIFS(Datos!$F$2:$F$5001,Datos!$B$2:$B$5001,K3,Datos!$A$2:$A$5001,"&lt;&gt;"&amp;Config!$C$9),0)</f>
        <v>547395.66</v>
      </c>
      <c r="M3" s="89">
        <f t="shared" ref="M3:M40" si="1">RANK(L3,$L$3:$L$40,0)+COUNTIF($L$3:L3,L3)-1</f>
        <v>10</v>
      </c>
    </row>
    <row r="4" ht="15.0" customHeight="1">
      <c r="K4" s="89" t="s">
        <v>603</v>
      </c>
      <c r="L4" s="90">
        <f>IFERROR(SUMIFS(Datos!$F$2:$F$5001,Datos!$B$2:$B$5001,K4,Datos!$A$2:$A$5001,"&lt;&gt;"&amp;Config!$C$9),0)</f>
        <v>463649.63</v>
      </c>
      <c r="M4" s="89">
        <f t="shared" si="1"/>
        <v>12</v>
      </c>
    </row>
    <row r="5" ht="19.5" customHeight="1">
      <c r="B5" s="91" t="s">
        <v>1166</v>
      </c>
      <c r="C5" s="91" t="s">
        <v>1167</v>
      </c>
      <c r="D5" s="91" t="s">
        <v>1151</v>
      </c>
      <c r="E5" s="91" t="s">
        <v>1129</v>
      </c>
      <c r="F5" s="91" t="s">
        <v>1153</v>
      </c>
      <c r="G5" s="91" t="s">
        <v>1154</v>
      </c>
      <c r="K5" s="89" t="s">
        <v>548</v>
      </c>
      <c r="L5" s="90">
        <f>IFERROR(SUMIFS(Datos!$F$2:$F$5001,Datos!$B$2:$B$5001,K5,Datos!$A$2:$A$5001,"&lt;&gt;"&amp;Config!$C$9),0)</f>
        <v>93060.01</v>
      </c>
      <c r="M5" s="89">
        <f t="shared" si="1"/>
        <v>23</v>
      </c>
    </row>
    <row r="6" ht="21.75" customHeight="1">
      <c r="B6" s="92">
        <v>1.0</v>
      </c>
      <c r="C6" s="93" t="str">
        <f t="array" ref="C6">IFERROR(INDEX($K$3:$K$40,MATCH(1,$M$3:$M$40,0)),"")</f>
        <v>Fertilizantes y Agroquimicos</v>
      </c>
      <c r="D6" s="94">
        <f t="array" ref="D6">IFERROR(INDEX($L$3:$L$40,MATCH(1,$M$3:$M$40,0)),0)</f>
        <v>7166899.96</v>
      </c>
      <c r="E6" s="71">
        <f>IFERROR(SUMIFS(Datos!$G$2:$G$5001,Datos!$B$2:$B$5001,C6,Datos!$A$2:$A$5001,"&lt;&gt;"&amp;Config!$C$9),0)</f>
        <v>5742286.76</v>
      </c>
      <c r="F6" s="68">
        <f>IFERROR(SUMIFS(Datos!$H$2:$H$5001,Datos!$B$2:$B$5001,C6,Datos!$A$2:$A$5001,"&lt;&gt;"&amp;Config!$C$9),0)</f>
        <v>1424883.2</v>
      </c>
      <c r="G6" s="95">
        <f>IFERROR(D6/SUMIFS(Datos!$F$2:$F$5001,Datos!$A$2:$A$5001,"&lt;&gt;"&amp;Config!$C$9),0)</f>
        <v>0.317654694</v>
      </c>
      <c r="K6" s="89" t="s">
        <v>91</v>
      </c>
      <c r="L6" s="90">
        <f>IFERROR(SUMIFS(Datos!$F$2:$F$5001,Datos!$B$2:$B$5001,K6,Datos!$A$2:$A$5001,"&lt;&gt;"&amp;Config!$C$9),0)</f>
        <v>74808.13</v>
      </c>
      <c r="M6" s="89">
        <f t="shared" si="1"/>
        <v>25</v>
      </c>
    </row>
    <row r="7" ht="21.75" customHeight="1">
      <c r="B7" s="92">
        <v>2.0</v>
      </c>
      <c r="C7" s="96" t="str">
        <f t="array" ref="C7">IFERROR(INDEX($K$3:$K$40,MATCH(2,$M$3:$M$40,0)),"")</f>
        <v>Semilla</v>
      </c>
      <c r="D7" s="97">
        <f t="array" ref="D7">IFERROR(INDEX($L$3:$L$40,MATCH(2,$M$3:$M$40,0)),0)</f>
        <v>3700000</v>
      </c>
      <c r="E7" s="67">
        <f>IFERROR(SUMIFS(Datos!$G$2:$G$5001,Datos!$B$2:$B$5001,C7,Datos!$A$2:$A$5001,"&lt;&gt;"&amp;Config!$C$9),0)</f>
        <v>3700000</v>
      </c>
      <c r="F7" s="68">
        <f>IFERROR(SUMIFS(Datos!$H$2:$H$5001,Datos!$B$2:$B$5001,C7,Datos!$A$2:$A$5001,"&lt;&gt;"&amp;Config!$C$9),0)</f>
        <v>0</v>
      </c>
      <c r="G7" s="98">
        <f>IFERROR(D7/SUMIFS(Datos!$F$2:$F$5001,Datos!$A$2:$A$5001,"&lt;&gt;"&amp;Config!$C$9),0)</f>
        <v>0.1639931315</v>
      </c>
      <c r="K7" s="89" t="s">
        <v>133</v>
      </c>
      <c r="L7" s="90">
        <f>IFERROR(SUMIFS(Datos!$F$2:$F$5001,Datos!$B$2:$B$5001,K7,Datos!$A$2:$A$5001,"&lt;&gt;"&amp;Config!$C$9),0)</f>
        <v>118501.77</v>
      </c>
      <c r="M7" s="89">
        <f t="shared" si="1"/>
        <v>20</v>
      </c>
    </row>
    <row r="8" ht="21.75" customHeight="1">
      <c r="B8" s="92">
        <v>3.0</v>
      </c>
      <c r="C8" s="93" t="str">
        <f t="array" ref="C8">IFERROR(INDEX($K$3:$K$40,MATCH(3,$M$3:$M$40,0)),"")</f>
        <v>Cuadrillas Cosecha</v>
      </c>
      <c r="D8" s="94">
        <f t="array" ref="D8">IFERROR(INDEX($L$3:$L$40,MATCH(3,$M$3:$M$40,0)),0)</f>
        <v>1824339.6</v>
      </c>
      <c r="E8" s="71">
        <f>IFERROR(SUMIFS(Datos!$G$2:$G$5001,Datos!$B$2:$B$5001,C8,Datos!$A$2:$A$5001,"&lt;&gt;"&amp;Config!$C$9),0)</f>
        <v>1824339.6</v>
      </c>
      <c r="F8" s="68">
        <f>IFERROR(SUMIFS(Datos!$H$2:$H$5001,Datos!$B$2:$B$5001,C8,Datos!$A$2:$A$5001,"&lt;&gt;"&amp;Config!$C$9),0)</f>
        <v>0</v>
      </c>
      <c r="G8" s="95">
        <f>IFERROR(D8/SUMIFS(Datos!$F$2:$F$5001,Datos!$A$2:$A$5001,"&lt;&gt;"&amp;Config!$C$9),0)</f>
        <v>0.08085923351</v>
      </c>
      <c r="K8" s="89" t="s">
        <v>999</v>
      </c>
      <c r="L8" s="90">
        <f>IFERROR(SUMIFS(Datos!$F$2:$F$5001,Datos!$B$2:$B$5001,K8,Datos!$A$2:$A$5001,"&lt;&gt;"&amp;Config!$C$9),0)</f>
        <v>14666.66</v>
      </c>
      <c r="M8" s="89">
        <f t="shared" si="1"/>
        <v>30</v>
      </c>
    </row>
    <row r="9" ht="21.75" customHeight="1">
      <c r="B9" s="92">
        <v>4.0</v>
      </c>
      <c r="C9" s="96" t="str">
        <f t="array" ref="C9">IFERROR(INDEX($K$3:$K$40,MATCH(4,$M$3:$M$40,0)),"")</f>
        <v>Renta de Tierras</v>
      </c>
      <c r="D9" s="97">
        <f t="array" ref="D9">IFERROR(INDEX($L$3:$L$40,MATCH(4,$M$3:$M$40,0)),0)</f>
        <v>1800000</v>
      </c>
      <c r="E9" s="67">
        <f>IFERROR(SUMIFS(Datos!$G$2:$G$5001,Datos!$B$2:$B$5001,C9,Datos!$A$2:$A$5001,"&lt;&gt;"&amp;Config!$C$9),0)</f>
        <v>1800000</v>
      </c>
      <c r="F9" s="68">
        <f>IFERROR(SUMIFS(Datos!$H$2:$H$5001,Datos!$B$2:$B$5001,C9,Datos!$A$2:$A$5001,"&lt;&gt;"&amp;Config!$C$9),0)</f>
        <v>0</v>
      </c>
      <c r="G9" s="98">
        <f>IFERROR(D9/SUMIFS(Datos!$F$2:$F$5001,Datos!$A$2:$A$5001,"&lt;&gt;"&amp;Config!$C$9),0)</f>
        <v>0.07978044237</v>
      </c>
      <c r="K9" s="89" t="s">
        <v>28</v>
      </c>
      <c r="L9" s="90">
        <f>IFERROR(SUMIFS(Datos!$F$2:$F$5001,Datos!$B$2:$B$5001,K9,Datos!$A$2:$A$5001,"&lt;&gt;"&amp;Config!$C$9),0)</f>
        <v>9543.32</v>
      </c>
      <c r="M9" s="89">
        <f t="shared" si="1"/>
        <v>35</v>
      </c>
    </row>
    <row r="10" ht="21.75" customHeight="1">
      <c r="B10" s="92">
        <v>5.0</v>
      </c>
      <c r="C10" s="93" t="str">
        <f t="array" ref="C10">IFERROR(INDEX($K$3:$K$40,MATCH(5,$M$3:$M$40,0)),"")</f>
        <v>Yarda</v>
      </c>
      <c r="D10" s="94">
        <f t="array" ref="D10">IFERROR(INDEX($L$3:$L$40,MATCH(5,$M$3:$M$40,0)),0)</f>
        <v>1201151.12</v>
      </c>
      <c r="E10" s="71">
        <f>IFERROR(SUMIFS(Datos!$G$2:$G$5001,Datos!$B$2:$B$5001,C10,Datos!$A$2:$A$5001,"&lt;&gt;"&amp;Config!$C$9),0)</f>
        <v>1201151.12</v>
      </c>
      <c r="F10" s="68">
        <f>IFERROR(SUMIFS(Datos!$H$2:$H$5001,Datos!$B$2:$B$5001,C10,Datos!$A$2:$A$5001,"&lt;&gt;"&amp;Config!$C$9),0)</f>
        <v>0</v>
      </c>
      <c r="G10" s="95">
        <f>IFERROR(D10/SUMIFS(Datos!$F$2:$F$5001,Datos!$A$2:$A$5001,"&lt;&gt;"&amp;Config!$C$9),0)</f>
        <v>0.05323798206</v>
      </c>
      <c r="K10" s="89" t="s">
        <v>49</v>
      </c>
      <c r="L10" s="90">
        <f>IFERROR(SUMIFS(Datos!$F$2:$F$5001,Datos!$B$2:$B$5001,K10,Datos!$A$2:$A$5001,"&lt;&gt;"&amp;Config!$C$9),0)</f>
        <v>5199.99</v>
      </c>
      <c r="M10" s="89">
        <f t="shared" si="1"/>
        <v>37</v>
      </c>
    </row>
    <row r="11" ht="21.75" customHeight="1">
      <c r="B11" s="92">
        <v>6.0</v>
      </c>
      <c r="C11" s="96" t="str">
        <f t="array" ref="C11">IFERROR(INDEX($K$3:$K$40,MATCH(6,$M$3:$M$40,0)),"")</f>
        <v>Sistema de Riego</v>
      </c>
      <c r="D11" s="97">
        <f t="array" ref="D11">IFERROR(INDEX($L$3:$L$40,MATCH(6,$M$3:$M$40,0)),0)</f>
        <v>965646.31</v>
      </c>
      <c r="E11" s="67">
        <f>IFERROR(SUMIFS(Datos!$G$2:$G$5001,Datos!$B$2:$B$5001,C11,Datos!$A$2:$A$5001,"&lt;&gt;"&amp;Config!$C$9),0)</f>
        <v>965646.31</v>
      </c>
      <c r="F11" s="68">
        <f>IFERROR(SUMIFS(Datos!$H$2:$H$5001,Datos!$B$2:$B$5001,C11,Datos!$A$2:$A$5001,"&lt;&gt;"&amp;Config!$C$9),0)</f>
        <v>0</v>
      </c>
      <c r="G11" s="98">
        <f>IFERROR(D11/SUMIFS(Datos!$F$2:$F$5001,Datos!$A$2:$A$5001,"&lt;&gt;"&amp;Config!$C$9),0)</f>
        <v>0.04279982766</v>
      </c>
      <c r="K11" s="89" t="s">
        <v>222</v>
      </c>
      <c r="L11" s="90">
        <f>IFERROR(SUMIFS(Datos!$F$2:$F$5001,Datos!$B$2:$B$5001,K11,Datos!$A$2:$A$5001,"&lt;&gt;"&amp;Config!$C$9),0)</f>
        <v>5080</v>
      </c>
      <c r="M11" s="89">
        <f t="shared" si="1"/>
        <v>38</v>
      </c>
    </row>
    <row r="12" ht="21.75" customHeight="1">
      <c r="B12" s="92">
        <v>7.0</v>
      </c>
      <c r="C12" s="93" t="str">
        <f t="array" ref="C12">IFERROR(INDEX($K$3:$K$40,MATCH(7,$M$3:$M$40,0)),"")</f>
        <v>Nomina de Campo</v>
      </c>
      <c r="D12" s="94">
        <f t="array" ref="D12">IFERROR(INDEX($L$3:$L$40,MATCH(7,$M$3:$M$40,0)),0)</f>
        <v>881045.1</v>
      </c>
      <c r="E12" s="71">
        <f>IFERROR(SUMIFS(Datos!$G$2:$G$5001,Datos!$B$2:$B$5001,C12,Datos!$A$2:$A$5001,"&lt;&gt;"&amp;Config!$C$9),0)</f>
        <v>884605.1</v>
      </c>
      <c r="F12" s="68">
        <f>IFERROR(SUMIFS(Datos!$H$2:$H$5001,Datos!$B$2:$B$5001,C12,Datos!$A$2:$A$5001,"&lt;&gt;"&amp;Config!$C$9),0)</f>
        <v>0</v>
      </c>
      <c r="G12" s="95">
        <f>IFERROR(D12/SUMIFS(Datos!$F$2:$F$5001,Datos!$A$2:$A$5001,"&lt;&gt;"&amp;Config!$C$9),0)</f>
        <v>0.03905009324</v>
      </c>
      <c r="K12" s="89" t="s">
        <v>66</v>
      </c>
      <c r="L12" s="90">
        <f>IFERROR(SUMIFS(Datos!$F$2:$F$5001,Datos!$B$2:$B$5001,K12,Datos!$A$2:$A$5001,"&lt;&gt;"&amp;Config!$C$9),0)</f>
        <v>10349.97</v>
      </c>
      <c r="M12" s="89">
        <f t="shared" si="1"/>
        <v>33</v>
      </c>
    </row>
    <row r="13" ht="21.75" customHeight="1">
      <c r="B13" s="92">
        <v>8.0</v>
      </c>
      <c r="C13" s="96" t="str">
        <f t="array" ref="C13">IFERROR(INDEX($K$3:$K$40,MATCH(8,$M$3:$M$40,0)),"")</f>
        <v>Fletes</v>
      </c>
      <c r="D13" s="97">
        <f t="array" ref="D13">IFERROR(INDEX($L$3:$L$40,MATCH(8,$M$3:$M$40,0)),0)</f>
        <v>766900.04</v>
      </c>
      <c r="E13" s="67">
        <f>IFERROR(SUMIFS(Datos!$G$2:$G$5001,Datos!$B$2:$B$5001,C13,Datos!$A$2:$A$5001,"&lt;&gt;"&amp;Config!$C$9),0)</f>
        <v>766900.04</v>
      </c>
      <c r="F13" s="68">
        <f>IFERROR(SUMIFS(Datos!$H$2:$H$5001,Datos!$B$2:$B$5001,C13,Datos!$A$2:$A$5001,"&lt;&gt;"&amp;Config!$C$9),0)</f>
        <v>0</v>
      </c>
      <c r="G13" s="98">
        <f>IFERROR(D13/SUMIFS(Datos!$F$2:$F$5001,Datos!$A$2:$A$5001,"&lt;&gt;"&amp;Config!$C$9),0)</f>
        <v>0.03399090247</v>
      </c>
      <c r="K13" s="89" t="s">
        <v>140</v>
      </c>
      <c r="L13" s="90">
        <f>IFERROR(SUMIFS(Datos!$F$2:$F$5001,Datos!$B$2:$B$5001,K13,Datos!$A$2:$A$5001,"&lt;&gt;"&amp;Config!$C$9),0)</f>
        <v>7166899.96</v>
      </c>
      <c r="M13" s="89">
        <f t="shared" si="1"/>
        <v>1</v>
      </c>
    </row>
    <row r="14" ht="21.75" customHeight="1">
      <c r="B14" s="92">
        <v>9.0</v>
      </c>
      <c r="C14" s="93" t="str">
        <f t="array" ref="C14">IFERROR(INDEX($K$3:$K$40,MATCH(9,$M$3:$M$40,0)),"")</f>
        <v>Nomina Operativa</v>
      </c>
      <c r="D14" s="94">
        <f t="array" ref="D14">IFERROR(INDEX($L$3:$L$40,MATCH(9,$M$3:$M$40,0)),0)</f>
        <v>575219.49</v>
      </c>
      <c r="E14" s="71">
        <f>IFERROR(SUMIFS(Datos!$G$2:$G$5001,Datos!$B$2:$B$5001,C14,Datos!$A$2:$A$5001,"&lt;&gt;"&amp;Config!$C$9),0)</f>
        <v>575219.49</v>
      </c>
      <c r="F14" s="68">
        <f>IFERROR(SUMIFS(Datos!$H$2:$H$5001,Datos!$B$2:$B$5001,C14,Datos!$A$2:$A$5001,"&lt;&gt;"&amp;Config!$C$9),0)</f>
        <v>0</v>
      </c>
      <c r="G14" s="95">
        <f>IFERROR(D14/SUMIFS(Datos!$F$2:$F$5001,Datos!$A$2:$A$5001,"&lt;&gt;"&amp;Config!$C$9),0)</f>
        <v>0.02549514743</v>
      </c>
      <c r="K14" s="89" t="s">
        <v>129</v>
      </c>
      <c r="L14" s="90">
        <f>IFERROR(SUMIFS(Datos!$F$2:$F$5001,Datos!$B$2:$B$5001,K14,Datos!$A$2:$A$5001,"&lt;&gt;"&amp;Config!$C$9),0)</f>
        <v>3700000</v>
      </c>
      <c r="M14" s="89">
        <f t="shared" si="1"/>
        <v>2</v>
      </c>
    </row>
    <row r="15" ht="21.75" customHeight="1">
      <c r="B15" s="92">
        <v>10.0</v>
      </c>
      <c r="C15" s="96" t="str">
        <f t="array" ref="C15">IFERROR(INDEX($K$3:$K$40,MATCH(10,$M$3:$M$40,0)),"")</f>
        <v>Nomina Administrativa</v>
      </c>
      <c r="D15" s="97">
        <f t="array" ref="D15">IFERROR(INDEX($L$3:$L$40,MATCH(10,$M$3:$M$40,0)),0)</f>
        <v>547395.66</v>
      </c>
      <c r="E15" s="67">
        <f>IFERROR(SUMIFS(Datos!$G$2:$G$5001,Datos!$B$2:$B$5001,C15,Datos!$A$2:$A$5001,"&lt;&gt;"&amp;Config!$C$9),0)</f>
        <v>547395.66</v>
      </c>
      <c r="F15" s="68">
        <f>IFERROR(SUMIFS(Datos!$H$2:$H$5001,Datos!$B$2:$B$5001,C15,Datos!$A$2:$A$5001,"&lt;&gt;"&amp;Config!$C$9),0)</f>
        <v>0</v>
      </c>
      <c r="G15" s="98">
        <f>IFERROR(D15/SUMIFS(Datos!$F$2:$F$5001,Datos!$A$2:$A$5001,"&lt;&gt;"&amp;Config!$C$9),0)</f>
        <v>0.02426192661</v>
      </c>
      <c r="K15" s="89" t="s">
        <v>842</v>
      </c>
      <c r="L15" s="90">
        <f>IFERROR(SUMIFS(Datos!$F$2:$F$5001,Datos!$B$2:$B$5001,K15,Datos!$A$2:$A$5001,"&lt;&gt;"&amp;Config!$C$9),0)</f>
        <v>1824339.6</v>
      </c>
      <c r="M15" s="89">
        <f t="shared" si="1"/>
        <v>3</v>
      </c>
    </row>
    <row r="16" ht="18.0" customHeight="1">
      <c r="B16" s="73" t="s">
        <v>1168</v>
      </c>
      <c r="C16" s="74"/>
      <c r="D16" s="75">
        <f t="shared" ref="D16:F16" si="2">SUM(D6:D15)</f>
        <v>19428597.28</v>
      </c>
      <c r="E16" s="75">
        <f t="shared" si="2"/>
        <v>18007544.08</v>
      </c>
      <c r="F16" s="75">
        <f t="shared" si="2"/>
        <v>1424883.2</v>
      </c>
      <c r="G16" s="76">
        <f>IFERROR(D16/SUMIFS(Datos!$F$2:$F$5001,Datos!$A$2:$A$5001,"&lt;&gt;"&amp;Config!$C$9),0)</f>
        <v>0.8611233809</v>
      </c>
      <c r="K16" s="89" t="s">
        <v>225</v>
      </c>
      <c r="L16" s="90">
        <f>IFERROR(SUMIFS(Datos!$F$2:$F$5001,Datos!$B$2:$B$5001,K16,Datos!$A$2:$A$5001,"&lt;&gt;"&amp;Config!$C$9),0)</f>
        <v>1800000</v>
      </c>
      <c r="M16" s="89">
        <f t="shared" si="1"/>
        <v>4</v>
      </c>
    </row>
    <row r="17" ht="15.0" customHeight="1">
      <c r="K17" s="89" t="s">
        <v>21</v>
      </c>
      <c r="L17" s="90">
        <f>IFERROR(SUMIFS(Datos!$F$2:$F$5001,Datos!$B$2:$B$5001,K17,Datos!$A$2:$A$5001,"&lt;&gt;"&amp;Config!$C$9),0)</f>
        <v>1201151.12</v>
      </c>
      <c r="M17" s="89">
        <f t="shared" si="1"/>
        <v>5</v>
      </c>
    </row>
    <row r="18" ht="19.5" customHeight="1">
      <c r="B18" s="99" t="s">
        <v>1169</v>
      </c>
      <c r="C18" s="34"/>
      <c r="D18" s="34"/>
      <c r="E18" s="34"/>
      <c r="F18" s="34"/>
      <c r="G18" s="2"/>
      <c r="K18" s="89" t="s">
        <v>266</v>
      </c>
      <c r="L18" s="90">
        <f>IFERROR(SUMIFS(Datos!$F$2:$F$5001,Datos!$B$2:$B$5001,K18,Datos!$A$2:$A$5001,"&lt;&gt;"&amp;Config!$C$9),0)</f>
        <v>965646.31</v>
      </c>
      <c r="M18" s="89">
        <f t="shared" si="1"/>
        <v>6</v>
      </c>
    </row>
    <row r="19" ht="15.0" customHeight="1">
      <c r="K19" s="89" t="s">
        <v>335</v>
      </c>
      <c r="L19" s="90">
        <f>IFERROR(SUMIFS(Datos!$F$2:$F$5001,Datos!$B$2:$B$5001,K19,Datos!$A$2:$A$5001,"&lt;&gt;"&amp;Config!$C$9),0)</f>
        <v>881045.1</v>
      </c>
      <c r="M19" s="89">
        <f t="shared" si="1"/>
        <v>7</v>
      </c>
    </row>
    <row r="20" ht="15.0" customHeight="1">
      <c r="K20" s="89" t="s">
        <v>551</v>
      </c>
      <c r="L20" s="90">
        <f>IFERROR(SUMIFS(Datos!$F$2:$F$5001,Datos!$B$2:$B$5001,K20,Datos!$A$2:$A$5001,"&lt;&gt;"&amp;Config!$C$9),0)</f>
        <v>575219.49</v>
      </c>
      <c r="M20" s="89">
        <f t="shared" si="1"/>
        <v>9</v>
      </c>
    </row>
    <row r="21" ht="15.0" customHeight="1">
      <c r="K21" s="89" t="s">
        <v>298</v>
      </c>
      <c r="L21" s="90">
        <f>IFERROR(SUMIFS(Datos!$F$2:$F$5001,Datos!$B$2:$B$5001,K21,Datos!$A$2:$A$5001,"&lt;&gt;"&amp;Config!$C$9),0)</f>
        <v>766900.04</v>
      </c>
      <c r="M21" s="89">
        <f t="shared" si="1"/>
        <v>8</v>
      </c>
    </row>
    <row r="22" ht="15.0" customHeight="1">
      <c r="K22" s="89" t="s">
        <v>45</v>
      </c>
      <c r="L22" s="90">
        <f>IFERROR(SUMIFS(Datos!$F$2:$F$5001,Datos!$B$2:$B$5001,K22,Datos!$A$2:$A$5001,"&lt;&gt;"&amp;Config!$C$9),0)</f>
        <v>506563.84</v>
      </c>
      <c r="M22" s="89">
        <f t="shared" si="1"/>
        <v>11</v>
      </c>
    </row>
    <row r="23" ht="15.0" customHeight="1">
      <c r="K23" s="89" t="s">
        <v>980</v>
      </c>
      <c r="L23" s="90">
        <f>IFERROR(SUMIFS(Datos!$F$2:$F$5001,Datos!$B$2:$B$5001,K23,Datos!$A$2:$A$5001,"&lt;&gt;"&amp;Config!$C$9),0)</f>
        <v>419600</v>
      </c>
      <c r="M23" s="89">
        <f t="shared" si="1"/>
        <v>14</v>
      </c>
    </row>
    <row r="24" ht="15.0" customHeight="1">
      <c r="K24" s="89" t="s">
        <v>587</v>
      </c>
      <c r="L24" s="90">
        <f>IFERROR(SUMIFS(Datos!$F$2:$F$5001,Datos!$B$2:$B$5001,K24,Datos!$A$2:$A$5001,"&lt;&gt;"&amp;Config!$C$9),0)</f>
        <v>266470</v>
      </c>
      <c r="M24" s="89">
        <f t="shared" si="1"/>
        <v>15</v>
      </c>
    </row>
    <row r="25" ht="15.0" customHeight="1">
      <c r="K25" s="89" t="s">
        <v>125</v>
      </c>
      <c r="L25" s="90">
        <f>IFERROR(SUMIFS(Datos!$F$2:$F$5001,Datos!$B$2:$B$5001,K25,Datos!$A$2:$A$5001,"&lt;&gt;"&amp;Config!$C$9),0)</f>
        <v>237889.29</v>
      </c>
      <c r="M25" s="89">
        <f t="shared" si="1"/>
        <v>16</v>
      </c>
    </row>
    <row r="26" ht="15.0" customHeight="1">
      <c r="K26" s="89" t="s">
        <v>72</v>
      </c>
      <c r="L26" s="90">
        <f>IFERROR(SUMIFS(Datos!$F$2:$F$5001,Datos!$B$2:$B$5001,K26,Datos!$A$2:$A$5001,"&lt;&gt;"&amp;Config!$C$9),0)</f>
        <v>192700</v>
      </c>
      <c r="M26" s="89">
        <f t="shared" si="1"/>
        <v>17</v>
      </c>
    </row>
    <row r="27" ht="15.0" customHeight="1">
      <c r="K27" s="89" t="s">
        <v>927</v>
      </c>
      <c r="L27" s="90">
        <f>IFERROR(SUMIFS(Datos!$F$2:$F$5001,Datos!$B$2:$B$5001,K27,Datos!$A$2:$A$5001,"&lt;&gt;"&amp;Config!$C$9),0)</f>
        <v>185894.5</v>
      </c>
      <c r="M27" s="89">
        <f t="shared" si="1"/>
        <v>18</v>
      </c>
    </row>
    <row r="28" ht="15.0" customHeight="1">
      <c r="K28" s="89" t="s">
        <v>314</v>
      </c>
      <c r="L28" s="90">
        <f>IFERROR(SUMIFS(Datos!$F$2:$F$5001,Datos!$B$2:$B$5001,K28,Datos!$A$2:$A$5001,"&lt;&gt;"&amp;Config!$C$9),0)</f>
        <v>155218.6</v>
      </c>
      <c r="M28" s="89">
        <f t="shared" si="1"/>
        <v>19</v>
      </c>
    </row>
    <row r="29" ht="15.0" customHeight="1">
      <c r="K29" s="89" t="s">
        <v>840</v>
      </c>
      <c r="L29" s="90">
        <f>IFERROR(SUMIFS(Datos!$F$2:$F$5001,Datos!$B$2:$B$5001,K29,Datos!$A$2:$A$5001,"&lt;&gt;"&amp;Config!$C$9),0)</f>
        <v>111785.52</v>
      </c>
      <c r="M29" s="89">
        <f t="shared" si="1"/>
        <v>22</v>
      </c>
    </row>
    <row r="30" ht="15.0" customHeight="1">
      <c r="K30" s="89" t="s">
        <v>62</v>
      </c>
      <c r="L30" s="90">
        <f>IFERROR(SUMIFS(Datos!$F$2:$F$5001,Datos!$B$2:$B$5001,K30,Datos!$A$2:$A$5001,"&lt;&gt;"&amp;Config!$C$9),0)</f>
        <v>86856.23</v>
      </c>
      <c r="M30" s="89">
        <f t="shared" si="1"/>
        <v>24</v>
      </c>
    </row>
    <row r="31" ht="15.0" customHeight="1">
      <c r="K31" s="89" t="s">
        <v>133</v>
      </c>
      <c r="L31" s="90">
        <f>IFERROR(SUMIFS(Datos!$F$2:$F$5001,Datos!$B$2:$B$5001,K31,Datos!$A$2:$A$5001,"&lt;&gt;"&amp;Config!$C$9),0)</f>
        <v>118501.77</v>
      </c>
      <c r="M31" s="89">
        <f t="shared" si="1"/>
        <v>21</v>
      </c>
    </row>
    <row r="32" ht="15.0" customHeight="1">
      <c r="K32" s="89" t="s">
        <v>864</v>
      </c>
      <c r="L32" s="90">
        <f>IFERROR(SUMIFS(Datos!$F$2:$F$5001,Datos!$B$2:$B$5001,K32,Datos!$A$2:$A$5001,"&lt;&gt;"&amp;Config!$C$9),0)</f>
        <v>71918.5</v>
      </c>
      <c r="M32" s="89">
        <f t="shared" si="1"/>
        <v>26</v>
      </c>
    </row>
    <row r="33" ht="15.0" customHeight="1">
      <c r="K33" s="89" t="s">
        <v>462</v>
      </c>
      <c r="L33" s="90">
        <f>IFERROR(SUMIFS(Datos!$F$2:$F$5001,Datos!$B$2:$B$5001,K33,Datos!$A$2:$A$5001,"&lt;&gt;"&amp;Config!$C$9),0)</f>
        <v>5775.52</v>
      </c>
      <c r="M33" s="89">
        <f t="shared" si="1"/>
        <v>36</v>
      </c>
    </row>
    <row r="34" ht="15.0" customHeight="1">
      <c r="K34" s="89" t="s">
        <v>835</v>
      </c>
      <c r="L34" s="90">
        <f>IFERROR(SUMIFS(Datos!$F$2:$F$5001,Datos!$B$2:$B$5001,K34,Datos!$A$2:$A$5001,"&lt;&gt;"&amp;Config!$C$9),0)</f>
        <v>27140</v>
      </c>
      <c r="M34" s="89">
        <f t="shared" si="1"/>
        <v>27</v>
      </c>
    </row>
    <row r="35" ht="15.0" customHeight="1">
      <c r="K35" s="89" t="s">
        <v>776</v>
      </c>
      <c r="L35" s="90">
        <f>IFERROR(SUMIFS(Datos!$F$2:$F$5001,Datos!$B$2:$B$5001,K35,Datos!$A$2:$A$5001,"&lt;&gt;"&amp;Config!$C$9),0)</f>
        <v>23836.0628</v>
      </c>
      <c r="M35" s="89">
        <f t="shared" si="1"/>
        <v>28</v>
      </c>
    </row>
    <row r="36" ht="15.0" customHeight="1">
      <c r="K36" s="89" t="s">
        <v>246</v>
      </c>
      <c r="L36" s="90">
        <f>IFERROR(SUMIFS(Datos!$F$2:$F$5001,Datos!$B$2:$B$5001,K36,Datos!$A$2:$A$5001,"&lt;&gt;"&amp;Config!$C$9),0)</f>
        <v>23084</v>
      </c>
      <c r="M36" s="89">
        <f t="shared" si="1"/>
        <v>29</v>
      </c>
    </row>
    <row r="37" ht="15.0" customHeight="1">
      <c r="K37" s="89" t="s">
        <v>229</v>
      </c>
      <c r="L37" s="90">
        <f>IFERROR(SUMIFS(Datos!$F$2:$F$5001,Datos!$B$2:$B$5001,K37,Datos!$A$2:$A$5001,"&lt;&gt;"&amp;Config!$C$9),0)</f>
        <v>12644</v>
      </c>
      <c r="M37" s="89">
        <f t="shared" si="1"/>
        <v>31</v>
      </c>
    </row>
    <row r="38" ht="15.0" customHeight="1">
      <c r="K38" s="89" t="s">
        <v>87</v>
      </c>
      <c r="L38" s="90">
        <f>IFERROR(SUMIFS(Datos!$F$2:$F$5001,Datos!$B$2:$B$5001,K38,Datos!$A$2:$A$5001,"&lt;&gt;"&amp;Config!$C$9),0)</f>
        <v>11087.7</v>
      </c>
      <c r="M38" s="89">
        <f t="shared" si="1"/>
        <v>32</v>
      </c>
    </row>
    <row r="39" ht="15.0" customHeight="1">
      <c r="K39" s="89" t="s">
        <v>66</v>
      </c>
      <c r="L39" s="90">
        <f>IFERROR(SUMIFS(Datos!$F$2:$F$5001,Datos!$B$2:$B$5001,K39,Datos!$A$2:$A$5001,"&lt;&gt;"&amp;Config!$C$9),0)</f>
        <v>10349.97</v>
      </c>
      <c r="M39" s="89">
        <f t="shared" si="1"/>
        <v>34</v>
      </c>
    </row>
    <row r="40" ht="15.0" customHeight="1">
      <c r="K40" s="89" t="s">
        <v>603</v>
      </c>
      <c r="L40" s="90">
        <f>IFERROR(SUMIFS(Datos!$F$2:$F$5001,Datos!$B$2:$B$5001,K40,Datos!$A$2:$A$5001,"&lt;&gt;"&amp;Config!$C$9),0)</f>
        <v>463649.63</v>
      </c>
      <c r="M40" s="89">
        <f t="shared" si="1"/>
        <v>13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G2"/>
    <mergeCell ref="B3:G3"/>
    <mergeCell ref="B18:G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7.0"/>
    <col customWidth="1" min="3" max="3" width="27.43"/>
    <col customWidth="1" min="4" max="4" width="15.86"/>
    <col customWidth="1" min="5" max="5" width="26.29"/>
    <col customWidth="1" min="6" max="6" width="12.57"/>
    <col customWidth="1" min="7" max="7" width="22.0"/>
    <col customWidth="1" min="8" max="26" width="8.71"/>
  </cols>
  <sheetData>
    <row r="2" ht="43.5" customHeight="1">
      <c r="B2" s="100" t="s">
        <v>1170</v>
      </c>
      <c r="C2" s="34"/>
      <c r="D2" s="34"/>
      <c r="E2" s="34"/>
      <c r="F2" s="34"/>
      <c r="G2" s="2"/>
    </row>
    <row r="3" ht="19.5" customHeight="1">
      <c r="B3" s="101" t="str">
        <f>"Total pendiente: $"&amp;TEXT(SUMIFS(Datos!$H$2:$H$5001,Datos!$A$2:$A$5001,"&lt;&gt;"&amp;Config!$C$9),"#,##0.00")&amp;"  |  Filtra columna Pendiente &gt; 0 para ver sólo rubros con adeudo"</f>
        <v>Total pendiente: $1.429.255,12  |  Filtra columna Pendiente &gt; 0 para ver sólo rubros con adeudo</v>
      </c>
      <c r="C3" s="34"/>
      <c r="D3" s="34"/>
      <c r="E3" s="34"/>
      <c r="F3" s="34"/>
      <c r="G3" s="2"/>
    </row>
    <row r="4" ht="7.5" customHeight="1"/>
    <row r="5" ht="15.75" customHeight="1">
      <c r="C5" s="102" t="s">
        <v>1171</v>
      </c>
      <c r="E5" s="47" t="s">
        <v>1172</v>
      </c>
      <c r="G5" s="46" t="s">
        <v>1173</v>
      </c>
    </row>
    <row r="6" ht="36.0" customHeight="1">
      <c r="C6" s="103">
        <f>SUMIFS(Datos!$H$2:$H$5001,Datos!$A$2:$A$5001,"&lt;&gt;"&amp;Config!$C$9)</f>
        <v>1429255.12</v>
      </c>
      <c r="E6" s="52">
        <f>SUMIFS(Datos!$G$2:$G$5001,Datos!$A$2:$A$5001,"&lt;&gt;"&amp;Config!$C$9)</f>
        <v>21136495.4</v>
      </c>
      <c r="G6" s="104">
        <f>COUNTIF(Datos!$H$2:$H$5001,"&gt;0")</f>
        <v>30</v>
      </c>
    </row>
    <row r="7" ht="19.5" customHeight="1">
      <c r="C7" s="105" t="s">
        <v>1174</v>
      </c>
      <c r="E7" s="57" t="s">
        <v>1175</v>
      </c>
      <c r="G7" s="56" t="s">
        <v>1176</v>
      </c>
    </row>
    <row r="8" ht="7.5" customHeight="1">
      <c r="C8" s="106"/>
      <c r="E8" s="107"/>
      <c r="G8" s="108"/>
    </row>
    <row r="9" ht="19.5" customHeight="1">
      <c r="B9" s="109" t="s">
        <v>1133</v>
      </c>
      <c r="C9" s="109" t="s">
        <v>1132</v>
      </c>
      <c r="D9" s="109" t="s">
        <v>1151</v>
      </c>
      <c r="E9" s="109" t="s">
        <v>1152</v>
      </c>
      <c r="F9" s="109" t="s">
        <v>20</v>
      </c>
      <c r="G9" s="109" t="s">
        <v>1177</v>
      </c>
    </row>
    <row r="10" ht="15.75" customHeight="1">
      <c r="B10" s="110" t="s">
        <v>10</v>
      </c>
      <c r="C10" s="111" t="s">
        <v>31</v>
      </c>
      <c r="D10" s="112">
        <f>IFERROR(SUMIFS(Datos!$F$2:$F$5001,Datos!$B$2:$B$5001,C10,Datos!$A$2:$A$5001,"&lt;&gt;"&amp;Config!$C$9),0)</f>
        <v>547395.66</v>
      </c>
      <c r="E10" s="112">
        <f>IFERROR(SUMIFS(Datos!$G$2:$G$5001,Datos!$B$2:$B$5001,C10,Datos!$A$2:$A$5001,"&lt;&gt;"&amp;Config!$C$9),0)</f>
        <v>547395.66</v>
      </c>
      <c r="F10" s="113">
        <f>IFERROR(SUMIFS(Datos!$H$2:$H$5001,Datos!$B$2:$B$5001,C10,Datos!$A$2:$A$5001,"&lt;&gt;"&amp;Config!$C$9),0)</f>
        <v>0</v>
      </c>
      <c r="G10" s="114">
        <f>IFERROR(F10/SUMIFS(Datos!$F$2:$F$5001,Datos!$A$2:$A$5001,"&lt;&gt;"&amp;Config!$C$9),0)</f>
        <v>0</v>
      </c>
    </row>
    <row r="11" ht="15.75" customHeight="1">
      <c r="B11" s="115" t="s">
        <v>10</v>
      </c>
      <c r="C11" s="116" t="s">
        <v>603</v>
      </c>
      <c r="D11" s="117">
        <f>IFERROR(SUMIFS(Datos!$F$2:$F$5001,Datos!$B$2:$B$5001,C11,Datos!$A$2:$A$5001,"&lt;&gt;"&amp;Config!$C$9),0)</f>
        <v>463649.63</v>
      </c>
      <c r="E11" s="117">
        <f>IFERROR(SUMIFS(Datos!$G$2:$G$5001,Datos!$B$2:$B$5001,C11,Datos!$A$2:$A$5001,"&lt;&gt;"&amp;Config!$C$9),0)</f>
        <v>463649.63</v>
      </c>
      <c r="F11" s="113">
        <f>IFERROR(SUMIFS(Datos!$H$2:$H$5001,Datos!$B$2:$B$5001,C11,Datos!$A$2:$A$5001,"&lt;&gt;"&amp;Config!$C$9),0)</f>
        <v>0</v>
      </c>
      <c r="G11" s="118">
        <f>IFERROR(F11/SUMIFS(Datos!$F$2:$F$5001,Datos!$A$2:$A$5001,"&lt;&gt;"&amp;Config!$C$9),0)</f>
        <v>0</v>
      </c>
    </row>
    <row r="12" ht="15.75" customHeight="1">
      <c r="B12" s="110" t="s">
        <v>10</v>
      </c>
      <c r="C12" s="111" t="s">
        <v>548</v>
      </c>
      <c r="D12" s="112">
        <f>IFERROR(SUMIFS(Datos!$F$2:$F$5001,Datos!$B$2:$B$5001,C12,Datos!$A$2:$A$5001,"&lt;&gt;"&amp;Config!$C$9),0)</f>
        <v>93060.01</v>
      </c>
      <c r="E12" s="112">
        <f>IFERROR(SUMIFS(Datos!$G$2:$G$5001,Datos!$B$2:$B$5001,C12,Datos!$A$2:$A$5001,"&lt;&gt;"&amp;Config!$C$9),0)</f>
        <v>93060.01</v>
      </c>
      <c r="F12" s="113">
        <f>IFERROR(SUMIFS(Datos!$H$2:$H$5001,Datos!$B$2:$B$5001,C12,Datos!$A$2:$A$5001,"&lt;&gt;"&amp;Config!$C$9),0)</f>
        <v>0</v>
      </c>
      <c r="G12" s="114">
        <f>IFERROR(F12/SUMIFS(Datos!$F$2:$F$5001,Datos!$A$2:$A$5001,"&lt;&gt;"&amp;Config!$C$9),0)</f>
        <v>0</v>
      </c>
    </row>
    <row r="13" ht="15.75" customHeight="1">
      <c r="B13" s="115" t="s">
        <v>10</v>
      </c>
      <c r="C13" s="116" t="s">
        <v>91</v>
      </c>
      <c r="D13" s="117">
        <f>IFERROR(SUMIFS(Datos!$F$2:$F$5001,Datos!$B$2:$B$5001,C13,Datos!$A$2:$A$5001,"&lt;&gt;"&amp;Config!$C$9),0)</f>
        <v>74808.13</v>
      </c>
      <c r="E13" s="117">
        <f>IFERROR(SUMIFS(Datos!$G$2:$G$5001,Datos!$B$2:$B$5001,C13,Datos!$A$2:$A$5001,"&lt;&gt;"&amp;Config!$C$9),0)</f>
        <v>74808.13</v>
      </c>
      <c r="F13" s="113">
        <f>IFERROR(SUMIFS(Datos!$H$2:$H$5001,Datos!$B$2:$B$5001,C13,Datos!$A$2:$A$5001,"&lt;&gt;"&amp;Config!$C$9),0)</f>
        <v>0</v>
      </c>
      <c r="G13" s="118">
        <f>IFERROR(F13/SUMIFS(Datos!$F$2:$F$5001,Datos!$A$2:$A$5001,"&lt;&gt;"&amp;Config!$C$9),0)</f>
        <v>0</v>
      </c>
    </row>
    <row r="14" ht="15.75" customHeight="1">
      <c r="B14" s="110" t="s">
        <v>10</v>
      </c>
      <c r="C14" s="111" t="s">
        <v>133</v>
      </c>
      <c r="D14" s="112">
        <f>IFERROR(SUMIFS(Datos!$F$2:$F$5001,Datos!$B$2:$B$5001,C14,Datos!$A$2:$A$5001,"&lt;&gt;"&amp;Config!$C$9),0)</f>
        <v>118501.77</v>
      </c>
      <c r="E14" s="112">
        <f>IFERROR(SUMIFS(Datos!$G$2:$G$5001,Datos!$B$2:$B$5001,C14,Datos!$A$2:$A$5001,"&lt;&gt;"&amp;Config!$C$9),0)</f>
        <v>118501.77</v>
      </c>
      <c r="F14" s="113">
        <f>IFERROR(SUMIFS(Datos!$H$2:$H$5001,Datos!$B$2:$B$5001,C14,Datos!$A$2:$A$5001,"&lt;&gt;"&amp;Config!$C$9),0)</f>
        <v>0</v>
      </c>
      <c r="G14" s="114">
        <f>IFERROR(F14/SUMIFS(Datos!$F$2:$F$5001,Datos!$A$2:$A$5001,"&lt;&gt;"&amp;Config!$C$9),0)</f>
        <v>0</v>
      </c>
    </row>
    <row r="15" ht="15.75" customHeight="1">
      <c r="B15" s="115" t="s">
        <v>10</v>
      </c>
      <c r="C15" s="116" t="s">
        <v>999</v>
      </c>
      <c r="D15" s="117">
        <f>IFERROR(SUMIFS(Datos!$F$2:$F$5001,Datos!$B$2:$B$5001,C15,Datos!$A$2:$A$5001,"&lt;&gt;"&amp;Config!$C$9),0)</f>
        <v>14666.66</v>
      </c>
      <c r="E15" s="117">
        <f>IFERROR(SUMIFS(Datos!$G$2:$G$5001,Datos!$B$2:$B$5001,C15,Datos!$A$2:$A$5001,"&lt;&gt;"&amp;Config!$C$9),0)</f>
        <v>14666.66</v>
      </c>
      <c r="F15" s="113">
        <f>IFERROR(SUMIFS(Datos!$H$2:$H$5001,Datos!$B$2:$B$5001,C15,Datos!$A$2:$A$5001,"&lt;&gt;"&amp;Config!$C$9),0)</f>
        <v>0</v>
      </c>
      <c r="G15" s="118">
        <f>IFERROR(F15/SUMIFS(Datos!$F$2:$F$5001,Datos!$A$2:$A$5001,"&lt;&gt;"&amp;Config!$C$9),0)</f>
        <v>0</v>
      </c>
    </row>
    <row r="16" ht="15.75" customHeight="1">
      <c r="B16" s="110" t="s">
        <v>10</v>
      </c>
      <c r="C16" s="111" t="s">
        <v>28</v>
      </c>
      <c r="D16" s="112">
        <f>IFERROR(SUMIFS(Datos!$F$2:$F$5001,Datos!$B$2:$B$5001,C16,Datos!$A$2:$A$5001,"&lt;&gt;"&amp;Config!$C$9),0)</f>
        <v>9543.32</v>
      </c>
      <c r="E16" s="112">
        <f>IFERROR(SUMIFS(Datos!$G$2:$G$5001,Datos!$B$2:$B$5001,C16,Datos!$A$2:$A$5001,"&lt;&gt;"&amp;Config!$C$9),0)</f>
        <v>9543.32</v>
      </c>
      <c r="F16" s="113">
        <f>IFERROR(SUMIFS(Datos!$H$2:$H$5001,Datos!$B$2:$B$5001,C16,Datos!$A$2:$A$5001,"&lt;&gt;"&amp;Config!$C$9),0)</f>
        <v>0</v>
      </c>
      <c r="G16" s="114">
        <f>IFERROR(F16/SUMIFS(Datos!$F$2:$F$5001,Datos!$A$2:$A$5001,"&lt;&gt;"&amp;Config!$C$9),0)</f>
        <v>0</v>
      </c>
    </row>
    <row r="17" ht="15.75" customHeight="1">
      <c r="B17" s="115" t="s">
        <v>10</v>
      </c>
      <c r="C17" s="116" t="s">
        <v>49</v>
      </c>
      <c r="D17" s="117">
        <f>IFERROR(SUMIFS(Datos!$F$2:$F$5001,Datos!$B$2:$B$5001,C17,Datos!$A$2:$A$5001,"&lt;&gt;"&amp;Config!$C$9),0)</f>
        <v>5199.99</v>
      </c>
      <c r="E17" s="117">
        <f>IFERROR(SUMIFS(Datos!$G$2:$G$5001,Datos!$B$2:$B$5001,C17,Datos!$A$2:$A$5001,"&lt;&gt;"&amp;Config!$C$9),0)</f>
        <v>5199.99</v>
      </c>
      <c r="F17" s="113">
        <f>IFERROR(SUMIFS(Datos!$H$2:$H$5001,Datos!$B$2:$B$5001,C17,Datos!$A$2:$A$5001,"&lt;&gt;"&amp;Config!$C$9),0)</f>
        <v>0</v>
      </c>
      <c r="G17" s="118">
        <f>IFERROR(F17/SUMIFS(Datos!$F$2:$F$5001,Datos!$A$2:$A$5001,"&lt;&gt;"&amp;Config!$C$9),0)</f>
        <v>0</v>
      </c>
    </row>
    <row r="18" ht="15.75" customHeight="1">
      <c r="B18" s="110" t="s">
        <v>10</v>
      </c>
      <c r="C18" s="111" t="s">
        <v>222</v>
      </c>
      <c r="D18" s="112">
        <f>IFERROR(SUMIFS(Datos!$F$2:$F$5001,Datos!$B$2:$B$5001,C18,Datos!$A$2:$A$5001,"&lt;&gt;"&amp;Config!$C$9),0)</f>
        <v>5080</v>
      </c>
      <c r="E18" s="112">
        <f>IFERROR(SUMIFS(Datos!$G$2:$G$5001,Datos!$B$2:$B$5001,C18,Datos!$A$2:$A$5001,"&lt;&gt;"&amp;Config!$C$9),0)</f>
        <v>5080</v>
      </c>
      <c r="F18" s="113">
        <f>IFERROR(SUMIFS(Datos!$H$2:$H$5001,Datos!$B$2:$B$5001,C18,Datos!$A$2:$A$5001,"&lt;&gt;"&amp;Config!$C$9),0)</f>
        <v>0</v>
      </c>
      <c r="G18" s="114">
        <f>IFERROR(F18/SUMIFS(Datos!$F$2:$F$5001,Datos!$A$2:$A$5001,"&lt;&gt;"&amp;Config!$C$9),0)</f>
        <v>0</v>
      </c>
    </row>
    <row r="19" ht="15.75" customHeight="1">
      <c r="B19" s="115" t="s">
        <v>10</v>
      </c>
      <c r="C19" s="116" t="s">
        <v>66</v>
      </c>
      <c r="D19" s="117">
        <f>IFERROR(SUMIFS(Datos!$F$2:$F$5001,Datos!$B$2:$B$5001,C19,Datos!$A$2:$A$5001,"&lt;&gt;"&amp;Config!$C$9),0)</f>
        <v>10349.97</v>
      </c>
      <c r="E19" s="117">
        <f>IFERROR(SUMIFS(Datos!$G$2:$G$5001,Datos!$B$2:$B$5001,C19,Datos!$A$2:$A$5001,"&lt;&gt;"&amp;Config!$C$9),0)</f>
        <v>10349.97</v>
      </c>
      <c r="F19" s="113">
        <f>IFERROR(SUMIFS(Datos!$H$2:$H$5001,Datos!$B$2:$B$5001,C19,Datos!$A$2:$A$5001,"&lt;&gt;"&amp;Config!$C$9),0)</f>
        <v>0</v>
      </c>
      <c r="G19" s="118">
        <f>IFERROR(F19/SUMIFS(Datos!$F$2:$F$5001,Datos!$A$2:$A$5001,"&lt;&gt;"&amp;Config!$C$9),0)</f>
        <v>0</v>
      </c>
    </row>
    <row r="20" ht="15.75" customHeight="1">
      <c r="B20" s="110" t="s">
        <v>11</v>
      </c>
      <c r="C20" s="111" t="s">
        <v>140</v>
      </c>
      <c r="D20" s="112">
        <f>IFERROR(SUMIFS(Datos!$F$2:$F$5001,Datos!$B$2:$B$5001,C20,Datos!$A$2:$A$5001,"&lt;&gt;"&amp;Config!$C$9),0)</f>
        <v>7166899.96</v>
      </c>
      <c r="E20" s="112">
        <f>IFERROR(SUMIFS(Datos!$G$2:$G$5001,Datos!$B$2:$B$5001,C20,Datos!$A$2:$A$5001,"&lt;&gt;"&amp;Config!$C$9),0)</f>
        <v>5742286.76</v>
      </c>
      <c r="F20" s="113">
        <f>IFERROR(SUMIFS(Datos!$H$2:$H$5001,Datos!$B$2:$B$5001,C20,Datos!$A$2:$A$5001,"&lt;&gt;"&amp;Config!$C$9),0)</f>
        <v>1424883.2</v>
      </c>
      <c r="G20" s="114">
        <f>IFERROR(F20/SUMIFS(Datos!$F$2:$F$5001,Datos!$A$2:$A$5001,"&lt;&gt;"&amp;Config!$C$9),0)</f>
        <v>0.06315434001</v>
      </c>
    </row>
    <row r="21" ht="15.75" customHeight="1">
      <c r="B21" s="115" t="s">
        <v>11</v>
      </c>
      <c r="C21" s="116" t="s">
        <v>129</v>
      </c>
      <c r="D21" s="117">
        <f>IFERROR(SUMIFS(Datos!$F$2:$F$5001,Datos!$B$2:$B$5001,C21,Datos!$A$2:$A$5001,"&lt;&gt;"&amp;Config!$C$9),0)</f>
        <v>3700000</v>
      </c>
      <c r="E21" s="117">
        <f>IFERROR(SUMIFS(Datos!$G$2:$G$5001,Datos!$B$2:$B$5001,C21,Datos!$A$2:$A$5001,"&lt;&gt;"&amp;Config!$C$9),0)</f>
        <v>3700000</v>
      </c>
      <c r="F21" s="113">
        <f>IFERROR(SUMIFS(Datos!$H$2:$H$5001,Datos!$B$2:$B$5001,C21,Datos!$A$2:$A$5001,"&lt;&gt;"&amp;Config!$C$9),0)</f>
        <v>0</v>
      </c>
      <c r="G21" s="118">
        <f>IFERROR(F21/SUMIFS(Datos!$F$2:$F$5001,Datos!$A$2:$A$5001,"&lt;&gt;"&amp;Config!$C$9),0)</f>
        <v>0</v>
      </c>
    </row>
    <row r="22" ht="15.75" customHeight="1">
      <c r="B22" s="110" t="s">
        <v>11</v>
      </c>
      <c r="C22" s="111" t="s">
        <v>842</v>
      </c>
      <c r="D22" s="112">
        <f>IFERROR(SUMIFS(Datos!$F$2:$F$5001,Datos!$B$2:$B$5001,C22,Datos!$A$2:$A$5001,"&lt;&gt;"&amp;Config!$C$9),0)</f>
        <v>1824339.6</v>
      </c>
      <c r="E22" s="112">
        <f>IFERROR(SUMIFS(Datos!$G$2:$G$5001,Datos!$B$2:$B$5001,C22,Datos!$A$2:$A$5001,"&lt;&gt;"&amp;Config!$C$9),0)</f>
        <v>1824339.6</v>
      </c>
      <c r="F22" s="113">
        <f>IFERROR(SUMIFS(Datos!$H$2:$H$5001,Datos!$B$2:$B$5001,C22,Datos!$A$2:$A$5001,"&lt;&gt;"&amp;Config!$C$9),0)</f>
        <v>0</v>
      </c>
      <c r="G22" s="114">
        <f>IFERROR(F22/SUMIFS(Datos!$F$2:$F$5001,Datos!$A$2:$A$5001,"&lt;&gt;"&amp;Config!$C$9),0)</f>
        <v>0</v>
      </c>
    </row>
    <row r="23" ht="15.75" customHeight="1">
      <c r="B23" s="115" t="s">
        <v>11</v>
      </c>
      <c r="C23" s="116" t="s">
        <v>225</v>
      </c>
      <c r="D23" s="117">
        <f>IFERROR(SUMIFS(Datos!$F$2:$F$5001,Datos!$B$2:$B$5001,C23,Datos!$A$2:$A$5001,"&lt;&gt;"&amp;Config!$C$9),0)</f>
        <v>1800000</v>
      </c>
      <c r="E23" s="117">
        <f>IFERROR(SUMIFS(Datos!$G$2:$G$5001,Datos!$B$2:$B$5001,C23,Datos!$A$2:$A$5001,"&lt;&gt;"&amp;Config!$C$9),0)</f>
        <v>1800000</v>
      </c>
      <c r="F23" s="113">
        <f>IFERROR(SUMIFS(Datos!$H$2:$H$5001,Datos!$B$2:$B$5001,C23,Datos!$A$2:$A$5001,"&lt;&gt;"&amp;Config!$C$9),0)</f>
        <v>0</v>
      </c>
      <c r="G23" s="118">
        <f>IFERROR(F23/SUMIFS(Datos!$F$2:$F$5001,Datos!$A$2:$A$5001,"&lt;&gt;"&amp;Config!$C$9),0)</f>
        <v>0</v>
      </c>
    </row>
    <row r="24" ht="15.75" customHeight="1">
      <c r="B24" s="110" t="s">
        <v>11</v>
      </c>
      <c r="C24" s="111" t="s">
        <v>21</v>
      </c>
      <c r="D24" s="112">
        <f>IFERROR(SUMIFS(Datos!$F$2:$F$5001,Datos!$B$2:$B$5001,C24,Datos!$A$2:$A$5001,"&lt;&gt;"&amp;Config!$C$9),0)</f>
        <v>1201151.12</v>
      </c>
      <c r="E24" s="112">
        <f>IFERROR(SUMIFS(Datos!$G$2:$G$5001,Datos!$B$2:$B$5001,C24,Datos!$A$2:$A$5001,"&lt;&gt;"&amp;Config!$C$9),0)</f>
        <v>1201151.12</v>
      </c>
      <c r="F24" s="113">
        <f>IFERROR(SUMIFS(Datos!$H$2:$H$5001,Datos!$B$2:$B$5001,C24,Datos!$A$2:$A$5001,"&lt;&gt;"&amp;Config!$C$9),0)</f>
        <v>0</v>
      </c>
      <c r="G24" s="114">
        <f>IFERROR(F24/SUMIFS(Datos!$F$2:$F$5001,Datos!$A$2:$A$5001,"&lt;&gt;"&amp;Config!$C$9),0)</f>
        <v>0</v>
      </c>
    </row>
    <row r="25" ht="15.75" customHeight="1">
      <c r="B25" s="115" t="s">
        <v>11</v>
      </c>
      <c r="C25" s="116" t="s">
        <v>266</v>
      </c>
      <c r="D25" s="117">
        <f>IFERROR(SUMIFS(Datos!$F$2:$F$5001,Datos!$B$2:$B$5001,C25,Datos!$A$2:$A$5001,"&lt;&gt;"&amp;Config!$C$9),0)</f>
        <v>965646.31</v>
      </c>
      <c r="E25" s="117">
        <f>IFERROR(SUMIFS(Datos!$G$2:$G$5001,Datos!$B$2:$B$5001,C25,Datos!$A$2:$A$5001,"&lt;&gt;"&amp;Config!$C$9),0)</f>
        <v>965646.31</v>
      </c>
      <c r="F25" s="113">
        <f>IFERROR(SUMIFS(Datos!$H$2:$H$5001,Datos!$B$2:$B$5001,C25,Datos!$A$2:$A$5001,"&lt;&gt;"&amp;Config!$C$9),0)</f>
        <v>0</v>
      </c>
      <c r="G25" s="118">
        <f>IFERROR(F25/SUMIFS(Datos!$F$2:$F$5001,Datos!$A$2:$A$5001,"&lt;&gt;"&amp;Config!$C$9),0)</f>
        <v>0</v>
      </c>
    </row>
    <row r="26" ht="15.75" customHeight="1">
      <c r="B26" s="110" t="s">
        <v>11</v>
      </c>
      <c r="C26" s="111" t="s">
        <v>335</v>
      </c>
      <c r="D26" s="112">
        <f>IFERROR(SUMIFS(Datos!$F$2:$F$5001,Datos!$B$2:$B$5001,C26,Datos!$A$2:$A$5001,"&lt;&gt;"&amp;Config!$C$9),0)</f>
        <v>881045.1</v>
      </c>
      <c r="E26" s="112">
        <f>IFERROR(SUMIFS(Datos!$G$2:$G$5001,Datos!$B$2:$B$5001,C26,Datos!$A$2:$A$5001,"&lt;&gt;"&amp;Config!$C$9),0)</f>
        <v>884605.1</v>
      </c>
      <c r="F26" s="113">
        <f>IFERROR(SUMIFS(Datos!$H$2:$H$5001,Datos!$B$2:$B$5001,C26,Datos!$A$2:$A$5001,"&lt;&gt;"&amp;Config!$C$9),0)</f>
        <v>0</v>
      </c>
      <c r="G26" s="114">
        <f>IFERROR(F26/SUMIFS(Datos!$F$2:$F$5001,Datos!$A$2:$A$5001,"&lt;&gt;"&amp;Config!$C$9),0)</f>
        <v>0</v>
      </c>
    </row>
    <row r="27" ht="15.75" customHeight="1">
      <c r="B27" s="115" t="s">
        <v>11</v>
      </c>
      <c r="C27" s="116" t="s">
        <v>551</v>
      </c>
      <c r="D27" s="117">
        <f>IFERROR(SUMIFS(Datos!$F$2:$F$5001,Datos!$B$2:$B$5001,C27,Datos!$A$2:$A$5001,"&lt;&gt;"&amp;Config!$C$9),0)</f>
        <v>575219.49</v>
      </c>
      <c r="E27" s="117">
        <f>IFERROR(SUMIFS(Datos!$G$2:$G$5001,Datos!$B$2:$B$5001,C27,Datos!$A$2:$A$5001,"&lt;&gt;"&amp;Config!$C$9),0)</f>
        <v>575219.49</v>
      </c>
      <c r="F27" s="113">
        <f>IFERROR(SUMIFS(Datos!$H$2:$H$5001,Datos!$B$2:$B$5001,C27,Datos!$A$2:$A$5001,"&lt;&gt;"&amp;Config!$C$9),0)</f>
        <v>0</v>
      </c>
      <c r="G27" s="118">
        <f>IFERROR(F27/SUMIFS(Datos!$F$2:$F$5001,Datos!$A$2:$A$5001,"&lt;&gt;"&amp;Config!$C$9),0)</f>
        <v>0</v>
      </c>
    </row>
    <row r="28" ht="15.75" customHeight="1">
      <c r="B28" s="110" t="s">
        <v>11</v>
      </c>
      <c r="C28" s="111" t="s">
        <v>298</v>
      </c>
      <c r="D28" s="112">
        <f>IFERROR(SUMIFS(Datos!$F$2:$F$5001,Datos!$B$2:$B$5001,C28,Datos!$A$2:$A$5001,"&lt;&gt;"&amp;Config!$C$9),0)</f>
        <v>766900.04</v>
      </c>
      <c r="E28" s="112">
        <f>IFERROR(SUMIFS(Datos!$G$2:$G$5001,Datos!$B$2:$B$5001,C28,Datos!$A$2:$A$5001,"&lt;&gt;"&amp;Config!$C$9),0)</f>
        <v>766900.04</v>
      </c>
      <c r="F28" s="113">
        <f>IFERROR(SUMIFS(Datos!$H$2:$H$5001,Datos!$B$2:$B$5001,C28,Datos!$A$2:$A$5001,"&lt;&gt;"&amp;Config!$C$9),0)</f>
        <v>0</v>
      </c>
      <c r="G28" s="114">
        <f>IFERROR(F28/SUMIFS(Datos!$F$2:$F$5001,Datos!$A$2:$A$5001,"&lt;&gt;"&amp;Config!$C$9),0)</f>
        <v>0</v>
      </c>
    </row>
    <row r="29" ht="15.75" customHeight="1">
      <c r="B29" s="115" t="s">
        <v>11</v>
      </c>
      <c r="C29" s="116" t="s">
        <v>45</v>
      </c>
      <c r="D29" s="117">
        <f>IFERROR(SUMIFS(Datos!$F$2:$F$5001,Datos!$B$2:$B$5001,C29,Datos!$A$2:$A$5001,"&lt;&gt;"&amp;Config!$C$9),0)</f>
        <v>506563.84</v>
      </c>
      <c r="E29" s="117">
        <f>IFERROR(SUMIFS(Datos!$G$2:$G$5001,Datos!$B$2:$B$5001,C29,Datos!$A$2:$A$5001,"&lt;&gt;"&amp;Config!$C$9),0)</f>
        <v>506563.84</v>
      </c>
      <c r="F29" s="113">
        <f>IFERROR(SUMIFS(Datos!$H$2:$H$5001,Datos!$B$2:$B$5001,C29,Datos!$A$2:$A$5001,"&lt;&gt;"&amp;Config!$C$9),0)</f>
        <v>0</v>
      </c>
      <c r="G29" s="118">
        <f>IFERROR(F29/SUMIFS(Datos!$F$2:$F$5001,Datos!$A$2:$A$5001,"&lt;&gt;"&amp;Config!$C$9),0)</f>
        <v>0</v>
      </c>
    </row>
    <row r="30" ht="15.75" customHeight="1">
      <c r="B30" s="110" t="s">
        <v>11</v>
      </c>
      <c r="C30" s="111" t="s">
        <v>980</v>
      </c>
      <c r="D30" s="112">
        <f>IFERROR(SUMIFS(Datos!$F$2:$F$5001,Datos!$B$2:$B$5001,C30,Datos!$A$2:$A$5001,"&lt;&gt;"&amp;Config!$C$9),0)</f>
        <v>419600</v>
      </c>
      <c r="E30" s="112">
        <f>IFERROR(SUMIFS(Datos!$G$2:$G$5001,Datos!$B$2:$B$5001,C30,Datos!$A$2:$A$5001,"&lt;&gt;"&amp;Config!$C$9),0)</f>
        <v>419600</v>
      </c>
      <c r="F30" s="113">
        <f>IFERROR(SUMIFS(Datos!$H$2:$H$5001,Datos!$B$2:$B$5001,C30,Datos!$A$2:$A$5001,"&lt;&gt;"&amp;Config!$C$9),0)</f>
        <v>0</v>
      </c>
      <c r="G30" s="114">
        <f>IFERROR(F30/SUMIFS(Datos!$F$2:$F$5001,Datos!$A$2:$A$5001,"&lt;&gt;"&amp;Config!$C$9),0)</f>
        <v>0</v>
      </c>
    </row>
    <row r="31" ht="15.75" customHeight="1">
      <c r="B31" s="115" t="s">
        <v>11</v>
      </c>
      <c r="C31" s="116" t="s">
        <v>587</v>
      </c>
      <c r="D31" s="117">
        <f>IFERROR(SUMIFS(Datos!$F$2:$F$5001,Datos!$B$2:$B$5001,C31,Datos!$A$2:$A$5001,"&lt;&gt;"&amp;Config!$C$9),0)</f>
        <v>266470</v>
      </c>
      <c r="E31" s="117">
        <f>IFERROR(SUMIFS(Datos!$G$2:$G$5001,Datos!$B$2:$B$5001,C31,Datos!$A$2:$A$5001,"&lt;&gt;"&amp;Config!$C$9),0)</f>
        <v>266470</v>
      </c>
      <c r="F31" s="113">
        <f>IFERROR(SUMIFS(Datos!$H$2:$H$5001,Datos!$B$2:$B$5001,C31,Datos!$A$2:$A$5001,"&lt;&gt;"&amp;Config!$C$9),0)</f>
        <v>0</v>
      </c>
      <c r="G31" s="118">
        <f>IFERROR(F31/SUMIFS(Datos!$F$2:$F$5001,Datos!$A$2:$A$5001,"&lt;&gt;"&amp;Config!$C$9),0)</f>
        <v>0</v>
      </c>
    </row>
    <row r="32" ht="15.75" customHeight="1">
      <c r="B32" s="110" t="s">
        <v>11</v>
      </c>
      <c r="C32" s="111" t="s">
        <v>125</v>
      </c>
      <c r="D32" s="112">
        <f>IFERROR(SUMIFS(Datos!$F$2:$F$5001,Datos!$B$2:$B$5001,C32,Datos!$A$2:$A$5001,"&lt;&gt;"&amp;Config!$C$9),0)</f>
        <v>237889.29</v>
      </c>
      <c r="E32" s="112">
        <f>IFERROR(SUMIFS(Datos!$G$2:$G$5001,Datos!$B$2:$B$5001,C32,Datos!$A$2:$A$5001,"&lt;&gt;"&amp;Config!$C$9),0)</f>
        <v>237889.29</v>
      </c>
      <c r="F32" s="113">
        <f>IFERROR(SUMIFS(Datos!$H$2:$H$5001,Datos!$B$2:$B$5001,C32,Datos!$A$2:$A$5001,"&lt;&gt;"&amp;Config!$C$9),0)</f>
        <v>0</v>
      </c>
      <c r="G32" s="114">
        <f>IFERROR(F32/SUMIFS(Datos!$F$2:$F$5001,Datos!$A$2:$A$5001,"&lt;&gt;"&amp;Config!$C$9),0)</f>
        <v>0</v>
      </c>
    </row>
    <row r="33" ht="15.75" customHeight="1">
      <c r="B33" s="115" t="s">
        <v>11</v>
      </c>
      <c r="C33" s="116" t="s">
        <v>72</v>
      </c>
      <c r="D33" s="117">
        <f>IFERROR(SUMIFS(Datos!$F$2:$F$5001,Datos!$B$2:$B$5001,C33,Datos!$A$2:$A$5001,"&lt;&gt;"&amp;Config!$C$9),0)</f>
        <v>192700</v>
      </c>
      <c r="E33" s="117">
        <f>IFERROR(SUMIFS(Datos!$G$2:$G$5001,Datos!$B$2:$B$5001,C33,Datos!$A$2:$A$5001,"&lt;&gt;"&amp;Config!$C$9),0)</f>
        <v>192700</v>
      </c>
      <c r="F33" s="113">
        <f>IFERROR(SUMIFS(Datos!$H$2:$H$5001,Datos!$B$2:$B$5001,C33,Datos!$A$2:$A$5001,"&lt;&gt;"&amp;Config!$C$9),0)</f>
        <v>0</v>
      </c>
      <c r="G33" s="118">
        <f>IFERROR(F33/SUMIFS(Datos!$F$2:$F$5001,Datos!$A$2:$A$5001,"&lt;&gt;"&amp;Config!$C$9),0)</f>
        <v>0</v>
      </c>
    </row>
    <row r="34" ht="15.75" customHeight="1">
      <c r="B34" s="110" t="s">
        <v>11</v>
      </c>
      <c r="C34" s="111" t="s">
        <v>927</v>
      </c>
      <c r="D34" s="112">
        <f>IFERROR(SUMIFS(Datos!$F$2:$F$5001,Datos!$B$2:$B$5001,C34,Datos!$A$2:$A$5001,"&lt;&gt;"&amp;Config!$C$9),0)</f>
        <v>185894.5</v>
      </c>
      <c r="E34" s="112">
        <f>IFERROR(SUMIFS(Datos!$G$2:$G$5001,Datos!$B$2:$B$5001,C34,Datos!$A$2:$A$5001,"&lt;&gt;"&amp;Config!$C$9),0)</f>
        <v>185894.5</v>
      </c>
      <c r="F34" s="113">
        <f>IFERROR(SUMIFS(Datos!$H$2:$H$5001,Datos!$B$2:$B$5001,C34,Datos!$A$2:$A$5001,"&lt;&gt;"&amp;Config!$C$9),0)</f>
        <v>0</v>
      </c>
      <c r="G34" s="114">
        <f>IFERROR(F34/SUMIFS(Datos!$F$2:$F$5001,Datos!$A$2:$A$5001,"&lt;&gt;"&amp;Config!$C$9),0)</f>
        <v>0</v>
      </c>
    </row>
    <row r="35" ht="15.75" customHeight="1">
      <c r="B35" s="115" t="s">
        <v>11</v>
      </c>
      <c r="C35" s="116" t="s">
        <v>314</v>
      </c>
      <c r="D35" s="117">
        <f>IFERROR(SUMIFS(Datos!$F$2:$F$5001,Datos!$B$2:$B$5001,C35,Datos!$A$2:$A$5001,"&lt;&gt;"&amp;Config!$C$9),0)</f>
        <v>155218.6</v>
      </c>
      <c r="E35" s="117">
        <f>IFERROR(SUMIFS(Datos!$G$2:$G$5001,Datos!$B$2:$B$5001,C35,Datos!$A$2:$A$5001,"&lt;&gt;"&amp;Config!$C$9),0)</f>
        <v>155218.6</v>
      </c>
      <c r="F35" s="113">
        <f>IFERROR(SUMIFS(Datos!$H$2:$H$5001,Datos!$B$2:$B$5001,C35,Datos!$A$2:$A$5001,"&lt;&gt;"&amp;Config!$C$9),0)</f>
        <v>0</v>
      </c>
      <c r="G35" s="118">
        <f>IFERROR(F35/SUMIFS(Datos!$F$2:$F$5001,Datos!$A$2:$A$5001,"&lt;&gt;"&amp;Config!$C$9),0)</f>
        <v>0</v>
      </c>
    </row>
    <row r="36" ht="15.75" customHeight="1">
      <c r="B36" s="110" t="s">
        <v>11</v>
      </c>
      <c r="C36" s="111" t="s">
        <v>840</v>
      </c>
      <c r="D36" s="112">
        <f>IFERROR(SUMIFS(Datos!$F$2:$F$5001,Datos!$B$2:$B$5001,C36,Datos!$A$2:$A$5001,"&lt;&gt;"&amp;Config!$C$9),0)</f>
        <v>111785.52</v>
      </c>
      <c r="E36" s="112">
        <f>IFERROR(SUMIFS(Datos!$G$2:$G$5001,Datos!$B$2:$B$5001,C36,Datos!$A$2:$A$5001,"&lt;&gt;"&amp;Config!$C$9),0)</f>
        <v>111785.52</v>
      </c>
      <c r="F36" s="113">
        <f>IFERROR(SUMIFS(Datos!$H$2:$H$5001,Datos!$B$2:$B$5001,C36,Datos!$A$2:$A$5001,"&lt;&gt;"&amp;Config!$C$9),0)</f>
        <v>0</v>
      </c>
      <c r="G36" s="114">
        <f>IFERROR(F36/SUMIFS(Datos!$F$2:$F$5001,Datos!$A$2:$A$5001,"&lt;&gt;"&amp;Config!$C$9),0)</f>
        <v>0</v>
      </c>
    </row>
    <row r="37" ht="15.75" customHeight="1">
      <c r="B37" s="115" t="s">
        <v>11</v>
      </c>
      <c r="C37" s="116" t="s">
        <v>62</v>
      </c>
      <c r="D37" s="117">
        <f>IFERROR(SUMIFS(Datos!$F$2:$F$5001,Datos!$B$2:$B$5001,C37,Datos!$A$2:$A$5001,"&lt;&gt;"&amp;Config!$C$9),0)</f>
        <v>86856.23</v>
      </c>
      <c r="E37" s="117">
        <f>IFERROR(SUMIFS(Datos!$G$2:$G$5001,Datos!$B$2:$B$5001,C37,Datos!$A$2:$A$5001,"&lt;&gt;"&amp;Config!$C$9),0)</f>
        <v>86856.23</v>
      </c>
      <c r="F37" s="113">
        <f>IFERROR(SUMIFS(Datos!$H$2:$H$5001,Datos!$B$2:$B$5001,C37,Datos!$A$2:$A$5001,"&lt;&gt;"&amp;Config!$C$9),0)</f>
        <v>0</v>
      </c>
      <c r="G37" s="118">
        <f>IFERROR(F37/SUMIFS(Datos!$F$2:$F$5001,Datos!$A$2:$A$5001,"&lt;&gt;"&amp;Config!$C$9),0)</f>
        <v>0</v>
      </c>
    </row>
    <row r="38" ht="15.75" customHeight="1">
      <c r="B38" s="110" t="s">
        <v>11</v>
      </c>
      <c r="C38" s="111" t="s">
        <v>133</v>
      </c>
      <c r="D38" s="112">
        <f>IFERROR(SUMIFS(Datos!$F$2:$F$5001,Datos!$B$2:$B$5001,C38,Datos!$A$2:$A$5001,"&lt;&gt;"&amp;Config!$C$9),0)</f>
        <v>118501.77</v>
      </c>
      <c r="E38" s="112">
        <f>IFERROR(SUMIFS(Datos!$G$2:$G$5001,Datos!$B$2:$B$5001,C38,Datos!$A$2:$A$5001,"&lt;&gt;"&amp;Config!$C$9),0)</f>
        <v>118501.77</v>
      </c>
      <c r="F38" s="113">
        <f>IFERROR(SUMIFS(Datos!$H$2:$H$5001,Datos!$B$2:$B$5001,C38,Datos!$A$2:$A$5001,"&lt;&gt;"&amp;Config!$C$9),0)</f>
        <v>0</v>
      </c>
      <c r="G38" s="114">
        <f>IFERROR(F38/SUMIFS(Datos!$F$2:$F$5001,Datos!$A$2:$A$5001,"&lt;&gt;"&amp;Config!$C$9),0)</f>
        <v>0</v>
      </c>
    </row>
    <row r="39" ht="15.75" customHeight="1">
      <c r="B39" s="115" t="s">
        <v>11</v>
      </c>
      <c r="C39" s="116" t="s">
        <v>864</v>
      </c>
      <c r="D39" s="117">
        <f>IFERROR(SUMIFS(Datos!$F$2:$F$5001,Datos!$B$2:$B$5001,C39,Datos!$A$2:$A$5001,"&lt;&gt;"&amp;Config!$C$9),0)</f>
        <v>71918.5</v>
      </c>
      <c r="E39" s="117">
        <f>IFERROR(SUMIFS(Datos!$G$2:$G$5001,Datos!$B$2:$B$5001,C39,Datos!$A$2:$A$5001,"&lt;&gt;"&amp;Config!$C$9),0)</f>
        <v>71918.5</v>
      </c>
      <c r="F39" s="113">
        <f>IFERROR(SUMIFS(Datos!$H$2:$H$5001,Datos!$B$2:$B$5001,C39,Datos!$A$2:$A$5001,"&lt;&gt;"&amp;Config!$C$9),0)</f>
        <v>0</v>
      </c>
      <c r="G39" s="118">
        <f>IFERROR(F39/SUMIFS(Datos!$F$2:$F$5001,Datos!$A$2:$A$5001,"&lt;&gt;"&amp;Config!$C$9),0)</f>
        <v>0</v>
      </c>
    </row>
    <row r="40" ht="15.75" customHeight="1">
      <c r="B40" s="110" t="s">
        <v>11</v>
      </c>
      <c r="C40" s="111" t="s">
        <v>462</v>
      </c>
      <c r="D40" s="112">
        <f>IFERROR(SUMIFS(Datos!$F$2:$F$5001,Datos!$B$2:$B$5001,C40,Datos!$A$2:$A$5001,"&lt;&gt;"&amp;Config!$C$9),0)</f>
        <v>5775.52</v>
      </c>
      <c r="E40" s="112">
        <f>IFERROR(SUMIFS(Datos!$G$2:$G$5001,Datos!$B$2:$B$5001,C40,Datos!$A$2:$A$5001,"&lt;&gt;"&amp;Config!$C$9),0)</f>
        <v>1403.6</v>
      </c>
      <c r="F40" s="113">
        <f>IFERROR(SUMIFS(Datos!$H$2:$H$5001,Datos!$B$2:$B$5001,C40,Datos!$A$2:$A$5001,"&lt;&gt;"&amp;Config!$C$9),0)</f>
        <v>4371.92</v>
      </c>
      <c r="G40" s="114">
        <f>IFERROR(F40/SUMIFS(Datos!$F$2:$F$5001,Datos!$A$2:$A$5001,"&lt;&gt;"&amp;Config!$C$9),0)</f>
        <v>0.0001937742842</v>
      </c>
    </row>
    <row r="41" ht="15.75" customHeight="1">
      <c r="B41" s="115" t="s">
        <v>11</v>
      </c>
      <c r="C41" s="116" t="s">
        <v>835</v>
      </c>
      <c r="D41" s="117">
        <f>IFERROR(SUMIFS(Datos!$F$2:$F$5001,Datos!$B$2:$B$5001,C41,Datos!$A$2:$A$5001,"&lt;&gt;"&amp;Config!$C$9),0)</f>
        <v>27140</v>
      </c>
      <c r="E41" s="117">
        <f>IFERROR(SUMIFS(Datos!$G$2:$G$5001,Datos!$B$2:$B$5001,C41,Datos!$A$2:$A$5001,"&lt;&gt;"&amp;Config!$C$9),0)</f>
        <v>27140</v>
      </c>
      <c r="F41" s="113">
        <f>IFERROR(SUMIFS(Datos!$H$2:$H$5001,Datos!$B$2:$B$5001,C41,Datos!$A$2:$A$5001,"&lt;&gt;"&amp;Config!$C$9),0)</f>
        <v>0</v>
      </c>
      <c r="G41" s="118">
        <f>IFERROR(F41/SUMIFS(Datos!$F$2:$F$5001,Datos!$A$2:$A$5001,"&lt;&gt;"&amp;Config!$C$9),0)</f>
        <v>0</v>
      </c>
    </row>
    <row r="42" ht="15.75" customHeight="1">
      <c r="B42" s="110" t="s">
        <v>11</v>
      </c>
      <c r="C42" s="111" t="s">
        <v>776</v>
      </c>
      <c r="D42" s="112">
        <f>IFERROR(SUMIFS(Datos!$F$2:$F$5001,Datos!$B$2:$B$5001,C42,Datos!$A$2:$A$5001,"&lt;&gt;"&amp;Config!$C$9),0)</f>
        <v>23836.0628</v>
      </c>
      <c r="E42" s="112">
        <f>IFERROR(SUMIFS(Datos!$G$2:$G$5001,Datos!$B$2:$B$5001,C42,Datos!$A$2:$A$5001,"&lt;&gt;"&amp;Config!$C$9),0)</f>
        <v>23836.0628</v>
      </c>
      <c r="F42" s="113">
        <f>IFERROR(SUMIFS(Datos!$H$2:$H$5001,Datos!$B$2:$B$5001,C42,Datos!$A$2:$A$5001,"&lt;&gt;"&amp;Config!$C$9),0)</f>
        <v>0</v>
      </c>
      <c r="G42" s="114">
        <f>IFERROR(F42/SUMIFS(Datos!$F$2:$F$5001,Datos!$A$2:$A$5001,"&lt;&gt;"&amp;Config!$C$9),0)</f>
        <v>0</v>
      </c>
    </row>
    <row r="43" ht="15.75" customHeight="1">
      <c r="B43" s="115" t="s">
        <v>11</v>
      </c>
      <c r="C43" s="116" t="s">
        <v>246</v>
      </c>
      <c r="D43" s="117">
        <f>IFERROR(SUMIFS(Datos!$F$2:$F$5001,Datos!$B$2:$B$5001,C43,Datos!$A$2:$A$5001,"&lt;&gt;"&amp;Config!$C$9),0)</f>
        <v>23084</v>
      </c>
      <c r="E43" s="117">
        <f>IFERROR(SUMIFS(Datos!$G$2:$G$5001,Datos!$B$2:$B$5001,C43,Datos!$A$2:$A$5001,"&lt;&gt;"&amp;Config!$C$9),0)</f>
        <v>23084</v>
      </c>
      <c r="F43" s="113">
        <f>IFERROR(SUMIFS(Datos!$H$2:$H$5001,Datos!$B$2:$B$5001,C43,Datos!$A$2:$A$5001,"&lt;&gt;"&amp;Config!$C$9),0)</f>
        <v>0</v>
      </c>
      <c r="G43" s="118">
        <f>IFERROR(F43/SUMIFS(Datos!$F$2:$F$5001,Datos!$A$2:$A$5001,"&lt;&gt;"&amp;Config!$C$9),0)</f>
        <v>0</v>
      </c>
    </row>
    <row r="44" ht="15.75" customHeight="1">
      <c r="B44" s="110" t="s">
        <v>11</v>
      </c>
      <c r="C44" s="111" t="s">
        <v>229</v>
      </c>
      <c r="D44" s="112">
        <f>IFERROR(SUMIFS(Datos!$F$2:$F$5001,Datos!$B$2:$B$5001,C44,Datos!$A$2:$A$5001,"&lt;&gt;"&amp;Config!$C$9),0)</f>
        <v>12644</v>
      </c>
      <c r="E44" s="112">
        <f>IFERROR(SUMIFS(Datos!$G$2:$G$5001,Datos!$B$2:$B$5001,C44,Datos!$A$2:$A$5001,"&lt;&gt;"&amp;Config!$C$9),0)</f>
        <v>12644</v>
      </c>
      <c r="F44" s="113">
        <f>IFERROR(SUMIFS(Datos!$H$2:$H$5001,Datos!$B$2:$B$5001,C44,Datos!$A$2:$A$5001,"&lt;&gt;"&amp;Config!$C$9),0)</f>
        <v>0</v>
      </c>
      <c r="G44" s="114">
        <f>IFERROR(F44/SUMIFS(Datos!$F$2:$F$5001,Datos!$A$2:$A$5001,"&lt;&gt;"&amp;Config!$C$9),0)</f>
        <v>0</v>
      </c>
    </row>
    <row r="45" ht="15.75" customHeight="1">
      <c r="B45" s="115" t="s">
        <v>11</v>
      </c>
      <c r="C45" s="116" t="s">
        <v>87</v>
      </c>
      <c r="D45" s="117">
        <f>IFERROR(SUMIFS(Datos!$F$2:$F$5001,Datos!$B$2:$B$5001,C45,Datos!$A$2:$A$5001,"&lt;&gt;"&amp;Config!$C$9),0)</f>
        <v>11087.7</v>
      </c>
      <c r="E45" s="117">
        <f>IFERROR(SUMIFS(Datos!$G$2:$G$5001,Datos!$B$2:$B$5001,C45,Datos!$A$2:$A$5001,"&lt;&gt;"&amp;Config!$C$9),0)</f>
        <v>11087.7</v>
      </c>
      <c r="F45" s="113">
        <f>IFERROR(SUMIFS(Datos!$H$2:$H$5001,Datos!$B$2:$B$5001,C45,Datos!$A$2:$A$5001,"&lt;&gt;"&amp;Config!$C$9),0)</f>
        <v>0</v>
      </c>
      <c r="G45" s="118">
        <f>IFERROR(F45/SUMIFS(Datos!$F$2:$F$5001,Datos!$A$2:$A$5001,"&lt;&gt;"&amp;Config!$C$9),0)</f>
        <v>0</v>
      </c>
    </row>
    <row r="46" ht="15.75" customHeight="1">
      <c r="B46" s="110" t="s">
        <v>11</v>
      </c>
      <c r="C46" s="111" t="s">
        <v>66</v>
      </c>
      <c r="D46" s="112">
        <f>IFERROR(SUMIFS(Datos!$F$2:$F$5001,Datos!$B$2:$B$5001,C46,Datos!$A$2:$A$5001,"&lt;&gt;"&amp;Config!$C$9),0)</f>
        <v>10349.97</v>
      </c>
      <c r="E46" s="112">
        <f>IFERROR(SUMIFS(Datos!$G$2:$G$5001,Datos!$B$2:$B$5001,C46,Datos!$A$2:$A$5001,"&lt;&gt;"&amp;Config!$C$9),0)</f>
        <v>10349.97</v>
      </c>
      <c r="F46" s="113">
        <f>IFERROR(SUMIFS(Datos!$H$2:$H$5001,Datos!$B$2:$B$5001,C46,Datos!$A$2:$A$5001,"&lt;&gt;"&amp;Config!$C$9),0)</f>
        <v>0</v>
      </c>
      <c r="G46" s="114">
        <f>IFERROR(F46/SUMIFS(Datos!$F$2:$F$5001,Datos!$A$2:$A$5001,"&lt;&gt;"&amp;Config!$C$9),0)</f>
        <v>0</v>
      </c>
    </row>
    <row r="47" ht="15.75" customHeight="1">
      <c r="B47" s="115" t="s">
        <v>11</v>
      </c>
      <c r="C47" s="116" t="s">
        <v>603</v>
      </c>
      <c r="D47" s="117">
        <f>IFERROR(SUMIFS(Datos!$F$2:$F$5001,Datos!$B$2:$B$5001,C47,Datos!$A$2:$A$5001,"&lt;&gt;"&amp;Config!$C$9),0)</f>
        <v>463649.63</v>
      </c>
      <c r="E47" s="117">
        <f>IFERROR(SUMIFS(Datos!$G$2:$G$5001,Datos!$B$2:$B$5001,C47,Datos!$A$2:$A$5001,"&lt;&gt;"&amp;Config!$C$9),0)</f>
        <v>463649.63</v>
      </c>
      <c r="F47" s="113">
        <f>IFERROR(SUMIFS(Datos!$H$2:$H$5001,Datos!$B$2:$B$5001,C47,Datos!$A$2:$A$5001,"&lt;&gt;"&amp;Config!$C$9),0)</f>
        <v>0</v>
      </c>
      <c r="G47" s="118">
        <f>IFERROR(F47/SUMIFS(Datos!$F$2:$F$5001,Datos!$A$2:$A$5001,"&lt;&gt;"&amp;Config!$C$9),0)</f>
        <v>0</v>
      </c>
    </row>
    <row r="48" ht="18.0" customHeight="1">
      <c r="B48" s="119" t="s">
        <v>1171</v>
      </c>
      <c r="C48" s="120"/>
      <c r="D48" s="121">
        <f>SUMIFS(Datos!$F$2:$F$5001,Datos!$A$2:$A$5001,"&lt;&gt;"&amp;Config!$C$9)</f>
        <v>22561920.52</v>
      </c>
      <c r="E48" s="121">
        <f>SUMIFS(Datos!$G$2:$G$5001,Datos!$A$2:$A$5001,"&lt;&gt;"&amp;Config!$C$9)</f>
        <v>21136495.4</v>
      </c>
      <c r="F48" s="121">
        <f>SUMIFS(Datos!$H$2:$H$5001,Datos!$A$2:$A$5001,"&lt;&gt;"&amp;Config!$C$9)</f>
        <v>1429255.12</v>
      </c>
      <c r="G48" s="122">
        <f>IFERROR(F48/D48,0)</f>
        <v>0.0633481143</v>
      </c>
    </row>
    <row r="49" ht="15.75" customHeight="1"/>
    <row r="50" ht="24.0" customHeight="1">
      <c r="B50" s="7" t="s">
        <v>1178</v>
      </c>
      <c r="C50" s="34"/>
      <c r="D50" s="34"/>
      <c r="E50" s="34"/>
      <c r="F50" s="34"/>
      <c r="G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9:$G$47"/>
  <mergeCells count="3">
    <mergeCell ref="B2:G2"/>
    <mergeCell ref="B3:G3"/>
    <mergeCell ref="B50:G5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7.29"/>
    <col customWidth="1" min="3" max="3" width="29.43"/>
    <col customWidth="1" min="4" max="4" width="32.14"/>
    <col customWidth="1" min="5" max="5" width="21.29"/>
    <col customWidth="1" min="6" max="6" width="3.0"/>
    <col customWidth="1" min="7" max="26" width="8.71"/>
  </cols>
  <sheetData>
    <row r="2" ht="45.75" customHeight="1">
      <c r="B2" s="123" t="s">
        <v>1179</v>
      </c>
      <c r="C2" s="34"/>
      <c r="D2" s="34"/>
      <c r="E2" s="2"/>
    </row>
    <row r="3" ht="21.75" customHeight="1">
      <c r="B3" s="124" t="s">
        <v>1180</v>
      </c>
      <c r="C3" s="34"/>
      <c r="D3" s="34"/>
      <c r="E3" s="2"/>
    </row>
    <row r="4" ht="7.5" customHeight="1"/>
    <row r="5" ht="15.75" customHeight="1">
      <c r="B5" s="125" t="s">
        <v>1181</v>
      </c>
      <c r="D5" s="102" t="s">
        <v>1182</v>
      </c>
      <c r="E5" s="46" t="s">
        <v>1183</v>
      </c>
    </row>
    <row r="6" ht="37.5" customHeight="1">
      <c r="B6" s="126">
        <f>SUM(E11:E22)</f>
        <v>617269.53</v>
      </c>
      <c r="D6" s="127" t="s">
        <v>1184</v>
      </c>
      <c r="E6" s="128" t="s">
        <v>1185</v>
      </c>
    </row>
    <row r="7" ht="21.75" customHeight="1">
      <c r="B7" s="129" t="s">
        <v>1186</v>
      </c>
      <c r="D7" s="105" t="s">
        <v>1187</v>
      </c>
      <c r="E7" s="130" t="s">
        <v>1188</v>
      </c>
    </row>
    <row r="8" ht="7.5" customHeight="1">
      <c r="B8" s="131"/>
      <c r="D8" s="132"/>
      <c r="E8" s="61"/>
    </row>
    <row r="10" ht="19.5" customHeight="1">
      <c r="B10" s="133" t="s">
        <v>15</v>
      </c>
      <c r="C10" s="133" t="s">
        <v>1189</v>
      </c>
      <c r="D10" s="133" t="s">
        <v>1150</v>
      </c>
      <c r="E10" s="134" t="s">
        <v>18</v>
      </c>
    </row>
    <row r="11" ht="18.0" customHeight="1">
      <c r="B11" s="135" t="s">
        <v>285</v>
      </c>
      <c r="C11" s="136" t="s">
        <v>1190</v>
      </c>
      <c r="D11" s="137" t="s">
        <v>1191</v>
      </c>
      <c r="E11" s="138"/>
    </row>
    <row r="12" ht="18.0" customHeight="1">
      <c r="B12" s="139" t="s">
        <v>285</v>
      </c>
      <c r="C12" s="140" t="s">
        <v>1192</v>
      </c>
      <c r="D12" s="141" t="s">
        <v>1193</v>
      </c>
      <c r="E12" s="138"/>
    </row>
    <row r="13" ht="18.0" customHeight="1">
      <c r="B13" s="135" t="s">
        <v>126</v>
      </c>
      <c r="C13" s="136" t="s">
        <v>1194</v>
      </c>
      <c r="D13" s="137" t="s">
        <v>1195</v>
      </c>
      <c r="E13" s="138"/>
    </row>
    <row r="14" ht="18.0" customHeight="1">
      <c r="B14" s="139" t="s">
        <v>1196</v>
      </c>
      <c r="C14" s="140" t="s">
        <v>1197</v>
      </c>
      <c r="D14" s="141" t="s">
        <v>1198</v>
      </c>
      <c r="E14" s="138"/>
    </row>
    <row r="15" ht="18.0" customHeight="1">
      <c r="B15" s="135" t="s">
        <v>787</v>
      </c>
      <c r="C15" s="136" t="s">
        <v>1199</v>
      </c>
      <c r="D15" s="137" t="s">
        <v>1200</v>
      </c>
      <c r="E15" s="138">
        <v>107862.86</v>
      </c>
    </row>
    <row r="16" ht="18.0" customHeight="1">
      <c r="B16" s="139" t="s">
        <v>25</v>
      </c>
      <c r="C16" s="140" t="s">
        <v>1201</v>
      </c>
      <c r="D16" s="141" t="s">
        <v>1202</v>
      </c>
      <c r="E16" s="138"/>
    </row>
    <row r="17" ht="18.0" customHeight="1">
      <c r="B17" s="135" t="s">
        <v>410</v>
      </c>
      <c r="C17" s="136" t="s">
        <v>1203</v>
      </c>
      <c r="D17" s="137" t="s">
        <v>1204</v>
      </c>
      <c r="E17" s="138"/>
    </row>
    <row r="18" ht="18.0" customHeight="1">
      <c r="B18" s="139" t="s">
        <v>410</v>
      </c>
      <c r="C18" s="140" t="s">
        <v>1205</v>
      </c>
      <c r="D18" s="141" t="s">
        <v>1206</v>
      </c>
      <c r="E18" s="138"/>
    </row>
    <row r="19" ht="18.0" customHeight="1">
      <c r="B19" s="135" t="s">
        <v>242</v>
      </c>
      <c r="C19" s="136" t="s">
        <v>1207</v>
      </c>
      <c r="D19" s="137" t="s">
        <v>1208</v>
      </c>
      <c r="E19" s="138"/>
    </row>
    <row r="20" ht="18.0" customHeight="1">
      <c r="B20" s="139" t="s">
        <v>439</v>
      </c>
      <c r="C20" s="140" t="s">
        <v>1199</v>
      </c>
      <c r="D20" s="141" t="s">
        <v>1209</v>
      </c>
      <c r="E20" s="138">
        <v>107862.86</v>
      </c>
    </row>
    <row r="21" ht="18.0" customHeight="1">
      <c r="B21" s="135" t="s">
        <v>1210</v>
      </c>
      <c r="C21" s="136" t="s">
        <v>1211</v>
      </c>
      <c r="D21" s="137" t="s">
        <v>1212</v>
      </c>
      <c r="E21" s="138">
        <v>218643.81</v>
      </c>
    </row>
    <row r="22" ht="18.0" customHeight="1">
      <c r="B22" s="139"/>
      <c r="C22" s="140" t="s">
        <v>1213</v>
      </c>
      <c r="D22" s="141" t="s">
        <v>1214</v>
      </c>
      <c r="E22" s="138">
        <v>182900.0</v>
      </c>
    </row>
    <row r="23" ht="21.75" customHeight="1">
      <c r="B23" s="142" t="s">
        <v>1215</v>
      </c>
      <c r="C23" s="143"/>
      <c r="D23" s="9"/>
      <c r="E23" s="144">
        <f>SUM(E11:E22)</f>
        <v>617269.53</v>
      </c>
    </row>
    <row r="24" ht="15.75" customHeight="1"/>
    <row r="25" ht="37.5" customHeight="1">
      <c r="B25" s="7" t="s">
        <v>1216</v>
      </c>
      <c r="C25" s="34"/>
      <c r="D25" s="34"/>
      <c r="E25" s="2"/>
    </row>
    <row r="26" ht="15.75" customHeight="1"/>
    <row r="27" ht="30.0" customHeight="1">
      <c r="B27" s="99" t="s">
        <v>1217</v>
      </c>
      <c r="C27" s="34"/>
      <c r="D27" s="34"/>
      <c r="E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B3:E3"/>
    <mergeCell ref="B23:D23"/>
    <mergeCell ref="B25:E25"/>
    <mergeCell ref="B27:E2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2026-04-18T16:29:28Z</dcterms:created>
  <dc:creator>openpyxl</dc:creator>
</cp:coreProperties>
</file>