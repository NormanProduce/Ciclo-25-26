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/>
  <xr:revisionPtr revIDLastSave="21" documentId="8_{AE2BE3C8-1DAA-47CF-ADDB-0FBC2DAFA8B1}" xr6:coauthVersionLast="47" xr6:coauthVersionMax="47" xr10:uidLastSave="{4856409E-7189-4FCA-9B3C-91E9E6D2A08F}"/>
  <bookViews>
    <workbookView xWindow="-120" yWindow="-120" windowWidth="29040" windowHeight="15720" xr2:uid="{00000000-000D-0000-FFFF-FFFF00000000}"/>
  </bookViews>
  <sheets>
    <sheet name="INGRESOS" sheetId="11" r:id="rId1"/>
    <sheet name="VENTA" sheetId="2" r:id="rId2"/>
    <sheet name="NATURASOL." sheetId="21" r:id="rId3"/>
  </sheets>
  <definedNames>
    <definedName name="_xlnm._FilterDatabase" localSheetId="1" hidden="1">VENTA!$A$2:$S$39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5" i="21" l="1"/>
  <c r="B87" i="21"/>
  <c r="H82" i="21"/>
  <c r="G82" i="21"/>
  <c r="F82" i="21"/>
  <c r="E82" i="21"/>
  <c r="Q19" i="2"/>
  <c r="H40" i="2"/>
  <c r="R39" i="2"/>
  <c r="Q32" i="2"/>
  <c r="Q3" i="2"/>
  <c r="B88" i="21" l="1"/>
  <c r="B89" i="21" s="1"/>
  <c r="R3" i="2"/>
  <c r="Q33" i="2"/>
  <c r="R32" i="2"/>
  <c r="Q31" i="2"/>
  <c r="Q17" i="2"/>
  <c r="R17" i="2"/>
  <c r="R5" i="2"/>
  <c r="Q36" i="2"/>
  <c r="O31" i="2"/>
  <c r="O29" i="2"/>
  <c r="Q35" i="2" l="1"/>
  <c r="R35" i="2" l="1"/>
  <c r="R36" i="2"/>
  <c r="R28" i="2"/>
  <c r="R29" i="2"/>
  <c r="R30" i="2"/>
  <c r="R31" i="2"/>
  <c r="R34" i="2"/>
  <c r="R25" i="2"/>
  <c r="R26" i="2"/>
  <c r="R27" i="2"/>
  <c r="R38" i="2"/>
  <c r="R8" i="2"/>
  <c r="R9" i="2"/>
  <c r="R10" i="2"/>
  <c r="R11" i="2"/>
  <c r="R12" i="2"/>
  <c r="R14" i="2"/>
  <c r="R18" i="2"/>
  <c r="R19" i="2"/>
  <c r="R20" i="2"/>
  <c r="R21" i="2"/>
  <c r="R22" i="2"/>
  <c r="R23" i="2"/>
  <c r="R4" i="2"/>
  <c r="R6" i="2"/>
  <c r="Q13" i="2"/>
  <c r="R7" i="2"/>
</calcChain>
</file>

<file path=xl/sharedStrings.xml><?xml version="1.0" encoding="utf-8"?>
<sst xmlns="http://schemas.openxmlformats.org/spreadsheetml/2006/main" count="882" uniqueCount="315">
  <si>
    <t>NATURASOL</t>
  </si>
  <si>
    <t>TOTALES</t>
  </si>
  <si>
    <t>CONTRO DE EMBARQUES PAPA 25-26</t>
  </si>
  <si>
    <t>REMISIÓN</t>
  </si>
  <si>
    <t>FECHA SALIDA</t>
  </si>
  <si>
    <t>NO. GUÍA</t>
  </si>
  <si>
    <t xml:space="preserve">BLOCK </t>
  </si>
  <si>
    <t>PESO NETO KGS</t>
  </si>
  <si>
    <t>ARPILLAS 1ERAS Y 2DAS</t>
  </si>
  <si>
    <t>ARPILLAS 3RAS, 4TAS</t>
  </si>
  <si>
    <t>ARPILLAS 4TAS</t>
  </si>
  <si>
    <t>ARPILLAS 5TAS</t>
  </si>
  <si>
    <t>CLIENTE</t>
  </si>
  <si>
    <t>TEL. CLIENTE</t>
  </si>
  <si>
    <t>DESTINO</t>
  </si>
  <si>
    <t>CHOFER</t>
  </si>
  <si>
    <t>TEL. CHOFER</t>
  </si>
  <si>
    <t>FECHA LLEGADA</t>
  </si>
  <si>
    <t>TOTAL</t>
  </si>
  <si>
    <t>PAGO</t>
  </si>
  <si>
    <t>DIF POR PAGAR</t>
  </si>
  <si>
    <t>1rea</t>
  </si>
  <si>
    <t>3ra</t>
  </si>
  <si>
    <t>PRECIO MERCADO</t>
  </si>
  <si>
    <t>000252</t>
  </si>
  <si>
    <t>PABLO SOSA</t>
  </si>
  <si>
    <t>IXMIQUILPAN, HIDALGO</t>
  </si>
  <si>
    <t>LUIS HERNANDEZ MARTINEZ</t>
  </si>
  <si>
    <t>ANTICIPO</t>
  </si>
  <si>
    <t>000254</t>
  </si>
  <si>
    <t>LEONARDO FCO VALLEJO GAYTAN</t>
  </si>
  <si>
    <t>ZAMORA, MICHOACÁN</t>
  </si>
  <si>
    <t>ANTONIO VALLADAES</t>
  </si>
  <si>
    <t>000256</t>
  </si>
  <si>
    <t>TOMAS MARIN RAMOS</t>
  </si>
  <si>
    <t>IZTAPALAPA, CDMX</t>
  </si>
  <si>
    <t>MISRAW GUTIÉRREZ MARQUEZ</t>
  </si>
  <si>
    <t>000258</t>
  </si>
  <si>
    <t>AGRONEGOCIOS SANTA TERESA</t>
  </si>
  <si>
    <t>SAN NICOLAS DE LAS GARZAS NL</t>
  </si>
  <si>
    <t>CARLOS VILLA LOBOS</t>
  </si>
  <si>
    <t>000261</t>
  </si>
  <si>
    <t>OSCAR VALLES</t>
  </si>
  <si>
    <t>MONTERREY, NL</t>
  </si>
  <si>
    <t>JOSE GPE REYES</t>
  </si>
  <si>
    <t>LIQUIDADO</t>
  </si>
  <si>
    <t>000263</t>
  </si>
  <si>
    <t>PAPAS SANTA FE (STA TERESA)</t>
  </si>
  <si>
    <t>CHIHUAHUA</t>
  </si>
  <si>
    <t>RAUL CHAVEZ PORTILLO</t>
  </si>
  <si>
    <t>000266</t>
  </si>
  <si>
    <t>PAPAS EL SOÑADOR</t>
  </si>
  <si>
    <t>DURANGO</t>
  </si>
  <si>
    <t>JESUS BELMANS</t>
  </si>
  <si>
    <t>000269</t>
  </si>
  <si>
    <t>JOSE LUIS RODRIGUEZ</t>
  </si>
  <si>
    <t>000271</t>
  </si>
  <si>
    <t>VICTOR GONZALEZ (STA TERESA)</t>
  </si>
  <si>
    <t>CDMX</t>
  </si>
  <si>
    <t>EDUARDO GALLARDO ROJAS</t>
  </si>
  <si>
    <t>000275</t>
  </si>
  <si>
    <t>ALAN SANCHEZ HERNANDEZ</t>
  </si>
  <si>
    <t>000276</t>
  </si>
  <si>
    <t>PAPAS ARROYO</t>
  </si>
  <si>
    <t>JAVIER IVAN RODRIGUEZ C,</t>
  </si>
  <si>
    <t>000279</t>
  </si>
  <si>
    <t>PARRAL, CHIHUAHUA</t>
  </si>
  <si>
    <t>ALEJANDRO CAMPOS AVILA</t>
  </si>
  <si>
    <t>000281</t>
  </si>
  <si>
    <t>DAVID ANAYA</t>
  </si>
  <si>
    <t>EVERARDO MARROQUIN</t>
  </si>
  <si>
    <t>000282</t>
  </si>
  <si>
    <t>GUADALAJARA</t>
  </si>
  <si>
    <t>JUAN CARLOS ARRECIA</t>
  </si>
  <si>
    <t>000284</t>
  </si>
  <si>
    <t>MARTIN RAMOS</t>
  </si>
  <si>
    <t>JOSE LUIS DE LA CRUZ</t>
  </si>
  <si>
    <t>000289</t>
  </si>
  <si>
    <t>LORENZO ZAVALA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</si>
  <si>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</si>
  <si>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</si>
  <si>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</si>
  <si>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</si>
  <si>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</si>
  <si>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</si>
  <si>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</si>
  <si>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</si>
  <si>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</si>
  <si>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</si>
  <si>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</si>
  <si>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</si>
  <si>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</si>
  <si>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</si>
  <si>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</si>
  <si>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000322</t>
  </si>
  <si>
    <t>ISMAEL RIVERA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</si>
  <si>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</si>
  <si>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</si>
  <si>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</si>
  <si>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</si>
  <si>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</si>
  <si>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</si>
  <si>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</si>
  <si>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</si>
  <si>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FERNANDO ZEPEDA</t>
  </si>
  <si>
    <t>SAN MIGUEL BALTERAS TOLUCA</t>
  </si>
  <si>
    <t>LUIS ANGEL ROJAS</t>
  </si>
  <si>
    <t>SAUL LEYVA SERRANO</t>
  </si>
  <si>
    <t>000341</t>
  </si>
  <si>
    <t>EDGAR GUTIERREZ</t>
  </si>
  <si>
    <t>PRELIQUIDACION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</si>
  <si>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</si>
  <si>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</si>
  <si>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</si>
  <si>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</si>
  <si>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</si>
  <si>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</si>
  <si>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</si>
  <si>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</si>
  <si>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</si>
  <si>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</si>
  <si>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</si>
  <si>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DIEGO ARROYO</t>
  </si>
  <si>
    <t>MARIO DOMINGUEZ</t>
  </si>
  <si>
    <t>000408</t>
  </si>
  <si>
    <t>RAUL SOSA</t>
  </si>
  <si>
    <t>PUEBLA</t>
  </si>
  <si>
    <t>ABELARDO MORA</t>
  </si>
  <si>
    <t>000451</t>
  </si>
  <si>
    <t>PAPAS EL GALLO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</si>
  <si>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</si>
  <si>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</si>
  <si>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</si>
  <si>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</si>
  <si>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</si>
  <si>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</si>
  <si>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</si>
  <si>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</si>
  <si>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ERICK GARCIA</t>
  </si>
  <si>
    <t>TON/HAS</t>
  </si>
  <si>
    <t>LIQUIDACION</t>
  </si>
  <si>
    <t xml:space="preserve">FECHA </t>
  </si>
  <si>
    <t xml:space="preserve">CANTIDAD </t>
  </si>
  <si>
    <t xml:space="preserve">CONCEPTO </t>
  </si>
  <si>
    <t>EMPRESA</t>
  </si>
  <si>
    <t>MÉTODO PAGO</t>
  </si>
  <si>
    <t>ESTADO</t>
  </si>
  <si>
    <t>FACTURA</t>
  </si>
  <si>
    <t>REMISION</t>
  </si>
  <si>
    <t>DEPOSITO EN EFECTIVO</t>
  </si>
  <si>
    <t>NORMAN PRODUCE</t>
  </si>
  <si>
    <t>EFECTIVO</t>
  </si>
  <si>
    <t>N/A</t>
  </si>
  <si>
    <t>OLCAN GRAIN</t>
  </si>
  <si>
    <t>OLCAN GROWERS</t>
  </si>
  <si>
    <t>EFECTIVO CAMPO</t>
  </si>
  <si>
    <t>TRANSFERENCIA</t>
  </si>
  <si>
    <t>PRODUCTORA CAAR</t>
  </si>
  <si>
    <t>DESCONOCIDO</t>
  </si>
  <si>
    <t>000000112</t>
  </si>
  <si>
    <t>254</t>
  </si>
  <si>
    <t>PAGO REM 289</t>
  </si>
  <si>
    <t>LA PURA PAPA</t>
  </si>
  <si>
    <t>FACTURADO</t>
  </si>
  <si>
    <t>ABONO REM276</t>
  </si>
  <si>
    <t>LIQ REM 276</t>
  </si>
  <si>
    <t>000001671</t>
  </si>
  <si>
    <t>PAGO REM 261</t>
  </si>
  <si>
    <t>CARGO A CTA</t>
  </si>
  <si>
    <t>GANMI HORTICOLA</t>
  </si>
  <si>
    <t>JOSE LUIS ESQUIVEL</t>
  </si>
  <si>
    <t>408</t>
  </si>
  <si>
    <t>323</t>
  </si>
  <si>
    <t>ABONO ANTONIO ARROYO</t>
  </si>
  <si>
    <t>ANTONIO ARROYO</t>
  </si>
  <si>
    <t>404</t>
  </si>
  <si>
    <t>PAGO REM 293Y195</t>
  </si>
  <si>
    <t>293 Y 195</t>
  </si>
  <si>
    <t>ANTICIPO RAUL</t>
  </si>
  <si>
    <t>ANTICIPO ERIK</t>
  </si>
  <si>
    <t>291</t>
  </si>
  <si>
    <t>FRANCISCO HARO</t>
  </si>
  <si>
    <t>266</t>
  </si>
  <si>
    <t>341</t>
  </si>
  <si>
    <t>ANTICIPO 266</t>
  </si>
  <si>
    <t>ABONO MARTIN RAMOA</t>
  </si>
  <si>
    <t>MARTIN RAMOA</t>
  </si>
  <si>
    <t>284</t>
  </si>
  <si>
    <t>406</t>
  </si>
  <si>
    <t>LIQ REM471</t>
  </si>
  <si>
    <t>451</t>
  </si>
  <si>
    <t>SAN JOSE</t>
  </si>
  <si>
    <t>256</t>
  </si>
  <si>
    <t>406 y 326</t>
  </si>
  <si>
    <t>IMPORTE</t>
  </si>
  <si>
    <t>NORMAN</t>
  </si>
  <si>
    <t>INGRESOS RECURSO PAPA  FRESCO CICLO 25-26</t>
  </si>
  <si>
    <t>INGRESOS RECURSO PAPA  NATURASOL CICLO 25-26</t>
  </si>
  <si>
    <t>407</t>
  </si>
  <si>
    <t>370</t>
  </si>
  <si>
    <t>405</t>
  </si>
  <si>
    <t>000385</t>
  </si>
  <si>
    <t>RAUL MANCILLAS</t>
  </si>
  <si>
    <t>258</t>
  </si>
  <si>
    <t>PAPA INDUSTRIA</t>
  </si>
  <si>
    <t>por facturar</t>
  </si>
  <si>
    <t>NATURASOL 2026</t>
  </si>
  <si>
    <t>LIQUIDACIÓN</t>
  </si>
  <si>
    <t>PRODUCTOR: NORMAN</t>
  </si>
  <si>
    <t>FECHA: 20-abr-26</t>
  </si>
  <si>
    <t>BODEGA</t>
  </si>
  <si>
    <t>ARPS</t>
  </si>
  <si>
    <t>PENALIZAC</t>
  </si>
  <si>
    <t>KG A PAGAR</t>
  </si>
  <si>
    <t>02-mar-26</t>
  </si>
  <si>
    <t>NOR 1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</si>
  <si>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</si>
  <si>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</si>
  <si>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</si>
  <si>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</si>
  <si>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</si>
  <si>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</si>
  <si>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</si>
  <si>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</si>
  <si>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</si>
  <si>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</si>
  <si>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</si>
  <si>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</si>
  <si>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</si>
  <si>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</si>
  <si>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</si>
  <si>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</si>
  <si>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</si>
  <si>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</si>
  <si>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</si>
  <si>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</si>
  <si>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</si>
  <si>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</si>
  <si>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</si>
  <si>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</si>
  <si>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</si>
  <si>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</si>
  <si>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</si>
  <si>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</si>
  <si>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</si>
  <si>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</si>
  <si>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</si>
  <si>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</si>
  <si>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</si>
  <si>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</si>
  <si>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</si>
  <si>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</si>
  <si>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</si>
  <si>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</si>
  <si>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</si>
  <si>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</si>
  <si>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</si>
  <si>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</si>
  <si>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</si>
  <si>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</si>
  <si>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</si>
  <si>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</si>
  <si>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</si>
  <si>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</si>
  <si>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</si>
  <si>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</si>
  <si>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</si>
  <si>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</si>
  <si>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</si>
  <si>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</si>
  <si>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</si>
  <si>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</si>
  <si>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</si>
  <si>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</si>
  <si>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</si>
  <si>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</si>
  <si>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</si>
  <si>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</si>
  <si>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</si>
  <si>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</si>
  <si>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</si>
  <si>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</si>
  <si>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</si>
  <si>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</si>
  <si>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</si>
  <si>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</si>
  <si>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</si>
  <si>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</si>
  <si>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</si>
  <si>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</si>
  <si>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</si>
  <si>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</si>
  <si>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</si>
  <si>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</si>
  <si>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</si>
  <si>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</si>
  <si>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</si>
  <si>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</si>
  <si>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</si>
  <si>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</si>
  <si>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</si>
  <si>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</si>
  <si>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</si>
  <si>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</si>
  <si>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</si>
  <si>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</si>
  <si>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</si>
  <si>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</si>
  <si>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KILOS</t>
  </si>
  <si>
    <t>P.U.</t>
  </si>
  <si>
    <t>MENOS COMISIÓN (10%)</t>
  </si>
  <si>
    <t>PENDIENTE DE PAGO</t>
  </si>
  <si>
    <t>REM PEF</t>
  </si>
  <si>
    <t>KG EMB</t>
  </si>
  <si>
    <t>FECHA LIQUIDACION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</si>
</sst>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_-&quot;$&quot;* #,##0.00_-;_-&quot;$&quot;* \-#,##0.00_-;_-&quot;$&quot;* &quot;-&quot;??_-;_-@"/>
    <numFmt numFmtId="165" formatCode="dd&quot;/&quot;mm&quot;/&quot;yyyy"/>
    <numFmt numFmtId="166" formatCode="d/m/yyyy"/>
  </numFmts>
  <fonts count="24" x14ac:knownFonts="1">
    <font>
      <sz val="10"/>
      <color rgb="FF000000"/>
      <name val="Arial"/>
      <scheme val="minor"/>
    </font>
    <font>
      <b/>
      <sz val="10"/>
      <color rgb="FFFFFFFF"/>
      <name val="Arial"/>
      <family val="2"/>
      <scheme val="minor"/>
    </font>
    <font>
      <sz val="10"/>
      <color theme="1"/>
      <name val="Arial"/>
      <family val="2"/>
      <scheme val="minor"/>
    </font>
    <font>
      <b/>
      <sz val="27"/>
      <color rgb="FFFFFFFF"/>
      <name val="Arial"/>
      <family val="2"/>
      <scheme val="minor"/>
    </font>
    <font>
      <b/>
      <sz val="9"/>
      <color rgb="FFFFFFFF"/>
      <name val="Arial"/>
      <family val="2"/>
      <scheme val="minor"/>
    </font>
    <font>
      <b/>
      <sz val="8"/>
      <color rgb="FFFFFFFF"/>
      <name val="Arial"/>
      <family val="2"/>
      <scheme val="minor"/>
    </font>
    <font>
      <sz val="9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sz val="9"/>
      <color theme="1"/>
      <name val="Calibri"/>
      <family val="2"/>
    </font>
    <font>
      <u/>
      <sz val="9"/>
      <color theme="1"/>
      <name val="Calibri"/>
      <family val="2"/>
    </font>
    <font>
      <b/>
      <sz val="24"/>
      <color rgb="FFFFFFFF"/>
      <name val="Arial"/>
      <family val="2"/>
      <scheme val="minor"/>
    </font>
    <font>
      <sz val="24"/>
      <color rgb="FF000000"/>
      <name val="Arial"/>
      <family val="2"/>
      <scheme val="minor"/>
    </font>
    <font>
      <sz val="8"/>
      <name val="Arial"/>
      <family val="2"/>
      <scheme val="minor"/>
    </font>
    <font>
      <sz val="9"/>
      <name val="Arial"/>
      <family val="2"/>
      <scheme val="minor"/>
    </font>
    <font>
      <sz val="9"/>
      <color theme="1"/>
      <name val="Calibri"/>
      <family val="2"/>
    </font>
    <font>
      <b/>
      <sz val="9"/>
      <color rgb="FFFF0000"/>
      <name val="Arial"/>
      <family val="2"/>
      <scheme val="minor"/>
    </font>
    <font>
      <sz val="9"/>
      <color theme="1"/>
      <name val="Calibri"/>
      <family val="2"/>
    </font>
    <font>
      <b/>
      <sz val="14"/>
      <name val="Calibri"/>
    </font>
    <font>
      <b/>
      <sz val="12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color rgb="FFFF000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rgb="FF990000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2">
    <xf numFmtId="0" fontId="0" fillId="0" borderId="0"/>
    <xf numFmtId="44" fontId="8" fillId="0" borderId="0" applyFont="0" applyFill="0" applyBorder="0" applyAlignment="0" applyProtection="0"/>
  </cellStyleXfs>
  <cellXfs count="84">
    <xf numFmtId="0" fontId="0" fillId="0" borderId="0" xfId="0"/>
    <xf numFmtId="164" fontId="2" fillId="0" borderId="0" xfId="0" applyNumberFormat="1" applyFont="1"/>
    <xf numFmtId="0" fontId="2" fillId="0" borderId="0" xfId="0" applyFont="1"/>
    <xf numFmtId="0" fontId="6" fillId="0" borderId="0" xfId="0" applyFont="1"/>
    <xf numFmtId="4" fontId="7" fillId="0" borderId="0" xfId="0" applyNumberFormat="1" applyFont="1"/>
    <xf numFmtId="4" fontId="2" fillId="0" borderId="0" xfId="0" applyNumberFormat="1" applyFont="1" applyAlignment="1">
      <alignment horizontal="center"/>
    </xf>
    <xf numFmtId="3" fontId="2" fillId="0" borderId="0" xfId="0" applyNumberFormat="1" applyFont="1"/>
    <xf numFmtId="44" fontId="0" fillId="0" borderId="0" xfId="0" applyNumberFormat="1"/>
    <xf numFmtId="0" fontId="6" fillId="0" borderId="0" xfId="0" applyFont="1" applyAlignment="1">
      <alignment horizontal="center"/>
    </xf>
    <xf numFmtId="4" fontId="7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44" fontId="0" fillId="0" borderId="0" xfId="1" applyFont="1"/>
    <xf numFmtId="49" fontId="6" fillId="0" borderId="0" xfId="0" quotePrefix="1" applyNumberFormat="1" applyFont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44" fontId="3" fillId="2" borderId="0" xfId="1" applyFont="1" applyFill="1" applyAlignment="1">
      <alignment horizontal="left"/>
    </xf>
    <xf numFmtId="44" fontId="4" fillId="0" borderId="0" xfId="1" applyFont="1" applyAlignment="1">
      <alignment horizontal="center" vertical="center"/>
    </xf>
    <xf numFmtId="14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44" fontId="6" fillId="0" borderId="0" xfId="1" applyFont="1" applyFill="1" applyAlignment="1">
      <alignment horizontal="center"/>
    </xf>
    <xf numFmtId="166" fontId="10" fillId="6" borderId="1" xfId="0" applyNumberFormat="1" applyFont="1" applyFill="1" applyBorder="1" applyAlignment="1">
      <alignment horizontal="center"/>
    </xf>
    <xf numFmtId="164" fontId="10" fillId="6" borderId="1" xfId="0" applyNumberFormat="1" applyFont="1" applyFill="1" applyBorder="1" applyAlignment="1">
      <alignment horizontal="center"/>
    </xf>
    <xf numFmtId="49" fontId="10" fillId="6" borderId="1" xfId="0" applyNumberFormat="1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/>
    </xf>
    <xf numFmtId="166" fontId="10" fillId="6" borderId="2" xfId="0" applyNumberFormat="1" applyFont="1" applyFill="1" applyBorder="1" applyAlignment="1">
      <alignment horizontal="center"/>
    </xf>
    <xf numFmtId="49" fontId="10" fillId="6" borderId="3" xfId="0" applyNumberFormat="1" applyFont="1" applyFill="1" applyBorder="1" applyAlignment="1">
      <alignment horizontal="center"/>
    </xf>
    <xf numFmtId="4" fontId="0" fillId="0" borderId="0" xfId="0" applyNumberFormat="1"/>
    <xf numFmtId="0" fontId="6" fillId="7" borderId="0" xfId="0" applyFont="1" applyFill="1"/>
    <xf numFmtId="0" fontId="0" fillId="7" borderId="0" xfId="0" applyFill="1"/>
    <xf numFmtId="166" fontId="10" fillId="0" borderId="1" xfId="0" applyNumberFormat="1" applyFont="1" applyBorder="1" applyAlignment="1">
      <alignment horizontal="center"/>
    </xf>
    <xf numFmtId="164" fontId="10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49" fontId="10" fillId="0" borderId="1" xfId="0" quotePrefix="1" applyNumberFormat="1" applyFont="1" applyBorder="1" applyAlignment="1">
      <alignment horizontal="center"/>
    </xf>
    <xf numFmtId="49" fontId="11" fillId="0" borderId="1" xfId="0" applyNumberFormat="1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166" fontId="10" fillId="0" borderId="2" xfId="0" applyNumberFormat="1" applyFont="1" applyBorder="1" applyAlignment="1">
      <alignment horizontal="center"/>
    </xf>
    <xf numFmtId="49" fontId="10" fillId="0" borderId="3" xfId="0" applyNumberFormat="1" applyFont="1" applyBorder="1" applyAlignment="1">
      <alignment horizontal="center"/>
    </xf>
    <xf numFmtId="166" fontId="16" fillId="0" borderId="2" xfId="0" applyNumberFormat="1" applyFont="1" applyBorder="1" applyAlignment="1">
      <alignment horizontal="center"/>
    </xf>
    <xf numFmtId="164" fontId="16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49" fontId="16" fillId="0" borderId="3" xfId="0" applyNumberFormat="1" applyFont="1" applyBorder="1" applyAlignment="1">
      <alignment horizontal="center"/>
    </xf>
    <xf numFmtId="165" fontId="1" fillId="8" borderId="6" xfId="0" applyNumberFormat="1" applyFont="1" applyFill="1" applyBorder="1" applyAlignment="1">
      <alignment horizontal="center"/>
    </xf>
    <xf numFmtId="164" fontId="1" fillId="8" borderId="7" xfId="0" applyNumberFormat="1" applyFont="1" applyFill="1" applyBorder="1" applyAlignment="1">
      <alignment horizontal="center"/>
    </xf>
    <xf numFmtId="0" fontId="1" fillId="8" borderId="7" xfId="0" applyFont="1" applyFill="1" applyBorder="1" applyAlignment="1">
      <alignment horizontal="center"/>
    </xf>
    <xf numFmtId="49" fontId="1" fillId="8" borderId="7" xfId="0" applyNumberFormat="1" applyFont="1" applyFill="1" applyBorder="1" applyAlignment="1">
      <alignment horizontal="center"/>
    </xf>
    <xf numFmtId="0" fontId="1" fillId="8" borderId="8" xfId="0" applyFont="1" applyFill="1" applyBorder="1" applyAlignment="1">
      <alignment horizontal="center"/>
    </xf>
    <xf numFmtId="49" fontId="10" fillId="0" borderId="5" xfId="0" quotePrefix="1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164" fontId="6" fillId="3" borderId="0" xfId="0" applyNumberFormat="1" applyFont="1" applyFill="1" applyAlignment="1">
      <alignment horizontal="center"/>
    </xf>
    <xf numFmtId="14" fontId="15" fillId="3" borderId="0" xfId="0" applyNumberFormat="1" applyFont="1" applyFill="1" applyAlignment="1">
      <alignment horizontal="center"/>
    </xf>
    <xf numFmtId="164" fontId="17" fillId="3" borderId="0" xfId="0" applyNumberFormat="1" applyFont="1" applyFill="1" applyAlignment="1">
      <alignment horizontal="center"/>
    </xf>
    <xf numFmtId="164" fontId="15" fillId="3" borderId="0" xfId="0" applyNumberFormat="1" applyFont="1" applyFill="1" applyAlignment="1">
      <alignment horizontal="center"/>
    </xf>
    <xf numFmtId="166" fontId="18" fillId="0" borderId="4" xfId="0" applyNumberFormat="1" applyFont="1" applyBorder="1" applyAlignment="1">
      <alignment horizontal="center"/>
    </xf>
    <xf numFmtId="49" fontId="11" fillId="0" borderId="3" xfId="0" applyNumberFormat="1" applyFont="1" applyBorder="1" applyAlignment="1">
      <alignment horizontal="center"/>
    </xf>
    <xf numFmtId="0" fontId="0" fillId="0" borderId="1" xfId="0" applyBorder="1"/>
    <xf numFmtId="49" fontId="10" fillId="0" borderId="0" xfId="0" applyNumberFormat="1" applyFont="1" applyAlignment="1">
      <alignment horizontal="center"/>
    </xf>
    <xf numFmtId="49" fontId="10" fillId="0" borderId="3" xfId="0" quotePrefix="1" applyNumberFormat="1" applyFont="1" applyBorder="1" applyAlignment="1">
      <alignment horizontal="center"/>
    </xf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9" borderId="0" xfId="0" applyFont="1" applyFill="1" applyAlignment="1">
      <alignment horizontal="center" vertical="center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21" fillId="10" borderId="0" xfId="0" applyFont="1" applyFill="1"/>
    <xf numFmtId="4" fontId="21" fillId="10" borderId="0" xfId="0" applyNumberFormat="1" applyFont="1" applyFill="1"/>
    <xf numFmtId="4" fontId="23" fillId="0" borderId="0" xfId="0" applyNumberFormat="1" applyFont="1"/>
    <xf numFmtId="0" fontId="12" fillId="4" borderId="1" xfId="0" applyFont="1" applyFill="1" applyBorder="1" applyAlignment="1">
      <alignment horizontal="center"/>
    </xf>
    <xf numFmtId="0" fontId="13" fillId="5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</cellXfs>
  <cellStyles count="2">
    <cellStyle name="Moneda" xfId="1" builtinId="4"/>
    <cellStyle name="Normal" xfId="0" builtinId="0"/>
  </cellStyles>
  <dxfs count="73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numFmt numFmtId="34" formatCode="_-&quot;$&quot;* #,##0.00_-;\-&quot;$&quot;* #,##0.00_-;_-&quot;$&quot;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numFmt numFmtId="34" formatCode="_-&quot;$&quot;* #,##0.00_-;\-&quot;$&quot;* #,##0.00_-;_-&quot;$&quot;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numFmt numFmtId="164" formatCode="_-&quot;$&quot;* #,##0.00_-;_-&quot;$&quot;* \-#,##0.00_-;_-&quot;$&quot;* &quot;-&quot;??_-;_-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numFmt numFmtId="34" formatCode="_-&quot;$&quot;* #,##0.00_-;\-&quot;$&quot;* #,##0.00_-;_-&quot;$&quot;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numFmt numFmtId="164" formatCode="_-&quot;$&quot;* #,##0.00_-;_-&quot;$&quot;* \-#,##0.00_-;_-&quot;$&quot;* &quot;-&quot;??_-;_-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numFmt numFmtId="34" formatCode="_-&quot;$&quot;* #,##0.00_-;\-&quot;$&quot;* #,##0.00_-;_-&quot;$&quot;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numFmt numFmtId="164" formatCode="_-&quot;$&quot;* #,##0.00_-;_-&quot;$&quot;* \-#,##0.00_-;_-&quot;$&quot;* &quot;-&quot;??_-;_-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thin">
          <color rgb="FF00000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4" formatCode="_-&quot;$&quot;* #,##0.00_-;\-&quot;$&quot;* #,##0.00_-;_-&quot;$&quot;* &quot;-&quot;??_-;_-@_-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numFmt numFmtId="164" formatCode="_-&quot;$&quot;* #,##0.00_-;_-&quot;$&quot;* \-#,##0.00_-;_-&quot;$&quot;* &quot;-&quot;??_-;_-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numFmt numFmtId="166" formatCode="d/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font>
        <strike val="0"/>
        <outline val="0"/>
        <shadow val="0"/>
        <vertAlign val="baseline"/>
        <sz val="12"/>
        <color theme="1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8654A57-A240-4BA6-9471-3844DFD45BCD}" name="Tabla5" displayName="Tabla5" ref="B4:J62" totalsRowShown="0" headerRowDxfId="72" dataDxfId="70" totalsRowDxfId="68" headerRowBorderDxfId="71" tableBorderDxfId="69" totalsRowBorderDxfId="67">
  <autoFilter ref="B4:J62" xr:uid="{E8654A57-A240-4BA6-9471-3844DFD45BCD}"/>
  <sortState xmlns:xlrd2="http://schemas.microsoft.com/office/spreadsheetml/2017/richdata2" ref="B5:J61">
    <sortCondition ref="E4:E61"/>
  </sortState>
  <tableColumns count="9">
    <tableColumn id="1" xr3:uid="{5D31500E-AD83-4B8F-9402-7C186E120377}" name="FECHA " dataDxfId="66" totalsRowDxfId="65"/>
    <tableColumn id="2" xr3:uid="{D341D909-B14E-4144-974E-0D66B9088B09}" name="CANTIDAD " dataDxfId="64" totalsRowDxfId="63"/>
    <tableColumn id="3" xr3:uid="{40BE03DB-E329-4A87-849F-04D43884828E}" name="CONCEPTO " dataDxfId="62" totalsRowDxfId="61"/>
    <tableColumn id="4" xr3:uid="{AAD8D299-346F-485D-B9BD-7F2C1EB4A54D}" name="EMPRESA" dataDxfId="60" totalsRowDxfId="59"/>
    <tableColumn id="5" xr3:uid="{691E07A5-F107-4840-8EFA-54AD6D00B055}" name="MÉTODO PAGO" dataDxfId="58" totalsRowDxfId="57"/>
    <tableColumn id="6" xr3:uid="{DCEEDFF8-833E-4349-BED0-3B45E57175CB}" name="CLIENTE" dataDxfId="56" totalsRowDxfId="55"/>
    <tableColumn id="7" xr3:uid="{ED429E8D-9880-4D26-8A30-6D4D190E2619}" name="ESTADO" dataDxfId="54" totalsRowDxfId="53"/>
    <tableColumn id="8" xr3:uid="{2C8985E1-1E82-4D1A-89E5-F52A2968BB8A}" name="FACTURA" dataDxfId="52" totalsRowDxfId="51"/>
    <tableColumn id="9" xr3:uid="{161FD950-132C-4592-97F8-B093C9605E4D}" name="REMISION" dataDxfId="50" totalsRowDxfId="49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222F04-9898-459C-BD86-A5B29D3C10AB}" name="Tabla1" displayName="Tabla1" ref="A2:W39" totalsRowShown="0" headerRowDxfId="48" dataDxfId="47" tableBorderDxfId="46">
  <autoFilter ref="A2:W39" xr:uid="{A7222F04-9898-459C-BD86-A5B29D3C10A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</autoFilter>
  <tableColumns count="23">
    <tableColumn id="1" xr3:uid="{00914CCF-F0FD-4728-9B59-49C456DAA6B7}" name="REMISIÓN" dataDxfId="45" totalsRowDxfId="44"/>
    <tableColumn id="2" xr3:uid="{A56C31F9-A6D3-47B4-AF2E-6230D2FF6ABD}" name="FECHA SALIDA" dataDxfId="43" totalsRowDxfId="42"/>
    <tableColumn id="3" xr3:uid="{C3CD51A7-8631-4CF2-88B7-585D70E453C9}" name="NO. GUÍA" dataDxfId="41" totalsRowDxfId="40"/>
    <tableColumn id="21" xr3:uid="{0356AF37-F444-496E-93C1-A98E7C1E8DAE}" name="BLOCK " dataDxfId="39" totalsRowDxfId="38"/>
    <tableColumn id="4" xr3:uid="{14126011-C790-426E-A091-2E8F245D85F4}" name="PESO NETO KGS" dataDxfId="37" totalsRowDxfId="36"/>
    <tableColumn id="5" xr3:uid="{A606BD52-E1A4-4F4D-AEC0-B6E74C8ECD39}" name="ARPILLAS 1ERAS Y 2DAS" dataDxfId="35" totalsRowDxfId="34"/>
    <tableColumn id="6" xr3:uid="{39D5CE1C-6B98-496B-9984-BD6BB668CD94}" name="ARPILLAS 3RAS, 4TAS" dataDxfId="33" totalsRowDxfId="32"/>
    <tableColumn id="7" xr3:uid="{222A63EB-0D55-4CE8-89D9-765FDF15AD06}" name="ARPILLAS 4TAS" dataDxfId="31" totalsRowDxfId="30"/>
    <tableColumn id="8" xr3:uid="{F030FFFF-B88B-4AE7-A12A-FB8FF208CB22}" name="ARPILLAS 5TAS" dataDxfId="29" totalsRowDxfId="28"/>
    <tableColumn id="9" xr3:uid="{D916DAAA-4954-43BE-A418-E9FC9B9AD84D}" name="CLIENTE" dataDxfId="27" totalsRowDxfId="26"/>
    <tableColumn id="10" xr3:uid="{A9D63A2D-D6D9-4878-8677-FC978BB2CEB5}" name="TEL. CLIENTE" dataDxfId="25" totalsRowDxfId="24"/>
    <tableColumn id="11" xr3:uid="{4C721DAB-2C01-4AE2-ACD6-37A1F16A1A6F}" name="DESTINO" dataDxfId="23" totalsRowDxfId="22"/>
    <tableColumn id="12" xr3:uid="{AF26F915-8FB7-49F7-B1AE-6AB515214002}" name="CHOFER" dataDxfId="21" totalsRowDxfId="20"/>
    <tableColumn id="13" xr3:uid="{EA08DC67-E2EF-4D20-9BCD-27A65A5E6F85}" name="TEL. CHOFER" dataDxfId="19" totalsRowDxfId="18"/>
    <tableColumn id="14" xr3:uid="{0FC03D91-3938-446D-A1A6-09FF95E5FA95}" name="FECHA LLEGADA" dataDxfId="17" totalsRowDxfId="16"/>
    <tableColumn id="15" xr3:uid="{E0326A15-0B29-43C6-841D-93B0175008D9}" name="TOTAL" dataDxfId="15" totalsRowDxfId="14"/>
    <tableColumn id="16" xr3:uid="{5C090CE1-C417-429B-AEF7-ED70239D7234}" name="PAGO" dataDxfId="13" totalsRowDxfId="12"/>
    <tableColumn id="17" xr3:uid="{4ECB4469-17F2-47B6-BD38-AEE9F349ADC1}" name="DIF POR PAGAR" dataDxfId="11" totalsRowDxfId="10">
      <calculatedColumnFormula>+Tabla1[[#This Row],[TOTAL]]-Tabla1[[#This Row],[PAGO]]</calculatedColumnFormula>
    </tableColumn>
    <tableColumn id="18" xr3:uid="{DDC5939D-FA82-4035-A5BE-D220845AE865}" name="ESTADO" dataDxfId="9" totalsRowDxfId="8"/>
    <tableColumn id="26" xr3:uid="{1CF71354-3359-44EF-A14B-B96B1ABE4106}" name="FECHA LIQUIDACION" dataDxfId="7" totalsRowDxfId="6"/>
    <tableColumn id="24" xr3:uid="{16D83A76-70E4-407B-9967-65EA6AF3858C}" name="1rea" dataDxfId="5" totalsRowDxfId="4" dataCellStyle="Moneda"/>
    <tableColumn id="25" xr3:uid="{71EB9EE9-3365-470A-9A0C-EA6D8DFF37DE}" name="3ra" dataDxfId="3" totalsRowDxfId="2" dataCellStyle="Moneda"/>
    <tableColumn id="19" xr3:uid="{DCCAF45C-DDC8-4F85-9428-DBAF09467EAA}" name="PRECIO MERCADO" dataDxfId="1" totalsRowDxfId="0" dataCellStyle="Moneda"/>
  </tableColumns>
  <tableStyleInfo name="TableStyleMedium3" showFirstColumn="0" showLastColumn="0" showRowStripes="0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EA73-232F-4EBB-B946-6487C3EF40D4}">
  <dimension ref="B2:J69"/>
  <sheetViews>
    <sheetView showGridLines="0" tabSelected="1" topLeftCell="A48" workbookViewId="0">
      <selection activeCell="E69" sqref="E69"/>
    </sheetView>
  </sheetViews>
  <sheetFormatPr baseColWidth="10" defaultColWidth="9.140625" defaultRowHeight="12.75" x14ac:dyDescent="0.2"/>
  <cols>
    <col min="2" max="2" width="18.5703125" bestFit="1" customWidth="1"/>
    <col min="3" max="3" width="16.85546875" bestFit="1" customWidth="1"/>
    <col min="4" max="4" width="20.5703125" bestFit="1" customWidth="1"/>
    <col min="5" max="5" width="16.85546875" bestFit="1" customWidth="1"/>
    <col min="6" max="6" width="19.5703125" bestFit="1" customWidth="1"/>
    <col min="7" max="7" width="15.42578125" bestFit="1" customWidth="1"/>
    <col min="8" max="8" width="13.140625" bestFit="1" customWidth="1"/>
    <col min="9" max="9" width="18.5703125" bestFit="1" customWidth="1"/>
    <col min="10" max="10" width="14.7109375" bestFit="1" customWidth="1"/>
  </cols>
  <sheetData>
    <row r="2" spans="2:10" x14ac:dyDescent="0.2">
      <c r="B2" s="81" t="s">
        <v>196</v>
      </c>
      <c r="C2" s="82"/>
      <c r="D2" s="82"/>
      <c r="E2" s="82"/>
      <c r="F2" s="82"/>
      <c r="G2" s="82"/>
      <c r="H2" s="82"/>
      <c r="I2" s="82"/>
      <c r="J2" s="82"/>
    </row>
    <row r="3" spans="2:10" x14ac:dyDescent="0.2">
      <c r="B3" s="82"/>
      <c r="C3" s="82"/>
      <c r="D3" s="82"/>
      <c r="E3" s="82"/>
      <c r="F3" s="82"/>
      <c r="G3" s="82"/>
      <c r="H3" s="82"/>
      <c r="I3" s="82"/>
      <c r="J3" s="82"/>
    </row>
    <row r="4" spans="2:10" x14ac:dyDescent="0.2">
      <c r="B4" s="13" t="s">
        <v>141</v>
      </c>
      <c r="C4" s="14" t="s">
        <v>142</v>
      </c>
      <c r="D4" s="15" t="s">
        <v>143</v>
      </c>
      <c r="E4" s="15" t="s">
        <v>144</v>
      </c>
      <c r="F4" s="15" t="s">
        <v>145</v>
      </c>
      <c r="G4" s="15" t="s">
        <v>12</v>
      </c>
      <c r="H4" s="15" t="s">
        <v>146</v>
      </c>
      <c r="I4" s="16" t="s">
        <v>147</v>
      </c>
      <c r="J4" s="15" t="s">
        <v>148</v>
      </c>
    </row>
    <row r="5" spans="2:10" x14ac:dyDescent="0.2">
      <c r="B5" s="40">
        <v>46090</v>
      </c>
      <c r="C5" s="41">
        <v>200000</v>
      </c>
      <c r="D5" s="42" t="s">
        <v>155</v>
      </c>
      <c r="E5" s="42" t="s">
        <v>151</v>
      </c>
      <c r="F5" s="42" t="s">
        <v>151</v>
      </c>
      <c r="G5" s="43" t="s">
        <v>69</v>
      </c>
      <c r="H5" s="42" t="s">
        <v>28</v>
      </c>
      <c r="I5" s="44" t="s">
        <v>152</v>
      </c>
      <c r="J5" s="46" t="s">
        <v>68</v>
      </c>
    </row>
    <row r="6" spans="2:10" x14ac:dyDescent="0.2">
      <c r="B6" s="40">
        <v>46106</v>
      </c>
      <c r="C6" s="41">
        <v>100000</v>
      </c>
      <c r="D6" s="47" t="s">
        <v>168</v>
      </c>
      <c r="E6" s="42" t="s">
        <v>169</v>
      </c>
      <c r="F6" s="42" t="s">
        <v>156</v>
      </c>
      <c r="G6" s="47" t="s">
        <v>170</v>
      </c>
      <c r="H6" s="42" t="s">
        <v>28</v>
      </c>
      <c r="I6" s="44" t="s">
        <v>152</v>
      </c>
      <c r="J6" s="47" t="s">
        <v>199</v>
      </c>
    </row>
    <row r="7" spans="2:10" x14ac:dyDescent="0.2">
      <c r="B7" s="40">
        <v>46106</v>
      </c>
      <c r="C7" s="41">
        <v>100000</v>
      </c>
      <c r="D7" s="47" t="s">
        <v>168</v>
      </c>
      <c r="E7" s="42" t="s">
        <v>169</v>
      </c>
      <c r="F7" s="42" t="s">
        <v>156</v>
      </c>
      <c r="G7" s="47" t="s">
        <v>170</v>
      </c>
      <c r="H7" s="42" t="s">
        <v>28</v>
      </c>
      <c r="I7" s="44" t="s">
        <v>152</v>
      </c>
      <c r="J7" s="47" t="s">
        <v>199</v>
      </c>
    </row>
    <row r="8" spans="2:10" x14ac:dyDescent="0.2">
      <c r="B8" s="40">
        <v>46106</v>
      </c>
      <c r="C8" s="41">
        <v>100000</v>
      </c>
      <c r="D8" s="47" t="s">
        <v>168</v>
      </c>
      <c r="E8" s="42" t="s">
        <v>169</v>
      </c>
      <c r="F8" s="42" t="s">
        <v>156</v>
      </c>
      <c r="G8" s="47" t="s">
        <v>170</v>
      </c>
      <c r="H8" s="42" t="s">
        <v>28</v>
      </c>
      <c r="I8" s="44" t="s">
        <v>152</v>
      </c>
      <c r="J8" s="47" t="s">
        <v>199</v>
      </c>
    </row>
    <row r="9" spans="2:10" x14ac:dyDescent="0.2">
      <c r="B9" s="40">
        <v>46106</v>
      </c>
      <c r="C9" s="41">
        <v>70000</v>
      </c>
      <c r="D9" s="47" t="s">
        <v>168</v>
      </c>
      <c r="E9" s="42" t="s">
        <v>169</v>
      </c>
      <c r="F9" s="42" t="s">
        <v>156</v>
      </c>
      <c r="G9" s="47" t="s">
        <v>170</v>
      </c>
      <c r="H9" s="42" t="s">
        <v>28</v>
      </c>
      <c r="I9" s="44" t="s">
        <v>152</v>
      </c>
      <c r="J9" s="47" t="s">
        <v>199</v>
      </c>
    </row>
    <row r="10" spans="2:10" x14ac:dyDescent="0.2">
      <c r="B10" s="40">
        <v>46086</v>
      </c>
      <c r="C10" s="41">
        <v>50000</v>
      </c>
      <c r="D10" s="42" t="s">
        <v>149</v>
      </c>
      <c r="E10" s="42" t="s">
        <v>150</v>
      </c>
      <c r="F10" s="42" t="s">
        <v>151</v>
      </c>
      <c r="G10" s="43" t="s">
        <v>25</v>
      </c>
      <c r="H10" s="42" t="s">
        <v>28</v>
      </c>
      <c r="I10" s="44" t="s">
        <v>152</v>
      </c>
      <c r="J10" s="45" t="s">
        <v>24</v>
      </c>
    </row>
    <row r="11" spans="2:10" x14ac:dyDescent="0.2">
      <c r="B11" s="40">
        <v>46086</v>
      </c>
      <c r="C11" s="41">
        <v>50000</v>
      </c>
      <c r="D11" s="42" t="s">
        <v>149</v>
      </c>
      <c r="E11" s="42" t="s">
        <v>150</v>
      </c>
      <c r="F11" s="42" t="s">
        <v>151</v>
      </c>
      <c r="G11" s="43" t="s">
        <v>25</v>
      </c>
      <c r="H11" s="42" t="s">
        <v>28</v>
      </c>
      <c r="I11" s="44" t="s">
        <v>152</v>
      </c>
      <c r="J11" s="45" t="s">
        <v>24</v>
      </c>
    </row>
    <row r="12" spans="2:10" x14ac:dyDescent="0.2">
      <c r="B12" s="40">
        <v>46091</v>
      </c>
      <c r="C12" s="41">
        <v>75340</v>
      </c>
      <c r="D12" s="42" t="s">
        <v>149</v>
      </c>
      <c r="E12" s="42" t="s">
        <v>150</v>
      </c>
      <c r="F12" s="42" t="s">
        <v>151</v>
      </c>
      <c r="G12" s="43" t="s">
        <v>158</v>
      </c>
      <c r="H12" s="42" t="s">
        <v>28</v>
      </c>
      <c r="I12" s="44" t="s">
        <v>152</v>
      </c>
      <c r="J12" s="45" t="s">
        <v>24</v>
      </c>
    </row>
    <row r="13" spans="2:10" x14ac:dyDescent="0.2">
      <c r="B13" s="40">
        <v>46093</v>
      </c>
      <c r="C13" s="41">
        <v>414920</v>
      </c>
      <c r="D13" s="47" t="s">
        <v>159</v>
      </c>
      <c r="E13" s="42" t="s">
        <v>150</v>
      </c>
      <c r="F13" s="42" t="s">
        <v>151</v>
      </c>
      <c r="G13" s="43" t="s">
        <v>158</v>
      </c>
      <c r="H13" s="42" t="s">
        <v>28</v>
      </c>
      <c r="I13" s="44" t="s">
        <v>152</v>
      </c>
      <c r="J13" s="46" t="s">
        <v>160</v>
      </c>
    </row>
    <row r="14" spans="2:10" x14ac:dyDescent="0.2">
      <c r="B14" s="29">
        <v>46107</v>
      </c>
      <c r="C14" s="30">
        <v>50000</v>
      </c>
      <c r="D14" s="31" t="s">
        <v>149</v>
      </c>
      <c r="E14" s="32" t="s">
        <v>150</v>
      </c>
      <c r="F14" s="32" t="s">
        <v>151</v>
      </c>
      <c r="G14" s="33" t="s">
        <v>158</v>
      </c>
      <c r="H14" s="32" t="s">
        <v>28</v>
      </c>
      <c r="I14" s="34" t="s">
        <v>152</v>
      </c>
      <c r="J14" s="31"/>
    </row>
    <row r="15" spans="2:10" x14ac:dyDescent="0.2">
      <c r="B15" s="29">
        <v>46107</v>
      </c>
      <c r="C15" s="30">
        <v>50000</v>
      </c>
      <c r="D15" s="31" t="s">
        <v>149</v>
      </c>
      <c r="E15" s="32" t="s">
        <v>150</v>
      </c>
      <c r="F15" s="32" t="s">
        <v>151</v>
      </c>
      <c r="G15" s="33" t="s">
        <v>158</v>
      </c>
      <c r="H15" s="32" t="s">
        <v>28</v>
      </c>
      <c r="I15" s="34" t="s">
        <v>152</v>
      </c>
      <c r="J15" s="31"/>
    </row>
    <row r="16" spans="2:10" x14ac:dyDescent="0.2">
      <c r="B16" s="40">
        <v>46107</v>
      </c>
      <c r="C16" s="41">
        <v>412200</v>
      </c>
      <c r="D16" s="47" t="s">
        <v>19</v>
      </c>
      <c r="E16" s="42" t="s">
        <v>150</v>
      </c>
      <c r="F16" s="42" t="s">
        <v>156</v>
      </c>
      <c r="G16" s="43" t="s">
        <v>78</v>
      </c>
      <c r="H16" s="42" t="s">
        <v>140</v>
      </c>
      <c r="I16" s="44" t="s">
        <v>163</v>
      </c>
      <c r="J16" s="47" t="s">
        <v>172</v>
      </c>
    </row>
    <row r="17" spans="2:10" x14ac:dyDescent="0.2">
      <c r="B17" s="40">
        <v>46112</v>
      </c>
      <c r="C17" s="41">
        <v>100000</v>
      </c>
      <c r="D17" s="47" t="s">
        <v>149</v>
      </c>
      <c r="E17" s="42" t="s">
        <v>150</v>
      </c>
      <c r="F17" s="42" t="s">
        <v>151</v>
      </c>
      <c r="G17" s="43" t="s">
        <v>158</v>
      </c>
      <c r="H17" s="42" t="s">
        <v>28</v>
      </c>
      <c r="I17" s="44" t="s">
        <v>152</v>
      </c>
      <c r="J17" s="69" t="s">
        <v>183</v>
      </c>
    </row>
    <row r="18" spans="2:10" x14ac:dyDescent="0.2">
      <c r="B18" s="40">
        <v>46112</v>
      </c>
      <c r="C18" s="41">
        <v>100000</v>
      </c>
      <c r="D18" s="47" t="s">
        <v>149</v>
      </c>
      <c r="E18" s="42" t="s">
        <v>150</v>
      </c>
      <c r="F18" s="42" t="s">
        <v>151</v>
      </c>
      <c r="G18" s="43" t="s">
        <v>158</v>
      </c>
      <c r="H18" s="42" t="s">
        <v>28</v>
      </c>
      <c r="I18" s="44" t="s">
        <v>152</v>
      </c>
      <c r="J18" s="47" t="s">
        <v>183</v>
      </c>
    </row>
    <row r="19" spans="2:10" x14ac:dyDescent="0.2">
      <c r="B19" s="40">
        <v>46112</v>
      </c>
      <c r="C19" s="41">
        <v>100000</v>
      </c>
      <c r="D19" s="47" t="s">
        <v>149</v>
      </c>
      <c r="E19" s="42" t="s">
        <v>150</v>
      </c>
      <c r="F19" s="42" t="s">
        <v>151</v>
      </c>
      <c r="G19" s="43" t="s">
        <v>158</v>
      </c>
      <c r="H19" s="42" t="s">
        <v>28</v>
      </c>
      <c r="I19" s="44" t="s">
        <v>152</v>
      </c>
      <c r="J19" s="47" t="s">
        <v>183</v>
      </c>
    </row>
    <row r="20" spans="2:10" x14ac:dyDescent="0.2">
      <c r="B20" s="40">
        <v>46112</v>
      </c>
      <c r="C20" s="41">
        <v>100000</v>
      </c>
      <c r="D20" s="47" t="s">
        <v>149</v>
      </c>
      <c r="E20" s="42" t="s">
        <v>150</v>
      </c>
      <c r="F20" s="42" t="s">
        <v>151</v>
      </c>
      <c r="G20" s="43" t="s">
        <v>158</v>
      </c>
      <c r="H20" s="42" t="s">
        <v>28</v>
      </c>
      <c r="I20" s="44" t="s">
        <v>152</v>
      </c>
      <c r="J20" s="47" t="s">
        <v>183</v>
      </c>
    </row>
    <row r="21" spans="2:10" x14ac:dyDescent="0.2">
      <c r="B21" s="40">
        <v>46112</v>
      </c>
      <c r="C21" s="41">
        <v>43744</v>
      </c>
      <c r="D21" s="47" t="s">
        <v>149</v>
      </c>
      <c r="E21" s="42" t="s">
        <v>150</v>
      </c>
      <c r="F21" s="42" t="s">
        <v>151</v>
      </c>
      <c r="G21" s="43" t="s">
        <v>158</v>
      </c>
      <c r="H21" s="42" t="s">
        <v>28</v>
      </c>
      <c r="I21" s="44" t="s">
        <v>152</v>
      </c>
      <c r="J21" s="47" t="s">
        <v>183</v>
      </c>
    </row>
    <row r="22" spans="2:10" x14ac:dyDescent="0.2">
      <c r="B22" s="48">
        <v>46112</v>
      </c>
      <c r="C22" s="41">
        <v>53065</v>
      </c>
      <c r="D22" s="47" t="s">
        <v>149</v>
      </c>
      <c r="E22" s="42" t="s">
        <v>150</v>
      </c>
      <c r="F22" s="42" t="s">
        <v>151</v>
      </c>
      <c r="G22" s="43" t="s">
        <v>25</v>
      </c>
      <c r="H22" s="42" t="s">
        <v>28</v>
      </c>
      <c r="I22" s="44" t="s">
        <v>152</v>
      </c>
      <c r="J22" s="49" t="s">
        <v>200</v>
      </c>
    </row>
    <row r="23" spans="2:10" x14ac:dyDescent="0.2">
      <c r="B23" s="48">
        <v>46112</v>
      </c>
      <c r="C23" s="41">
        <v>82520</v>
      </c>
      <c r="D23" s="47" t="s">
        <v>149</v>
      </c>
      <c r="E23" s="42" t="s">
        <v>150</v>
      </c>
      <c r="F23" s="42" t="s">
        <v>151</v>
      </c>
      <c r="G23" s="43" t="s">
        <v>181</v>
      </c>
      <c r="H23" s="42" t="s">
        <v>140</v>
      </c>
      <c r="I23" s="44" t="s">
        <v>152</v>
      </c>
      <c r="J23" s="49" t="s">
        <v>182</v>
      </c>
    </row>
    <row r="24" spans="2:10" x14ac:dyDescent="0.2">
      <c r="B24" s="48">
        <v>46119</v>
      </c>
      <c r="C24" s="41">
        <v>300000</v>
      </c>
      <c r="D24" s="47" t="s">
        <v>149</v>
      </c>
      <c r="E24" s="42" t="s">
        <v>150</v>
      </c>
      <c r="F24" s="42" t="s">
        <v>151</v>
      </c>
      <c r="G24" s="43" t="s">
        <v>104</v>
      </c>
      <c r="H24" s="42" t="s">
        <v>28</v>
      </c>
      <c r="I24" s="44" t="s">
        <v>152</v>
      </c>
      <c r="J24" s="49" t="s">
        <v>188</v>
      </c>
    </row>
    <row r="25" spans="2:10" x14ac:dyDescent="0.2">
      <c r="B25" s="48">
        <v>46086</v>
      </c>
      <c r="C25" s="41">
        <v>50000</v>
      </c>
      <c r="D25" s="42" t="s">
        <v>149</v>
      </c>
      <c r="E25" s="42" t="s">
        <v>153</v>
      </c>
      <c r="F25" s="42" t="s">
        <v>151</v>
      </c>
      <c r="G25" s="43" t="s">
        <v>25</v>
      </c>
      <c r="H25" s="42" t="s">
        <v>28</v>
      </c>
      <c r="I25" s="44" t="s">
        <v>152</v>
      </c>
      <c r="J25" s="71" t="s">
        <v>24</v>
      </c>
    </row>
    <row r="26" spans="2:10" x14ac:dyDescent="0.2">
      <c r="B26" s="48">
        <v>46086</v>
      </c>
      <c r="C26" s="41">
        <v>50000</v>
      </c>
      <c r="D26" s="42" t="s">
        <v>149</v>
      </c>
      <c r="E26" s="42" t="s">
        <v>153</v>
      </c>
      <c r="F26" s="42" t="s">
        <v>151</v>
      </c>
      <c r="G26" s="43" t="s">
        <v>25</v>
      </c>
      <c r="H26" s="42" t="s">
        <v>28</v>
      </c>
      <c r="I26" s="44" t="s">
        <v>152</v>
      </c>
      <c r="J26" s="71" t="s">
        <v>24</v>
      </c>
    </row>
    <row r="27" spans="2:10" x14ac:dyDescent="0.2">
      <c r="B27" s="48">
        <v>46091</v>
      </c>
      <c r="C27" s="41">
        <v>70000</v>
      </c>
      <c r="D27" s="42" t="s">
        <v>149</v>
      </c>
      <c r="E27" s="42" t="s">
        <v>153</v>
      </c>
      <c r="F27" s="42" t="s">
        <v>151</v>
      </c>
      <c r="G27" s="43" t="s">
        <v>158</v>
      </c>
      <c r="H27" s="42" t="s">
        <v>28</v>
      </c>
      <c r="I27" s="44" t="s">
        <v>152</v>
      </c>
      <c r="J27" s="45" t="s">
        <v>24</v>
      </c>
    </row>
    <row r="28" spans="2:10" x14ac:dyDescent="0.2">
      <c r="B28" s="35">
        <v>46107</v>
      </c>
      <c r="C28" s="30">
        <v>50000</v>
      </c>
      <c r="D28" s="31" t="s">
        <v>149</v>
      </c>
      <c r="E28" s="32" t="s">
        <v>153</v>
      </c>
      <c r="F28" s="32" t="s">
        <v>151</v>
      </c>
      <c r="G28" s="33" t="s">
        <v>158</v>
      </c>
      <c r="H28" s="32" t="s">
        <v>28</v>
      </c>
      <c r="I28" s="34" t="s">
        <v>152</v>
      </c>
      <c r="J28" s="31"/>
    </row>
    <row r="29" spans="2:10" x14ac:dyDescent="0.2">
      <c r="B29" s="35">
        <v>46107</v>
      </c>
      <c r="C29" s="30">
        <v>50000</v>
      </c>
      <c r="D29" s="31" t="s">
        <v>149</v>
      </c>
      <c r="E29" s="32" t="s">
        <v>153</v>
      </c>
      <c r="F29" s="32" t="s">
        <v>151</v>
      </c>
      <c r="G29" s="33" t="s">
        <v>158</v>
      </c>
      <c r="H29" s="32" t="s">
        <v>28</v>
      </c>
      <c r="I29" s="34" t="s">
        <v>152</v>
      </c>
      <c r="J29" s="31"/>
    </row>
    <row r="30" spans="2:10" x14ac:dyDescent="0.2">
      <c r="B30" s="40">
        <v>46112</v>
      </c>
      <c r="C30" s="41">
        <v>50000</v>
      </c>
      <c r="D30" s="47" t="s">
        <v>149</v>
      </c>
      <c r="E30" s="42" t="s">
        <v>153</v>
      </c>
      <c r="F30" s="42" t="s">
        <v>151</v>
      </c>
      <c r="G30" s="43" t="s">
        <v>25</v>
      </c>
      <c r="H30" s="42" t="s">
        <v>28</v>
      </c>
      <c r="I30" s="44" t="s">
        <v>152</v>
      </c>
      <c r="J30" s="47" t="s">
        <v>200</v>
      </c>
    </row>
    <row r="31" spans="2:10" x14ac:dyDescent="0.2">
      <c r="B31" s="40">
        <v>46086</v>
      </c>
      <c r="C31" s="41">
        <v>50000</v>
      </c>
      <c r="D31" s="42" t="s">
        <v>149</v>
      </c>
      <c r="E31" s="42" t="s">
        <v>154</v>
      </c>
      <c r="F31" s="42" t="s">
        <v>151</v>
      </c>
      <c r="G31" s="43" t="s">
        <v>25</v>
      </c>
      <c r="H31" s="42" t="s">
        <v>28</v>
      </c>
      <c r="I31" s="44" t="s">
        <v>152</v>
      </c>
      <c r="J31" s="45" t="s">
        <v>24</v>
      </c>
    </row>
    <row r="32" spans="2:10" x14ac:dyDescent="0.2">
      <c r="B32" s="40">
        <v>46086</v>
      </c>
      <c r="C32" s="41">
        <v>50000</v>
      </c>
      <c r="D32" s="42" t="s">
        <v>149</v>
      </c>
      <c r="E32" s="42" t="s">
        <v>154</v>
      </c>
      <c r="F32" s="42" t="s">
        <v>151</v>
      </c>
      <c r="G32" s="43" t="s">
        <v>25</v>
      </c>
      <c r="H32" s="42" t="s">
        <v>28</v>
      </c>
      <c r="I32" s="44" t="s">
        <v>152</v>
      </c>
      <c r="J32" s="71" t="s">
        <v>24</v>
      </c>
    </row>
    <row r="33" spans="2:10" x14ac:dyDescent="0.2">
      <c r="B33" s="48">
        <v>46091</v>
      </c>
      <c r="C33" s="41">
        <v>70000</v>
      </c>
      <c r="D33" s="42" t="s">
        <v>149</v>
      </c>
      <c r="E33" s="42" t="s">
        <v>154</v>
      </c>
      <c r="F33" s="42" t="s">
        <v>151</v>
      </c>
      <c r="G33" s="43" t="s">
        <v>158</v>
      </c>
      <c r="H33" s="42" t="s">
        <v>28</v>
      </c>
      <c r="I33" s="44" t="s">
        <v>152</v>
      </c>
      <c r="J33" s="71" t="s">
        <v>24</v>
      </c>
    </row>
    <row r="34" spans="2:10" x14ac:dyDescent="0.2">
      <c r="B34" s="48">
        <v>46102</v>
      </c>
      <c r="C34" s="41">
        <v>400000</v>
      </c>
      <c r="D34" s="47" t="s">
        <v>166</v>
      </c>
      <c r="E34" s="42" t="s">
        <v>154</v>
      </c>
      <c r="F34" s="42" t="s">
        <v>151</v>
      </c>
      <c r="G34" s="43" t="s">
        <v>95</v>
      </c>
      <c r="H34" s="42" t="s">
        <v>140</v>
      </c>
      <c r="I34" s="44" t="s">
        <v>152</v>
      </c>
      <c r="J34" s="68" t="s">
        <v>94</v>
      </c>
    </row>
    <row r="35" spans="2:10" x14ac:dyDescent="0.2">
      <c r="B35" s="48">
        <v>46106</v>
      </c>
      <c r="C35" s="41">
        <v>90000</v>
      </c>
      <c r="D35" s="47" t="s">
        <v>149</v>
      </c>
      <c r="E35" s="42" t="s">
        <v>154</v>
      </c>
      <c r="F35" s="42" t="s">
        <v>151</v>
      </c>
      <c r="G35" s="43" t="s">
        <v>125</v>
      </c>
      <c r="H35" s="42" t="s">
        <v>28</v>
      </c>
      <c r="I35" s="44" t="s">
        <v>152</v>
      </c>
      <c r="J35" s="49" t="s">
        <v>171</v>
      </c>
    </row>
    <row r="36" spans="2:10" x14ac:dyDescent="0.2">
      <c r="B36" s="48">
        <v>46106</v>
      </c>
      <c r="C36" s="41">
        <v>90000</v>
      </c>
      <c r="D36" s="47" t="s">
        <v>149</v>
      </c>
      <c r="E36" s="42" t="s">
        <v>154</v>
      </c>
      <c r="F36" s="42" t="s">
        <v>151</v>
      </c>
      <c r="G36" s="43" t="s">
        <v>125</v>
      </c>
      <c r="H36" s="42" t="s">
        <v>28</v>
      </c>
      <c r="I36" s="44" t="s">
        <v>152</v>
      </c>
      <c r="J36" s="49" t="s">
        <v>171</v>
      </c>
    </row>
    <row r="37" spans="2:10" x14ac:dyDescent="0.2">
      <c r="B37" s="48">
        <v>46106</v>
      </c>
      <c r="C37" s="41">
        <v>90000</v>
      </c>
      <c r="D37" s="47" t="s">
        <v>149</v>
      </c>
      <c r="E37" s="42" t="s">
        <v>154</v>
      </c>
      <c r="F37" s="42" t="s">
        <v>151</v>
      </c>
      <c r="G37" s="43" t="s">
        <v>125</v>
      </c>
      <c r="H37" s="42" t="s">
        <v>28</v>
      </c>
      <c r="I37" s="44" t="s">
        <v>152</v>
      </c>
      <c r="J37" s="49" t="s">
        <v>171</v>
      </c>
    </row>
    <row r="38" spans="2:10" x14ac:dyDescent="0.2">
      <c r="B38" s="48">
        <v>46106</v>
      </c>
      <c r="C38" s="41">
        <v>80000</v>
      </c>
      <c r="D38" s="47" t="s">
        <v>149</v>
      </c>
      <c r="E38" s="42" t="s">
        <v>154</v>
      </c>
      <c r="F38" s="42" t="s">
        <v>151</v>
      </c>
      <c r="G38" s="43" t="s">
        <v>125</v>
      </c>
      <c r="H38" s="42" t="s">
        <v>28</v>
      </c>
      <c r="I38" s="44" t="s">
        <v>152</v>
      </c>
      <c r="J38" s="49" t="s">
        <v>171</v>
      </c>
    </row>
    <row r="39" spans="2:10" x14ac:dyDescent="0.2">
      <c r="B39" s="35">
        <v>46107</v>
      </c>
      <c r="C39" s="30">
        <v>50000</v>
      </c>
      <c r="D39" s="31" t="s">
        <v>149</v>
      </c>
      <c r="E39" s="32" t="s">
        <v>154</v>
      </c>
      <c r="F39" s="32" t="s">
        <v>151</v>
      </c>
      <c r="G39" s="33" t="s">
        <v>158</v>
      </c>
      <c r="H39" s="32" t="s">
        <v>28</v>
      </c>
      <c r="I39" s="34" t="s">
        <v>152</v>
      </c>
      <c r="J39" s="36"/>
    </row>
    <row r="40" spans="2:10" x14ac:dyDescent="0.2">
      <c r="B40" s="35">
        <v>46107</v>
      </c>
      <c r="C40" s="30">
        <v>50000</v>
      </c>
      <c r="D40" s="31" t="s">
        <v>149</v>
      </c>
      <c r="E40" s="32" t="s">
        <v>154</v>
      </c>
      <c r="F40" s="32" t="s">
        <v>151</v>
      </c>
      <c r="G40" s="33" t="s">
        <v>158</v>
      </c>
      <c r="H40" s="32" t="s">
        <v>28</v>
      </c>
      <c r="I40" s="34" t="s">
        <v>152</v>
      </c>
      <c r="J40" s="36"/>
    </row>
    <row r="41" spans="2:10" x14ac:dyDescent="0.2">
      <c r="B41" s="48">
        <v>46109</v>
      </c>
      <c r="C41" s="41">
        <v>68950</v>
      </c>
      <c r="D41" s="47" t="s">
        <v>178</v>
      </c>
      <c r="E41" s="42" t="s">
        <v>154</v>
      </c>
      <c r="F41" s="42" t="s">
        <v>151</v>
      </c>
      <c r="G41" s="43" t="s">
        <v>125</v>
      </c>
      <c r="H41" s="42" t="s">
        <v>28</v>
      </c>
      <c r="I41" s="44" t="s">
        <v>163</v>
      </c>
      <c r="J41" s="49" t="s">
        <v>171</v>
      </c>
    </row>
    <row r="42" spans="2:10" x14ac:dyDescent="0.2">
      <c r="B42" s="48">
        <v>46112</v>
      </c>
      <c r="C42" s="41">
        <v>50000</v>
      </c>
      <c r="D42" s="47" t="s">
        <v>149</v>
      </c>
      <c r="E42" s="42" t="s">
        <v>154</v>
      </c>
      <c r="F42" s="42" t="s">
        <v>151</v>
      </c>
      <c r="G42" s="43" t="s">
        <v>25</v>
      </c>
      <c r="H42" s="42" t="s">
        <v>28</v>
      </c>
      <c r="I42" s="44" t="s">
        <v>152</v>
      </c>
      <c r="J42" s="49" t="s">
        <v>200</v>
      </c>
    </row>
    <row r="43" spans="2:10" x14ac:dyDescent="0.2">
      <c r="B43" s="48">
        <v>46119</v>
      </c>
      <c r="C43" s="41">
        <v>287600</v>
      </c>
      <c r="D43" s="47" t="s">
        <v>149</v>
      </c>
      <c r="E43" s="42" t="s">
        <v>154</v>
      </c>
      <c r="F43" s="42" t="s">
        <v>151</v>
      </c>
      <c r="G43" s="43" t="s">
        <v>63</v>
      </c>
      <c r="H43" s="42" t="s">
        <v>140</v>
      </c>
      <c r="I43" s="44" t="s">
        <v>152</v>
      </c>
      <c r="J43" s="49" t="s">
        <v>175</v>
      </c>
    </row>
    <row r="44" spans="2:10" x14ac:dyDescent="0.2">
      <c r="B44" s="48">
        <v>46125</v>
      </c>
      <c r="C44" s="41">
        <v>473040</v>
      </c>
      <c r="D44" s="47" t="s">
        <v>149</v>
      </c>
      <c r="E44" s="42" t="s">
        <v>154</v>
      </c>
      <c r="F44" s="42" t="s">
        <v>151</v>
      </c>
      <c r="G44" s="43"/>
      <c r="H44" s="42" t="s">
        <v>140</v>
      </c>
      <c r="I44" s="44" t="s">
        <v>152</v>
      </c>
      <c r="J44" s="70" t="s">
        <v>198</v>
      </c>
    </row>
    <row r="45" spans="2:10" x14ac:dyDescent="0.2">
      <c r="B45" s="48">
        <v>46090</v>
      </c>
      <c r="C45" s="41">
        <v>300000</v>
      </c>
      <c r="D45" s="42" t="s">
        <v>156</v>
      </c>
      <c r="E45" s="42" t="s">
        <v>157</v>
      </c>
      <c r="F45" s="42" t="s">
        <v>156</v>
      </c>
      <c r="G45" s="43" t="s">
        <v>69</v>
      </c>
      <c r="H45" s="42" t="s">
        <v>28</v>
      </c>
      <c r="I45" s="44" t="s">
        <v>152</v>
      </c>
      <c r="J45" s="68" t="s">
        <v>71</v>
      </c>
    </row>
    <row r="46" spans="2:10" x14ac:dyDescent="0.2">
      <c r="B46" s="48">
        <v>46100</v>
      </c>
      <c r="C46" s="41">
        <v>91050</v>
      </c>
      <c r="D46" s="47" t="s">
        <v>164</v>
      </c>
      <c r="E46" s="42" t="s">
        <v>157</v>
      </c>
      <c r="F46" s="42" t="s">
        <v>156</v>
      </c>
      <c r="G46" s="43" t="s">
        <v>63</v>
      </c>
      <c r="H46" s="42" t="s">
        <v>28</v>
      </c>
      <c r="I46" s="44" t="s">
        <v>163</v>
      </c>
      <c r="J46" s="68" t="s">
        <v>62</v>
      </c>
    </row>
    <row r="47" spans="2:10" x14ac:dyDescent="0.2">
      <c r="B47" s="48">
        <v>46100</v>
      </c>
      <c r="C47" s="41">
        <v>417600</v>
      </c>
      <c r="D47" s="47" t="s">
        <v>161</v>
      </c>
      <c r="E47" s="42" t="s">
        <v>157</v>
      </c>
      <c r="F47" s="42" t="s">
        <v>156</v>
      </c>
      <c r="G47" s="43" t="s">
        <v>162</v>
      </c>
      <c r="H47" s="53" t="s">
        <v>140</v>
      </c>
      <c r="I47" s="44" t="s">
        <v>163</v>
      </c>
      <c r="J47" s="68" t="s">
        <v>77</v>
      </c>
    </row>
    <row r="48" spans="2:10" x14ac:dyDescent="0.2">
      <c r="B48" s="48">
        <v>46101</v>
      </c>
      <c r="C48" s="41">
        <v>350000</v>
      </c>
      <c r="D48" s="47" t="s">
        <v>165</v>
      </c>
      <c r="E48" s="42" t="s">
        <v>157</v>
      </c>
      <c r="F48" s="42" t="s">
        <v>156</v>
      </c>
      <c r="G48" s="43" t="s">
        <v>63</v>
      </c>
      <c r="H48" s="42" t="s">
        <v>140</v>
      </c>
      <c r="I48" s="44" t="s">
        <v>163</v>
      </c>
      <c r="J48" s="68" t="s">
        <v>62</v>
      </c>
    </row>
    <row r="49" spans="2:10" x14ac:dyDescent="0.2">
      <c r="B49" s="48">
        <v>46104</v>
      </c>
      <c r="C49" s="41">
        <v>490500</v>
      </c>
      <c r="D49" s="47" t="s">
        <v>167</v>
      </c>
      <c r="E49" s="42" t="s">
        <v>157</v>
      </c>
      <c r="F49" s="42" t="s">
        <v>156</v>
      </c>
      <c r="G49" s="43" t="s">
        <v>42</v>
      </c>
      <c r="H49" s="42" t="s">
        <v>28</v>
      </c>
      <c r="I49" s="44" t="s">
        <v>163</v>
      </c>
      <c r="J49" s="68" t="s">
        <v>41</v>
      </c>
    </row>
    <row r="50" spans="2:10" x14ac:dyDescent="0.2">
      <c r="B50" s="48">
        <v>46107</v>
      </c>
      <c r="C50" s="41">
        <v>200000</v>
      </c>
      <c r="D50" s="47" t="s">
        <v>173</v>
      </c>
      <c r="E50" s="42" t="s">
        <v>157</v>
      </c>
      <c r="F50" s="42" t="s">
        <v>156</v>
      </c>
      <c r="G50" s="43" t="s">
        <v>174</v>
      </c>
      <c r="H50" s="42" t="s">
        <v>28</v>
      </c>
      <c r="I50" s="44" t="s">
        <v>163</v>
      </c>
      <c r="J50" s="49" t="s">
        <v>175</v>
      </c>
    </row>
    <row r="51" spans="2:10" x14ac:dyDescent="0.2">
      <c r="B51" s="48">
        <v>46108</v>
      </c>
      <c r="C51" s="41">
        <v>847660</v>
      </c>
      <c r="D51" s="47" t="s">
        <v>176</v>
      </c>
      <c r="E51" s="42" t="s">
        <v>157</v>
      </c>
      <c r="F51" s="42" t="s">
        <v>156</v>
      </c>
      <c r="G51" s="43" t="s">
        <v>42</v>
      </c>
      <c r="H51" s="42" t="s">
        <v>140</v>
      </c>
      <c r="I51" s="44" t="s">
        <v>163</v>
      </c>
      <c r="J51" s="49" t="s">
        <v>177</v>
      </c>
    </row>
    <row r="52" spans="2:10" x14ac:dyDescent="0.2">
      <c r="B52" s="48">
        <v>46111</v>
      </c>
      <c r="C52" s="41">
        <v>108886</v>
      </c>
      <c r="D52" s="47" t="s">
        <v>179</v>
      </c>
      <c r="E52" s="42" t="s">
        <v>157</v>
      </c>
      <c r="F52" s="42" t="s">
        <v>156</v>
      </c>
      <c r="G52" s="43" t="s">
        <v>138</v>
      </c>
      <c r="H52" s="42" t="s">
        <v>28</v>
      </c>
      <c r="I52" s="44" t="s">
        <v>163</v>
      </c>
      <c r="J52" s="49" t="s">
        <v>180</v>
      </c>
    </row>
    <row r="53" spans="2:10" x14ac:dyDescent="0.2">
      <c r="B53" s="48">
        <v>46112</v>
      </c>
      <c r="C53" s="41">
        <v>300000</v>
      </c>
      <c r="D53" s="47" t="s">
        <v>184</v>
      </c>
      <c r="E53" s="42" t="s">
        <v>157</v>
      </c>
      <c r="F53" s="42" t="s">
        <v>156</v>
      </c>
      <c r="G53" s="43" t="s">
        <v>181</v>
      </c>
      <c r="H53" s="42" t="s">
        <v>28</v>
      </c>
      <c r="I53" s="44" t="s">
        <v>163</v>
      </c>
      <c r="J53" s="49" t="s">
        <v>182</v>
      </c>
    </row>
    <row r="54" spans="2:10" x14ac:dyDescent="0.2">
      <c r="B54" s="48">
        <v>46112</v>
      </c>
      <c r="C54" s="41">
        <v>120000</v>
      </c>
      <c r="D54" s="47" t="s">
        <v>185</v>
      </c>
      <c r="E54" s="42" t="s">
        <v>157</v>
      </c>
      <c r="F54" s="42" t="s">
        <v>156</v>
      </c>
      <c r="G54" s="43" t="s">
        <v>186</v>
      </c>
      <c r="H54" s="42" t="s">
        <v>28</v>
      </c>
      <c r="I54" s="44" t="s">
        <v>152</v>
      </c>
      <c r="J54" s="49" t="s">
        <v>187</v>
      </c>
    </row>
    <row r="55" spans="2:10" x14ac:dyDescent="0.2">
      <c r="B55" s="48">
        <v>46119</v>
      </c>
      <c r="C55" s="41">
        <v>411320</v>
      </c>
      <c r="D55" s="47" t="s">
        <v>189</v>
      </c>
      <c r="E55" s="42" t="s">
        <v>157</v>
      </c>
      <c r="F55" s="42" t="s">
        <v>156</v>
      </c>
      <c r="G55" s="43" t="s">
        <v>129</v>
      </c>
      <c r="H55" s="42" t="s">
        <v>140</v>
      </c>
      <c r="I55" s="44" t="s">
        <v>163</v>
      </c>
      <c r="J55" s="49" t="s">
        <v>190</v>
      </c>
    </row>
    <row r="56" spans="2:10" x14ac:dyDescent="0.2">
      <c r="B56" s="48">
        <v>46120</v>
      </c>
      <c r="C56" s="41">
        <v>294888.88</v>
      </c>
      <c r="D56" s="47" t="s">
        <v>156</v>
      </c>
      <c r="E56" s="42" t="s">
        <v>157</v>
      </c>
      <c r="F56" s="42" t="s">
        <v>156</v>
      </c>
      <c r="G56" s="43" t="s">
        <v>191</v>
      </c>
      <c r="H56" s="42" t="s">
        <v>140</v>
      </c>
      <c r="I56" s="44" t="s">
        <v>163</v>
      </c>
      <c r="J56" s="49" t="s">
        <v>192</v>
      </c>
    </row>
    <row r="57" spans="2:10" x14ac:dyDescent="0.2">
      <c r="B57" s="48">
        <v>46120</v>
      </c>
      <c r="C57" s="41">
        <v>178100</v>
      </c>
      <c r="D57" s="47" t="s">
        <v>156</v>
      </c>
      <c r="E57" s="42" t="s">
        <v>157</v>
      </c>
      <c r="F57" s="42" t="s">
        <v>156</v>
      </c>
      <c r="G57" s="43" t="s">
        <v>75</v>
      </c>
      <c r="H57" s="42" t="s">
        <v>140</v>
      </c>
      <c r="I57" s="44" t="s">
        <v>163</v>
      </c>
      <c r="J57" s="49" t="s">
        <v>187</v>
      </c>
    </row>
    <row r="58" spans="2:10" x14ac:dyDescent="0.2">
      <c r="B58" s="48">
        <v>46121</v>
      </c>
      <c r="C58" s="41">
        <v>3368</v>
      </c>
      <c r="D58" s="47" t="s">
        <v>156</v>
      </c>
      <c r="E58" s="42" t="s">
        <v>157</v>
      </c>
      <c r="F58" s="42" t="s">
        <v>156</v>
      </c>
      <c r="G58" s="43" t="s">
        <v>174</v>
      </c>
      <c r="H58" s="42" t="s">
        <v>140</v>
      </c>
      <c r="I58" s="44" t="s">
        <v>152</v>
      </c>
      <c r="J58" s="49" t="s">
        <v>175</v>
      </c>
    </row>
    <row r="59" spans="2:10" x14ac:dyDescent="0.2">
      <c r="B59" s="50">
        <v>46127</v>
      </c>
      <c r="C59" s="51">
        <v>240000</v>
      </c>
      <c r="D59" s="47" t="s">
        <v>156</v>
      </c>
      <c r="E59" s="42" t="s">
        <v>157</v>
      </c>
      <c r="F59" s="42" t="s">
        <v>156</v>
      </c>
      <c r="G59" s="52" t="s">
        <v>138</v>
      </c>
      <c r="H59" s="53" t="s">
        <v>28</v>
      </c>
      <c r="I59" s="44" t="s">
        <v>163</v>
      </c>
      <c r="J59" s="54" t="s">
        <v>180</v>
      </c>
    </row>
    <row r="60" spans="2:10" x14ac:dyDescent="0.2">
      <c r="B60" s="50">
        <v>46128</v>
      </c>
      <c r="C60" s="51">
        <v>457250</v>
      </c>
      <c r="D60" s="47" t="s">
        <v>156</v>
      </c>
      <c r="E60" s="42" t="s">
        <v>157</v>
      </c>
      <c r="F60" s="42" t="s">
        <v>156</v>
      </c>
      <c r="G60" s="52" t="s">
        <v>104</v>
      </c>
      <c r="H60" s="53" t="s">
        <v>140</v>
      </c>
      <c r="I60" s="44" t="s">
        <v>163</v>
      </c>
      <c r="J60" s="54" t="s">
        <v>193</v>
      </c>
    </row>
    <row r="61" spans="2:10" x14ac:dyDescent="0.2">
      <c r="B61" s="50">
        <v>46135</v>
      </c>
      <c r="C61" s="51">
        <v>451840</v>
      </c>
      <c r="D61" s="47" t="s">
        <v>156</v>
      </c>
      <c r="E61" s="42" t="s">
        <v>157</v>
      </c>
      <c r="F61" s="42" t="s">
        <v>156</v>
      </c>
      <c r="G61" s="43" t="s">
        <v>38</v>
      </c>
      <c r="H61" s="53" t="s">
        <v>140</v>
      </c>
      <c r="I61" s="44" t="s">
        <v>163</v>
      </c>
      <c r="J61" s="49" t="s">
        <v>203</v>
      </c>
    </row>
    <row r="62" spans="2:10" x14ac:dyDescent="0.2">
      <c r="B62" s="50">
        <v>46140</v>
      </c>
      <c r="C62" s="51">
        <v>20714</v>
      </c>
      <c r="D62" s="47" t="s">
        <v>156</v>
      </c>
      <c r="E62" s="42" t="s">
        <v>157</v>
      </c>
      <c r="F62" s="42" t="s">
        <v>156</v>
      </c>
      <c r="G62" s="43" t="s">
        <v>138</v>
      </c>
      <c r="H62" s="53" t="s">
        <v>140</v>
      </c>
      <c r="I62" s="44" t="s">
        <v>205</v>
      </c>
      <c r="J62" s="49" t="s">
        <v>180</v>
      </c>
    </row>
    <row r="64" spans="2:10" x14ac:dyDescent="0.2">
      <c r="B64" s="81" t="s">
        <v>197</v>
      </c>
      <c r="C64" s="82"/>
      <c r="D64" s="82"/>
      <c r="E64" s="82"/>
      <c r="F64" s="82"/>
      <c r="G64" s="82"/>
      <c r="H64" s="82"/>
      <c r="I64" s="82"/>
      <c r="J64" s="82"/>
    </row>
    <row r="65" spans="2:10" x14ac:dyDescent="0.2">
      <c r="B65" s="82"/>
      <c r="C65" s="82"/>
      <c r="D65" s="82"/>
      <c r="E65" s="82"/>
      <c r="F65" s="82"/>
      <c r="G65" s="82"/>
      <c r="H65" s="82"/>
      <c r="I65" s="82"/>
      <c r="J65" s="82"/>
    </row>
    <row r="66" spans="2:10" ht="12.75" customHeight="1" x14ac:dyDescent="0.2">
      <c r="B66" s="55" t="s">
        <v>141</v>
      </c>
      <c r="C66" s="56" t="s">
        <v>142</v>
      </c>
      <c r="D66" s="57" t="s">
        <v>143</v>
      </c>
      <c r="E66" s="57" t="s">
        <v>144</v>
      </c>
      <c r="F66" s="57" t="s">
        <v>145</v>
      </c>
      <c r="G66" s="57" t="s">
        <v>12</v>
      </c>
      <c r="H66" s="57" t="s">
        <v>146</v>
      </c>
      <c r="I66" s="58" t="s">
        <v>147</v>
      </c>
      <c r="J66" s="59" t="s">
        <v>148</v>
      </c>
    </row>
    <row r="67" spans="2:10" x14ac:dyDescent="0.2">
      <c r="B67" s="67">
        <v>46134</v>
      </c>
      <c r="C67" s="41">
        <v>6640000</v>
      </c>
      <c r="D67" s="42" t="s">
        <v>204</v>
      </c>
      <c r="E67" s="42" t="s">
        <v>169</v>
      </c>
      <c r="F67" s="42" t="s">
        <v>156</v>
      </c>
      <c r="G67" s="43" t="s">
        <v>0</v>
      </c>
      <c r="H67" s="42" t="s">
        <v>45</v>
      </c>
      <c r="I67" s="44" t="s">
        <v>163</v>
      </c>
      <c r="J67" s="60"/>
    </row>
    <row r="68" spans="2:10" x14ac:dyDescent="0.2">
      <c r="B68" s="67">
        <v>46134</v>
      </c>
      <c r="C68" s="41">
        <v>6650000</v>
      </c>
      <c r="D68" s="42" t="s">
        <v>204</v>
      </c>
      <c r="E68" s="42" t="s">
        <v>154</v>
      </c>
      <c r="F68" s="42" t="s">
        <v>156</v>
      </c>
      <c r="G68" s="43" t="s">
        <v>0</v>
      </c>
      <c r="H68" s="42" t="s">
        <v>45</v>
      </c>
      <c r="I68" s="44" t="s">
        <v>163</v>
      </c>
      <c r="J68" s="60"/>
    </row>
    <row r="69" spans="2:10" x14ac:dyDescent="0.2">
      <c r="B69" s="67">
        <v>46134</v>
      </c>
      <c r="C69" s="41">
        <v>6645000</v>
      </c>
      <c r="D69" s="42" t="s">
        <v>204</v>
      </c>
      <c r="E69" s="42" t="s">
        <v>153</v>
      </c>
      <c r="F69" s="42" t="s">
        <v>156</v>
      </c>
      <c r="G69" s="43" t="s">
        <v>0</v>
      </c>
      <c r="H69" s="42" t="s">
        <v>45</v>
      </c>
      <c r="I69" s="44" t="s">
        <v>163</v>
      </c>
      <c r="J69" s="60"/>
    </row>
  </sheetData>
  <mergeCells count="2">
    <mergeCell ref="B2:J3"/>
    <mergeCell ref="B64:J65"/>
  </mergeCells>
  <phoneticPr fontId="9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D49"/>
  <sheetViews>
    <sheetView showGridLines="0" zoomScaleNormal="100" workbookViewId="0">
      <pane ySplit="3" topLeftCell="A22" activePane="bottomLeft" state="frozen"/>
      <selection activeCell="E4" sqref="E4:E12"/>
      <selection pane="bottomLeft" activeCell="A40" sqref="A40:XFD40"/>
    </sheetView>
  </sheetViews>
  <sheetFormatPr baseColWidth="10" defaultColWidth="12.5703125" defaultRowHeight="15.75" customHeight="1" x14ac:dyDescent="0.2"/>
  <cols>
    <col min="1" max="1" width="12.28515625" customWidth="1"/>
    <col min="2" max="2" width="14.85546875" customWidth="1"/>
    <col min="3" max="4" width="11.140625" hidden="1" customWidth="1"/>
    <col min="5" max="5" width="17.42578125" bestFit="1" customWidth="1"/>
    <col min="6" max="6" width="13.5703125" hidden="1" customWidth="1"/>
    <col min="7" max="7" width="12.42578125" hidden="1" customWidth="1"/>
    <col min="8" max="9" width="13.28515625" hidden="1" customWidth="1"/>
    <col min="10" max="10" width="29.7109375" bestFit="1" customWidth="1"/>
    <col min="11" max="11" width="17.85546875" hidden="1" customWidth="1"/>
    <col min="12" max="12" width="29" bestFit="1" customWidth="1"/>
    <col min="13" max="13" width="27.140625" bestFit="1" customWidth="1"/>
    <col min="14" max="14" width="16" bestFit="1" customWidth="1"/>
    <col min="15" max="15" width="15.42578125" customWidth="1"/>
    <col min="16" max="16" width="17.28515625" bestFit="1" customWidth="1"/>
    <col min="17" max="17" width="18.5703125" bestFit="1" customWidth="1"/>
    <col min="18" max="18" width="18.140625" bestFit="1" customWidth="1"/>
    <col min="19" max="22" width="16.7109375" customWidth="1"/>
    <col min="23" max="23" width="18" style="11" customWidth="1"/>
  </cols>
  <sheetData>
    <row r="1" spans="1:30" ht="34.5" x14ac:dyDescent="0.5">
      <c r="A1" s="83" t="s">
        <v>2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22"/>
      <c r="U1" s="22"/>
      <c r="V1" s="22"/>
      <c r="W1" s="23"/>
    </row>
    <row r="2" spans="1:30" ht="46.5" customHeight="1" x14ac:dyDescent="0.2">
      <c r="A2" s="17" t="s">
        <v>3</v>
      </c>
      <c r="B2" s="17" t="s">
        <v>4</v>
      </c>
      <c r="C2" s="18" t="s">
        <v>5</v>
      </c>
      <c r="D2" s="18" t="s">
        <v>6</v>
      </c>
      <c r="E2" s="17" t="s">
        <v>7</v>
      </c>
      <c r="F2" s="19" t="s">
        <v>8</v>
      </c>
      <c r="G2" s="19" t="s">
        <v>9</v>
      </c>
      <c r="H2" s="20" t="s">
        <v>10</v>
      </c>
      <c r="I2" s="20" t="s">
        <v>11</v>
      </c>
      <c r="J2" s="18" t="s">
        <v>12</v>
      </c>
      <c r="K2" s="18" t="s">
        <v>13</v>
      </c>
      <c r="L2" s="18" t="s">
        <v>14</v>
      </c>
      <c r="M2" s="18" t="s">
        <v>15</v>
      </c>
      <c r="N2" s="18" t="s">
        <v>16</v>
      </c>
      <c r="O2" s="21" t="s">
        <v>17</v>
      </c>
      <c r="P2" s="18" t="s">
        <v>18</v>
      </c>
      <c r="Q2" s="18" t="s">
        <v>19</v>
      </c>
      <c r="R2" s="18" t="s">
        <v>20</v>
      </c>
      <c r="S2" s="17" t="s">
        <v>146</v>
      </c>
      <c r="T2" s="17" t="s">
        <v>314</v>
      </c>
      <c r="U2" s="17" t="s">
        <v>21</v>
      </c>
      <c r="V2" s="17" t="s">
        <v>22</v>
      </c>
      <c r="W2" s="24" t="s">
        <v>23</v>
      </c>
    </row>
    <row r="3" spans="1:30" ht="12.75" x14ac:dyDescent="0.2">
      <c r="A3" s="12" t="s">
        <v>24</v>
      </c>
      <c r="B3" s="25">
        <v>46083</v>
      </c>
      <c r="C3" s="8">
        <v>37167</v>
      </c>
      <c r="D3" s="8">
        <v>1928</v>
      </c>
      <c r="E3" s="26">
        <v>31160</v>
      </c>
      <c r="F3" s="8">
        <v>600</v>
      </c>
      <c r="G3" s="8"/>
      <c r="H3" s="8"/>
      <c r="I3" s="8"/>
      <c r="J3" s="8" t="s">
        <v>25</v>
      </c>
      <c r="K3" s="8"/>
      <c r="L3" s="8" t="s">
        <v>26</v>
      </c>
      <c r="M3" s="8" t="s">
        <v>27</v>
      </c>
      <c r="N3" s="8">
        <v>7711435699</v>
      </c>
      <c r="O3" s="25">
        <v>46085</v>
      </c>
      <c r="P3" s="27">
        <v>515340</v>
      </c>
      <c r="Q3" s="27">
        <f>300000+140000+75340</f>
        <v>515340</v>
      </c>
      <c r="R3" s="27">
        <f>+Tabla1[[#This Row],[TOTAL]]-Tabla1[[#This Row],[PAGO]]</f>
        <v>0</v>
      </c>
      <c r="S3" s="8" t="s">
        <v>140</v>
      </c>
      <c r="T3" s="25">
        <v>46091</v>
      </c>
      <c r="U3" s="28">
        <v>18</v>
      </c>
      <c r="V3" s="28"/>
      <c r="W3" s="28">
        <v>18</v>
      </c>
      <c r="X3" s="3"/>
      <c r="Y3" s="3"/>
      <c r="Z3" s="3"/>
      <c r="AA3" s="3"/>
      <c r="AB3" s="3"/>
      <c r="AC3" s="3"/>
      <c r="AD3" s="3"/>
    </row>
    <row r="4" spans="1:30" ht="12.75" x14ac:dyDescent="0.2">
      <c r="A4" s="12" t="s">
        <v>29</v>
      </c>
      <c r="B4" s="25">
        <v>46083</v>
      </c>
      <c r="C4" s="8"/>
      <c r="D4" s="8">
        <v>1928</v>
      </c>
      <c r="E4" s="26">
        <v>30510</v>
      </c>
      <c r="F4" s="8">
        <v>400</v>
      </c>
      <c r="G4" s="8">
        <v>200</v>
      </c>
      <c r="H4" s="8"/>
      <c r="I4" s="8"/>
      <c r="J4" s="8" t="s">
        <v>30</v>
      </c>
      <c r="K4" s="8"/>
      <c r="L4" s="8" t="s">
        <v>31</v>
      </c>
      <c r="M4" s="8" t="s">
        <v>32</v>
      </c>
      <c r="N4" s="8">
        <v>6442062694</v>
      </c>
      <c r="O4" s="25">
        <v>46085</v>
      </c>
      <c r="P4" s="27">
        <v>414920</v>
      </c>
      <c r="Q4" s="27">
        <v>414920</v>
      </c>
      <c r="R4" s="27">
        <f>+Tabla1[[#This Row],[TOTAL]]-Tabla1[[#This Row],[PAGO]]</f>
        <v>0</v>
      </c>
      <c r="S4" s="8" t="s">
        <v>140</v>
      </c>
      <c r="T4" s="25">
        <v>46092</v>
      </c>
      <c r="U4" s="28">
        <v>17</v>
      </c>
      <c r="V4" s="28">
        <v>12</v>
      </c>
      <c r="W4" s="28">
        <v>22</v>
      </c>
      <c r="X4" s="3"/>
      <c r="Y4" s="3"/>
      <c r="Z4" s="3"/>
      <c r="AA4" s="3"/>
      <c r="AB4" s="3"/>
      <c r="AC4" s="3"/>
      <c r="AD4" s="3"/>
    </row>
    <row r="5" spans="1:30" ht="12.75" x14ac:dyDescent="0.2">
      <c r="A5" s="12" t="s">
        <v>33</v>
      </c>
      <c r="B5" s="25">
        <v>46084</v>
      </c>
      <c r="C5" s="8"/>
      <c r="D5" s="8">
        <v>1928</v>
      </c>
      <c r="E5" s="26">
        <v>30270</v>
      </c>
      <c r="F5" s="8">
        <v>600</v>
      </c>
      <c r="G5" s="8"/>
      <c r="H5" s="8"/>
      <c r="I5" s="8"/>
      <c r="J5" s="8" t="s">
        <v>34</v>
      </c>
      <c r="K5" s="8"/>
      <c r="L5" s="8" t="s">
        <v>35</v>
      </c>
      <c r="M5" s="8" t="s">
        <v>36</v>
      </c>
      <c r="N5" s="8">
        <v>5568874556</v>
      </c>
      <c r="O5" s="25">
        <v>46086</v>
      </c>
      <c r="P5" s="27">
        <v>294888</v>
      </c>
      <c r="Q5" s="27">
        <v>294888</v>
      </c>
      <c r="R5" s="27">
        <f>+Tabla1[[#This Row],[TOTAL]]-Tabla1[[#This Row],[PAGO]]</f>
        <v>0</v>
      </c>
      <c r="S5" s="8" t="s">
        <v>140</v>
      </c>
      <c r="T5" s="25">
        <v>46120</v>
      </c>
      <c r="U5" s="28">
        <v>11</v>
      </c>
      <c r="V5" s="28"/>
      <c r="W5" s="28">
        <v>23</v>
      </c>
      <c r="X5" s="3"/>
      <c r="Y5" s="3"/>
      <c r="Z5" s="3"/>
      <c r="AA5" s="3"/>
      <c r="AB5" s="3"/>
      <c r="AC5" s="3"/>
      <c r="AD5" s="3"/>
    </row>
    <row r="6" spans="1:30" ht="12.75" x14ac:dyDescent="0.2">
      <c r="A6" s="12" t="s">
        <v>37</v>
      </c>
      <c r="B6" s="25">
        <v>46084</v>
      </c>
      <c r="C6" s="8"/>
      <c r="D6" s="8">
        <v>1928</v>
      </c>
      <c r="E6" s="26">
        <v>30570</v>
      </c>
      <c r="F6" s="8">
        <v>600</v>
      </c>
      <c r="G6" s="8"/>
      <c r="H6" s="8"/>
      <c r="I6" s="8"/>
      <c r="J6" s="8" t="s">
        <v>38</v>
      </c>
      <c r="K6" s="8"/>
      <c r="L6" s="8" t="s">
        <v>39</v>
      </c>
      <c r="M6" s="8" t="s">
        <v>40</v>
      </c>
      <c r="N6" s="8">
        <v>4492731814</v>
      </c>
      <c r="O6" s="25">
        <v>46086</v>
      </c>
      <c r="P6" s="27">
        <v>451840</v>
      </c>
      <c r="Q6" s="27">
        <v>451840</v>
      </c>
      <c r="R6" s="27">
        <f>+Tabla1[[#This Row],[TOTAL]]-Tabla1[[#This Row],[PAGO]]</f>
        <v>0</v>
      </c>
      <c r="S6" s="8" t="s">
        <v>140</v>
      </c>
      <c r="T6" s="25">
        <v>46135</v>
      </c>
      <c r="U6" s="28">
        <v>16</v>
      </c>
      <c r="V6" s="28"/>
      <c r="W6" s="28">
        <v>31</v>
      </c>
      <c r="X6" s="3"/>
      <c r="Y6" s="3"/>
      <c r="Z6" s="3"/>
      <c r="AA6" s="3"/>
      <c r="AB6" s="3"/>
      <c r="AC6" s="3"/>
      <c r="AD6" s="3"/>
    </row>
    <row r="7" spans="1:30" ht="12.75" x14ac:dyDescent="0.2">
      <c r="A7" s="12" t="s">
        <v>41</v>
      </c>
      <c r="B7" s="25">
        <v>46085</v>
      </c>
      <c r="C7" s="8"/>
      <c r="D7" s="8">
        <v>1928</v>
      </c>
      <c r="E7" s="26">
        <v>30450</v>
      </c>
      <c r="F7" s="8">
        <v>600</v>
      </c>
      <c r="G7" s="8"/>
      <c r="H7" s="8"/>
      <c r="I7" s="8"/>
      <c r="J7" s="8" t="s">
        <v>42</v>
      </c>
      <c r="K7" s="8"/>
      <c r="L7" s="8" t="s">
        <v>43</v>
      </c>
      <c r="M7" s="8" t="s">
        <v>44</v>
      </c>
      <c r="N7" s="8">
        <v>4491111634</v>
      </c>
      <c r="O7" s="25">
        <v>46087</v>
      </c>
      <c r="P7" s="27">
        <v>490500</v>
      </c>
      <c r="Q7" s="27">
        <v>490500</v>
      </c>
      <c r="R7" s="27">
        <f>+Tabla1[[#This Row],[TOTAL]]-Tabla1[[#This Row],[PAGO]]</f>
        <v>0</v>
      </c>
      <c r="S7" s="8" t="s">
        <v>45</v>
      </c>
      <c r="T7" s="25">
        <v>46104</v>
      </c>
      <c r="U7" s="28">
        <v>18</v>
      </c>
      <c r="V7" s="28"/>
      <c r="W7" s="28">
        <v>33</v>
      </c>
      <c r="X7" s="3"/>
      <c r="Y7" s="3"/>
      <c r="Z7" s="3"/>
      <c r="AA7" s="3"/>
      <c r="AB7" s="3"/>
      <c r="AC7" s="3"/>
      <c r="AD7" s="3"/>
    </row>
    <row r="8" spans="1:30" ht="12.75" x14ac:dyDescent="0.2">
      <c r="A8" s="12" t="s">
        <v>46</v>
      </c>
      <c r="B8" s="25">
        <v>46085</v>
      </c>
      <c r="C8" s="8"/>
      <c r="D8" s="8">
        <v>1928</v>
      </c>
      <c r="E8" s="26">
        <v>30610</v>
      </c>
      <c r="F8" s="8">
        <v>600</v>
      </c>
      <c r="G8" s="8"/>
      <c r="H8" s="8"/>
      <c r="I8" s="8"/>
      <c r="J8" s="61" t="s">
        <v>47</v>
      </c>
      <c r="K8" s="61"/>
      <c r="L8" s="61" t="s">
        <v>48</v>
      </c>
      <c r="M8" s="61" t="s">
        <v>49</v>
      </c>
      <c r="N8" s="61">
        <v>6442462077</v>
      </c>
      <c r="O8" s="62">
        <v>46087</v>
      </c>
      <c r="P8" s="63">
        <v>432960</v>
      </c>
      <c r="Q8" s="63"/>
      <c r="R8" s="27">
        <f>+Tabla1[[#This Row],[TOTAL]]-Tabla1[[#This Row],[PAGO]]</f>
        <v>432960</v>
      </c>
      <c r="S8" s="8" t="s">
        <v>110</v>
      </c>
      <c r="T8" s="25"/>
      <c r="U8" s="28"/>
      <c r="V8" s="28"/>
      <c r="W8" s="28">
        <v>27</v>
      </c>
      <c r="X8" s="3"/>
      <c r="Y8" s="3"/>
      <c r="Z8" s="3"/>
      <c r="AA8" s="3"/>
      <c r="AB8" s="3"/>
      <c r="AC8" s="3"/>
      <c r="AD8" s="3"/>
    </row>
    <row r="9" spans="1:30" s="39" customFormat="1" ht="12.75" x14ac:dyDescent="0.2">
      <c r="A9" s="12" t="s">
        <v>50</v>
      </c>
      <c r="B9" s="25">
        <v>46086</v>
      </c>
      <c r="C9" s="8"/>
      <c r="D9" s="8">
        <v>1928</v>
      </c>
      <c r="E9" s="26">
        <v>30330</v>
      </c>
      <c r="F9" s="8">
        <v>600</v>
      </c>
      <c r="G9" s="8"/>
      <c r="H9" s="8"/>
      <c r="I9" s="8"/>
      <c r="J9" s="8" t="s">
        <v>51</v>
      </c>
      <c r="K9" s="8"/>
      <c r="L9" s="8" t="s">
        <v>52</v>
      </c>
      <c r="M9" s="8" t="s">
        <v>53</v>
      </c>
      <c r="N9" s="8">
        <v>9981124764</v>
      </c>
      <c r="O9" s="25">
        <v>46088</v>
      </c>
      <c r="P9" s="27">
        <v>382520</v>
      </c>
      <c r="Q9" s="27">
        <v>382520</v>
      </c>
      <c r="R9" s="27">
        <f>+Tabla1[[#This Row],[TOTAL]]-Tabla1[[#This Row],[PAGO]]</f>
        <v>0</v>
      </c>
      <c r="S9" s="8" t="s">
        <v>45</v>
      </c>
      <c r="T9" s="25">
        <v>46112</v>
      </c>
      <c r="U9" s="28">
        <v>14.5</v>
      </c>
      <c r="V9" s="28">
        <v>11</v>
      </c>
      <c r="W9" s="28">
        <v>35.9</v>
      </c>
      <c r="X9" s="38"/>
      <c r="Y9" s="38"/>
      <c r="Z9" s="38"/>
      <c r="AA9" s="38"/>
      <c r="AB9" s="38"/>
      <c r="AC9" s="38"/>
      <c r="AD9" s="38"/>
    </row>
    <row r="10" spans="1:30" ht="12.75" x14ac:dyDescent="0.2">
      <c r="A10" s="12" t="s">
        <v>54</v>
      </c>
      <c r="B10" s="25">
        <v>46086</v>
      </c>
      <c r="C10" s="8"/>
      <c r="D10" s="8">
        <v>1928</v>
      </c>
      <c r="E10" s="26">
        <v>30320</v>
      </c>
      <c r="F10" s="8">
        <v>600</v>
      </c>
      <c r="G10" s="8"/>
      <c r="H10" s="8"/>
      <c r="I10" s="8"/>
      <c r="J10" s="61" t="s">
        <v>42</v>
      </c>
      <c r="K10" s="61"/>
      <c r="L10" s="61" t="s">
        <v>43</v>
      </c>
      <c r="M10" s="61" t="s">
        <v>55</v>
      </c>
      <c r="N10" s="61">
        <v>8113687191</v>
      </c>
      <c r="O10" s="62">
        <v>46088</v>
      </c>
      <c r="P10" s="65"/>
      <c r="Q10" s="63"/>
      <c r="R10" s="27">
        <f>+Tabla1[[#This Row],[TOTAL]]-Tabla1[[#This Row],[PAGO]]</f>
        <v>0</v>
      </c>
      <c r="S10" s="8"/>
      <c r="T10" s="25"/>
      <c r="U10" s="28"/>
      <c r="V10" s="28"/>
      <c r="W10" s="28">
        <v>33</v>
      </c>
      <c r="X10" s="3"/>
      <c r="Y10" s="3"/>
      <c r="Z10" s="3"/>
      <c r="AA10" s="3"/>
      <c r="AB10" s="3"/>
      <c r="AC10" s="3"/>
      <c r="AD10" s="3"/>
    </row>
    <row r="11" spans="1:30" ht="12.75" x14ac:dyDescent="0.2">
      <c r="A11" s="12" t="s">
        <v>56</v>
      </c>
      <c r="B11" s="25">
        <v>46087</v>
      </c>
      <c r="C11" s="8"/>
      <c r="D11" s="8">
        <v>1928</v>
      </c>
      <c r="E11" s="26">
        <v>30540</v>
      </c>
      <c r="F11" s="8">
        <v>600</v>
      </c>
      <c r="G11" s="8"/>
      <c r="H11" s="8"/>
      <c r="I11" s="8"/>
      <c r="J11" s="61" t="s">
        <v>57</v>
      </c>
      <c r="K11" s="62"/>
      <c r="L11" s="61" t="s">
        <v>58</v>
      </c>
      <c r="M11" s="61" t="s">
        <v>59</v>
      </c>
      <c r="N11" s="61">
        <v>5525317818</v>
      </c>
      <c r="O11" s="62">
        <v>46089</v>
      </c>
      <c r="P11" s="65"/>
      <c r="Q11" s="63"/>
      <c r="R11" s="27">
        <f>+Tabla1[[#This Row],[TOTAL]]-Tabla1[[#This Row],[PAGO]]</f>
        <v>0</v>
      </c>
      <c r="S11" s="8"/>
      <c r="T11" s="25"/>
      <c r="U11" s="28"/>
      <c r="V11" s="28"/>
      <c r="W11" s="28">
        <v>24</v>
      </c>
      <c r="X11" s="3"/>
      <c r="Y11" s="3"/>
      <c r="Z11" s="3"/>
      <c r="AA11" s="3"/>
      <c r="AB11" s="3"/>
      <c r="AC11" s="3"/>
      <c r="AD11" s="3"/>
    </row>
    <row r="12" spans="1:30" ht="12.75" x14ac:dyDescent="0.2">
      <c r="A12" s="12" t="s">
        <v>60</v>
      </c>
      <c r="B12" s="25">
        <v>46087</v>
      </c>
      <c r="C12" s="8"/>
      <c r="D12" s="8">
        <v>1928</v>
      </c>
      <c r="E12" s="26">
        <v>30480</v>
      </c>
      <c r="F12" s="8">
        <v>600</v>
      </c>
      <c r="G12" s="8"/>
      <c r="H12" s="8"/>
      <c r="I12" s="8"/>
      <c r="J12" s="61" t="s">
        <v>57</v>
      </c>
      <c r="K12" s="61"/>
      <c r="L12" s="61" t="s">
        <v>58</v>
      </c>
      <c r="M12" s="61" t="s">
        <v>61</v>
      </c>
      <c r="N12" s="61">
        <v>5531985876</v>
      </c>
      <c r="O12" s="62">
        <v>46089</v>
      </c>
      <c r="P12" s="65"/>
      <c r="Q12" s="63"/>
      <c r="R12" s="27">
        <f>+Tabla1[[#This Row],[TOTAL]]-Tabla1[[#This Row],[PAGO]]</f>
        <v>0</v>
      </c>
      <c r="S12" s="8"/>
      <c r="T12" s="25"/>
      <c r="U12" s="28"/>
      <c r="V12" s="28"/>
      <c r="W12" s="28">
        <v>24</v>
      </c>
      <c r="X12" s="3"/>
      <c r="Y12" s="3"/>
      <c r="Z12" s="3"/>
      <c r="AA12" s="3"/>
      <c r="AB12" s="3"/>
      <c r="AC12" s="3"/>
      <c r="AD12" s="3"/>
    </row>
    <row r="13" spans="1:30" ht="12.75" x14ac:dyDescent="0.2">
      <c r="A13" s="12" t="s">
        <v>62</v>
      </c>
      <c r="B13" s="25">
        <v>46088</v>
      </c>
      <c r="C13" s="8"/>
      <c r="D13" s="8">
        <v>1928</v>
      </c>
      <c r="E13" s="26">
        <v>30640</v>
      </c>
      <c r="F13" s="8">
        <v>600</v>
      </c>
      <c r="G13" s="8"/>
      <c r="H13" s="8"/>
      <c r="I13" s="8"/>
      <c r="J13" s="8" t="s">
        <v>63</v>
      </c>
      <c r="K13" s="8"/>
      <c r="L13" s="8" t="s">
        <v>43</v>
      </c>
      <c r="M13" s="8" t="s">
        <v>64</v>
      </c>
      <c r="N13" s="8">
        <v>6251527952</v>
      </c>
      <c r="O13" s="25">
        <v>46090</v>
      </c>
      <c r="P13" s="27">
        <v>441120</v>
      </c>
      <c r="Q13" s="27">
        <f>91050+350000</f>
        <v>441050</v>
      </c>
      <c r="R13" s="27"/>
      <c r="S13" s="8" t="s">
        <v>140</v>
      </c>
      <c r="T13" s="25">
        <v>46088</v>
      </c>
      <c r="U13" s="28">
        <v>16</v>
      </c>
      <c r="V13" s="28"/>
      <c r="W13" s="28">
        <v>33</v>
      </c>
      <c r="X13" s="3"/>
      <c r="Y13" s="3"/>
      <c r="Z13" s="3"/>
      <c r="AA13" s="3"/>
      <c r="AB13" s="3"/>
      <c r="AC13" s="3"/>
      <c r="AD13" s="3"/>
    </row>
    <row r="14" spans="1:30" ht="12.75" x14ac:dyDescent="0.2">
      <c r="A14" s="12" t="s">
        <v>65</v>
      </c>
      <c r="B14" s="25">
        <v>46088</v>
      </c>
      <c r="C14" s="8"/>
      <c r="D14" s="8">
        <v>1928</v>
      </c>
      <c r="E14" s="26">
        <v>30430</v>
      </c>
      <c r="F14" s="8">
        <v>600</v>
      </c>
      <c r="G14" s="8"/>
      <c r="H14" s="8"/>
      <c r="I14" s="8"/>
      <c r="J14" s="61" t="s">
        <v>38</v>
      </c>
      <c r="K14" s="61"/>
      <c r="L14" s="61" t="s">
        <v>66</v>
      </c>
      <c r="M14" s="61" t="s">
        <v>67</v>
      </c>
      <c r="N14" s="61">
        <v>4651078985</v>
      </c>
      <c r="O14" s="62">
        <v>46090</v>
      </c>
      <c r="P14" s="63">
        <v>431200</v>
      </c>
      <c r="Q14" s="63"/>
      <c r="R14" s="27">
        <f>+Tabla1[[#This Row],[TOTAL]]-Tabla1[[#This Row],[PAGO]]</f>
        <v>431200</v>
      </c>
      <c r="S14" s="8" t="s">
        <v>110</v>
      </c>
      <c r="T14" s="25"/>
      <c r="U14" s="28">
        <v>16</v>
      </c>
      <c r="V14" s="28"/>
      <c r="W14" s="28">
        <v>27</v>
      </c>
      <c r="X14" s="3"/>
      <c r="Y14" s="3"/>
      <c r="Z14" s="3"/>
      <c r="AA14" s="3"/>
      <c r="AB14" s="3"/>
      <c r="AC14" s="3"/>
      <c r="AD14" s="3"/>
    </row>
    <row r="15" spans="1:30" ht="12.75" x14ac:dyDescent="0.2">
      <c r="A15" s="12" t="s">
        <v>68</v>
      </c>
      <c r="B15" s="25">
        <v>46090</v>
      </c>
      <c r="C15" s="8"/>
      <c r="D15" s="8">
        <v>1928</v>
      </c>
      <c r="E15" s="26">
        <v>15280</v>
      </c>
      <c r="F15" s="8">
        <v>300</v>
      </c>
      <c r="G15" s="8"/>
      <c r="H15" s="8"/>
      <c r="I15" s="8"/>
      <c r="J15" s="61" t="s">
        <v>69</v>
      </c>
      <c r="K15" s="61"/>
      <c r="L15" s="61" t="s">
        <v>43</v>
      </c>
      <c r="M15" s="61" t="s">
        <v>70</v>
      </c>
      <c r="N15" s="61">
        <v>8261707430</v>
      </c>
      <c r="O15" s="62">
        <v>46092</v>
      </c>
      <c r="P15" s="65"/>
      <c r="Q15" s="63">
        <v>200000</v>
      </c>
      <c r="R15" s="27"/>
      <c r="S15" s="8" t="s">
        <v>28</v>
      </c>
      <c r="T15" s="25"/>
      <c r="U15" s="28"/>
      <c r="V15" s="28"/>
      <c r="W15" s="28">
        <v>33</v>
      </c>
      <c r="X15" s="3"/>
      <c r="Y15" s="3"/>
      <c r="Z15" s="3"/>
      <c r="AA15" s="3"/>
      <c r="AB15" s="3"/>
      <c r="AC15" s="3"/>
      <c r="AD15" s="3"/>
    </row>
    <row r="16" spans="1:30" ht="12.75" x14ac:dyDescent="0.2">
      <c r="A16" s="12" t="s">
        <v>71</v>
      </c>
      <c r="B16" s="25">
        <v>46090</v>
      </c>
      <c r="C16" s="8"/>
      <c r="D16" s="8">
        <v>1928</v>
      </c>
      <c r="E16" s="26">
        <v>30560</v>
      </c>
      <c r="F16" s="8">
        <v>600</v>
      </c>
      <c r="G16" s="8"/>
      <c r="H16" s="8"/>
      <c r="I16" s="8"/>
      <c r="J16" s="61" t="s">
        <v>69</v>
      </c>
      <c r="K16" s="61"/>
      <c r="L16" s="61" t="s">
        <v>72</v>
      </c>
      <c r="M16" s="61" t="s">
        <v>73</v>
      </c>
      <c r="N16" s="61">
        <v>3411620837</v>
      </c>
      <c r="O16" s="62">
        <v>46092</v>
      </c>
      <c r="P16" s="65"/>
      <c r="Q16" s="63">
        <v>300000</v>
      </c>
      <c r="R16" s="27"/>
      <c r="S16" s="8" t="s">
        <v>28</v>
      </c>
      <c r="T16" s="25"/>
      <c r="U16" s="28"/>
      <c r="V16" s="28"/>
      <c r="W16" s="28">
        <v>25</v>
      </c>
      <c r="X16" s="3"/>
      <c r="Y16" s="3"/>
      <c r="Z16" s="3"/>
      <c r="AA16" s="3"/>
      <c r="AB16" s="3"/>
      <c r="AC16" s="3"/>
      <c r="AD16" s="3"/>
    </row>
    <row r="17" spans="1:30" ht="12.75" x14ac:dyDescent="0.2">
      <c r="A17" s="12" t="s">
        <v>74</v>
      </c>
      <c r="B17" s="25">
        <v>46090</v>
      </c>
      <c r="C17" s="8"/>
      <c r="D17" s="8">
        <v>1928</v>
      </c>
      <c r="E17" s="26">
        <v>30790</v>
      </c>
      <c r="F17" s="8">
        <v>600</v>
      </c>
      <c r="G17" s="8"/>
      <c r="H17" s="8"/>
      <c r="I17" s="8"/>
      <c r="J17" s="8" t="s">
        <v>75</v>
      </c>
      <c r="K17" s="8"/>
      <c r="L17" s="8" t="s">
        <v>35</v>
      </c>
      <c r="M17" s="8" t="s">
        <v>76</v>
      </c>
      <c r="N17" s="8">
        <v>6694034337</v>
      </c>
      <c r="O17" s="25">
        <v>46092</v>
      </c>
      <c r="P17" s="27">
        <v>298100</v>
      </c>
      <c r="Q17" s="27">
        <f>120000+178100</f>
        <v>298100</v>
      </c>
      <c r="R17" s="27">
        <f>+Tabla1[[#This Row],[TOTAL]]-Tabla1[[#This Row],[PAGO]]</f>
        <v>0</v>
      </c>
      <c r="S17" s="8" t="s">
        <v>140</v>
      </c>
      <c r="T17" s="25">
        <v>46120</v>
      </c>
      <c r="U17" s="28">
        <v>11</v>
      </c>
      <c r="V17" s="28"/>
      <c r="W17" s="28">
        <v>23</v>
      </c>
      <c r="X17" s="3"/>
      <c r="Y17" s="3"/>
      <c r="Z17" s="3"/>
      <c r="AA17" s="3"/>
      <c r="AB17" s="3"/>
      <c r="AC17" s="3"/>
      <c r="AD17" s="3"/>
    </row>
    <row r="18" spans="1:30" ht="12.75" x14ac:dyDescent="0.2">
      <c r="A18" s="12" t="s">
        <v>77</v>
      </c>
      <c r="B18" s="25">
        <v>46091</v>
      </c>
      <c r="C18" s="8"/>
      <c r="D18" s="8">
        <v>1928</v>
      </c>
      <c r="E18" s="26">
        <v>30860</v>
      </c>
      <c r="F18" s="8">
        <v>600</v>
      </c>
      <c r="G18" s="8"/>
      <c r="H18" s="8"/>
      <c r="I18" s="8"/>
      <c r="J18" s="8" t="s">
        <v>78</v>
      </c>
      <c r="K18" s="8"/>
      <c r="L18" s="8" t="s">
        <v>79</v>
      </c>
      <c r="M18" s="8" t="s">
        <v>80</v>
      </c>
      <c r="N18" s="8">
        <v>4422372733</v>
      </c>
      <c r="O18" s="25">
        <v>46093</v>
      </c>
      <c r="P18" s="27">
        <v>417600</v>
      </c>
      <c r="Q18" s="27">
        <v>417600</v>
      </c>
      <c r="R18" s="27">
        <f>+Tabla1[[#This Row],[TOTAL]]-Tabla1[[#This Row],[PAGO]]</f>
        <v>0</v>
      </c>
      <c r="S18" s="8" t="s">
        <v>140</v>
      </c>
      <c r="T18" s="25">
        <v>46100</v>
      </c>
      <c r="U18" s="28">
        <v>15</v>
      </c>
      <c r="V18" s="28"/>
      <c r="W18" s="28">
        <v>20</v>
      </c>
      <c r="X18" s="3"/>
      <c r="Y18" s="3"/>
      <c r="Z18" s="3"/>
      <c r="AA18" s="3"/>
      <c r="AB18" s="3"/>
      <c r="AC18" s="3"/>
      <c r="AD18" s="3"/>
    </row>
    <row r="19" spans="1:30" ht="12.75" x14ac:dyDescent="0.2">
      <c r="A19" s="12" t="s">
        <v>81</v>
      </c>
      <c r="B19" s="25">
        <v>46091</v>
      </c>
      <c r="C19" s="8"/>
      <c r="D19" s="8">
        <v>1928</v>
      </c>
      <c r="E19" s="26">
        <v>30550</v>
      </c>
      <c r="F19" s="8">
        <v>400</v>
      </c>
      <c r="G19" s="8">
        <v>200</v>
      </c>
      <c r="H19" s="8"/>
      <c r="I19" s="8"/>
      <c r="J19" s="8" t="s">
        <v>82</v>
      </c>
      <c r="K19" s="8"/>
      <c r="L19" s="8" t="s">
        <v>83</v>
      </c>
      <c r="M19" s="8" t="s">
        <v>84</v>
      </c>
      <c r="N19" s="8">
        <v>4521003379</v>
      </c>
      <c r="O19" s="25">
        <v>46093</v>
      </c>
      <c r="P19" s="27">
        <v>369000</v>
      </c>
      <c r="Q19" s="27">
        <f>108886+240000+20714</f>
        <v>369600</v>
      </c>
      <c r="R19" s="27">
        <f>+Tabla1[[#This Row],[TOTAL]]-Tabla1[[#This Row],[PAGO]]</f>
        <v>-600</v>
      </c>
      <c r="S19" s="8" t="s">
        <v>140</v>
      </c>
      <c r="T19" s="25">
        <v>46140</v>
      </c>
      <c r="U19" s="28">
        <v>16</v>
      </c>
      <c r="V19" s="28">
        <v>10</v>
      </c>
      <c r="W19" s="28">
        <v>23</v>
      </c>
      <c r="X19" s="3"/>
      <c r="Y19" s="3"/>
      <c r="Z19" s="3"/>
      <c r="AA19" s="3"/>
      <c r="AB19" s="3"/>
      <c r="AC19" s="3"/>
      <c r="AD19" s="3"/>
    </row>
    <row r="20" spans="1:30" ht="12.75" x14ac:dyDescent="0.2">
      <c r="A20" s="12" t="s">
        <v>85</v>
      </c>
      <c r="B20" s="25">
        <v>46091</v>
      </c>
      <c r="C20" s="8"/>
      <c r="D20" s="8">
        <v>1928</v>
      </c>
      <c r="E20" s="26">
        <v>30600</v>
      </c>
      <c r="F20" s="8">
        <v>600</v>
      </c>
      <c r="G20" s="8"/>
      <c r="H20" s="8"/>
      <c r="I20" s="8"/>
      <c r="J20" s="8" t="s">
        <v>42</v>
      </c>
      <c r="K20" s="8"/>
      <c r="L20" s="8" t="s">
        <v>43</v>
      </c>
      <c r="M20" s="8" t="s">
        <v>86</v>
      </c>
      <c r="N20" s="8">
        <v>6251463217</v>
      </c>
      <c r="O20" s="25">
        <v>46093</v>
      </c>
      <c r="P20" s="27">
        <v>444160</v>
      </c>
      <c r="Q20" s="27">
        <v>444160</v>
      </c>
      <c r="R20" s="27">
        <f>+Tabla1[[#This Row],[TOTAL]]-Tabla1[[#This Row],[PAGO]]</f>
        <v>0</v>
      </c>
      <c r="S20" s="8" t="s">
        <v>140</v>
      </c>
      <c r="T20" s="25">
        <v>46108</v>
      </c>
      <c r="U20" s="28">
        <v>18</v>
      </c>
      <c r="V20" s="28"/>
      <c r="W20" s="28">
        <v>33</v>
      </c>
      <c r="X20" s="3"/>
      <c r="Y20" s="3"/>
      <c r="Z20" s="3"/>
      <c r="AA20" s="3"/>
      <c r="AB20" s="3"/>
      <c r="AC20" s="3"/>
      <c r="AD20" s="3"/>
    </row>
    <row r="21" spans="1:30" ht="12.75" x14ac:dyDescent="0.2">
      <c r="A21" s="12" t="s">
        <v>87</v>
      </c>
      <c r="B21" s="25">
        <v>46092</v>
      </c>
      <c r="C21" s="8"/>
      <c r="D21" s="8">
        <v>1928</v>
      </c>
      <c r="E21" s="26">
        <v>30900</v>
      </c>
      <c r="F21" s="8">
        <v>600</v>
      </c>
      <c r="G21" s="8"/>
      <c r="H21" s="8"/>
      <c r="I21" s="8"/>
      <c r="J21" s="61" t="s">
        <v>47</v>
      </c>
      <c r="K21" s="61"/>
      <c r="L21" s="61" t="s">
        <v>48</v>
      </c>
      <c r="M21" s="61" t="s">
        <v>88</v>
      </c>
      <c r="N21" s="61">
        <v>6142256686</v>
      </c>
      <c r="O21" s="62">
        <v>46093</v>
      </c>
      <c r="P21" s="66">
        <v>413250</v>
      </c>
      <c r="Q21" s="63"/>
      <c r="R21" s="27">
        <f>+Tabla1[[#This Row],[TOTAL]]-Tabla1[[#This Row],[PAGO]]</f>
        <v>413250</v>
      </c>
      <c r="S21" s="8"/>
      <c r="T21" s="25"/>
      <c r="U21" s="28"/>
      <c r="V21" s="28"/>
      <c r="W21" s="28">
        <v>26</v>
      </c>
      <c r="X21" s="3"/>
      <c r="Y21" s="3"/>
      <c r="Z21" s="3"/>
      <c r="AA21" s="3"/>
      <c r="AB21" s="3"/>
      <c r="AC21" s="3"/>
      <c r="AD21" s="3"/>
    </row>
    <row r="22" spans="1:30" ht="12.75" x14ac:dyDescent="0.2">
      <c r="A22" s="12" t="s">
        <v>89</v>
      </c>
      <c r="B22" s="25">
        <v>46092</v>
      </c>
      <c r="C22" s="8"/>
      <c r="D22" s="8">
        <v>1928</v>
      </c>
      <c r="E22" s="26">
        <v>30680</v>
      </c>
      <c r="F22" s="8">
        <v>600</v>
      </c>
      <c r="G22" s="8"/>
      <c r="H22" s="8"/>
      <c r="I22" s="8"/>
      <c r="J22" s="61" t="s">
        <v>90</v>
      </c>
      <c r="K22" s="61"/>
      <c r="L22" s="61" t="s">
        <v>91</v>
      </c>
      <c r="M22" s="61" t="s">
        <v>32</v>
      </c>
      <c r="N22" s="61">
        <v>6442062694</v>
      </c>
      <c r="O22" s="62">
        <v>46094</v>
      </c>
      <c r="P22" s="63">
        <v>412050</v>
      </c>
      <c r="Q22" s="63"/>
      <c r="R22" s="27">
        <f>+Tabla1[[#This Row],[TOTAL]]-Tabla1[[#This Row],[PAGO]]</f>
        <v>412050</v>
      </c>
      <c r="S22" s="8" t="s">
        <v>110</v>
      </c>
      <c r="T22" s="25"/>
      <c r="U22" s="28">
        <v>15</v>
      </c>
      <c r="V22" s="28"/>
      <c r="W22" s="28">
        <v>23.5</v>
      </c>
      <c r="X22" s="3"/>
      <c r="Y22" s="3"/>
      <c r="Z22" s="3"/>
      <c r="AA22" s="3"/>
      <c r="AB22" s="3"/>
      <c r="AC22" s="3"/>
      <c r="AD22" s="3"/>
    </row>
    <row r="23" spans="1:30" ht="12.75" x14ac:dyDescent="0.2">
      <c r="A23" s="12" t="s">
        <v>92</v>
      </c>
      <c r="B23" s="25">
        <v>46093</v>
      </c>
      <c r="C23" s="8"/>
      <c r="D23" s="8">
        <v>1928</v>
      </c>
      <c r="E23" s="26">
        <v>30590</v>
      </c>
      <c r="F23" s="8">
        <v>600</v>
      </c>
      <c r="G23" s="8"/>
      <c r="H23" s="8"/>
      <c r="I23" s="8"/>
      <c r="J23" s="8" t="s">
        <v>42</v>
      </c>
      <c r="K23" s="8"/>
      <c r="L23" s="8" t="s">
        <v>43</v>
      </c>
      <c r="M23" s="8" t="s">
        <v>93</v>
      </c>
      <c r="N23" s="8">
        <v>6141004131</v>
      </c>
      <c r="O23" s="25">
        <v>46095</v>
      </c>
      <c r="P23" s="27">
        <v>403500</v>
      </c>
      <c r="Q23" s="27">
        <v>403500</v>
      </c>
      <c r="R23" s="27">
        <f>+Tabla1[[#This Row],[TOTAL]]-Tabla1[[#This Row],[PAGO]]</f>
        <v>0</v>
      </c>
      <c r="S23" s="8" t="s">
        <v>140</v>
      </c>
      <c r="T23" s="25">
        <v>46093</v>
      </c>
      <c r="U23" s="28">
        <v>15</v>
      </c>
      <c r="V23" s="28"/>
      <c r="W23" s="28">
        <v>33</v>
      </c>
      <c r="X23" s="3"/>
      <c r="Y23" s="3"/>
      <c r="Z23" s="3"/>
      <c r="AA23" s="3"/>
      <c r="AB23" s="3"/>
      <c r="AC23" s="3"/>
      <c r="AD23" s="3"/>
    </row>
    <row r="24" spans="1:30" ht="12.75" x14ac:dyDescent="0.2">
      <c r="A24" s="12" t="s">
        <v>94</v>
      </c>
      <c r="B24" s="25">
        <v>46101</v>
      </c>
      <c r="C24" s="8"/>
      <c r="D24" s="8">
        <v>405</v>
      </c>
      <c r="E24" s="26">
        <v>30210</v>
      </c>
      <c r="F24" s="8">
        <v>600</v>
      </c>
      <c r="G24" s="8"/>
      <c r="H24" s="8"/>
      <c r="I24" s="8"/>
      <c r="J24" s="8" t="s">
        <v>95</v>
      </c>
      <c r="K24" s="8"/>
      <c r="L24" s="8" t="s">
        <v>96</v>
      </c>
      <c r="M24" s="8" t="s">
        <v>97</v>
      </c>
      <c r="N24" s="8">
        <v>7611038417</v>
      </c>
      <c r="O24" s="25">
        <v>46103</v>
      </c>
      <c r="P24" s="27">
        <v>390880</v>
      </c>
      <c r="Q24" s="27">
        <v>400000</v>
      </c>
      <c r="R24" s="27"/>
      <c r="S24" s="8" t="s">
        <v>140</v>
      </c>
      <c r="T24" s="25">
        <v>46102</v>
      </c>
      <c r="U24" s="28"/>
      <c r="V24" s="28"/>
      <c r="W24" s="28">
        <v>20</v>
      </c>
      <c r="X24" s="3"/>
      <c r="Y24" s="3"/>
      <c r="Z24" s="3"/>
      <c r="AA24" s="3"/>
      <c r="AB24" s="3"/>
      <c r="AC24" s="3"/>
      <c r="AD24" s="3"/>
    </row>
    <row r="25" spans="1:30" ht="12.75" x14ac:dyDescent="0.2">
      <c r="A25" s="12" t="s">
        <v>98</v>
      </c>
      <c r="B25" s="25">
        <v>46101</v>
      </c>
      <c r="C25" s="8"/>
      <c r="D25" s="8">
        <v>405</v>
      </c>
      <c r="E25" s="26">
        <v>30050</v>
      </c>
      <c r="F25" s="8">
        <v>600</v>
      </c>
      <c r="G25" s="8"/>
      <c r="H25" s="8"/>
      <c r="I25" s="8"/>
      <c r="J25" s="61" t="s">
        <v>38</v>
      </c>
      <c r="K25" s="61"/>
      <c r="L25" s="61" t="s">
        <v>99</v>
      </c>
      <c r="M25" s="61" t="s">
        <v>100</v>
      </c>
      <c r="N25" s="61">
        <v>4441652219</v>
      </c>
      <c r="O25" s="62">
        <v>46104</v>
      </c>
      <c r="P25" s="65"/>
      <c r="Q25" s="63"/>
      <c r="R25" s="27">
        <f>+Tabla1[[#This Row],[TOTAL]]-Tabla1[[#This Row],[PAGO]]</f>
        <v>0</v>
      </c>
      <c r="S25" s="8"/>
      <c r="T25" s="25"/>
      <c r="U25" s="28"/>
      <c r="V25" s="28"/>
      <c r="W25" s="28">
        <v>30</v>
      </c>
      <c r="X25" s="3"/>
      <c r="Y25" s="3"/>
      <c r="Z25" s="3"/>
      <c r="AA25" s="3"/>
      <c r="AB25" s="3"/>
      <c r="AC25" s="3"/>
      <c r="AD25" s="3"/>
    </row>
    <row r="26" spans="1:30" ht="12.75" x14ac:dyDescent="0.2">
      <c r="A26" s="12" t="s">
        <v>101</v>
      </c>
      <c r="B26" s="25">
        <v>46101</v>
      </c>
      <c r="C26" s="8"/>
      <c r="D26" s="8">
        <v>405</v>
      </c>
      <c r="E26" s="26">
        <v>30120</v>
      </c>
      <c r="F26" s="8">
        <v>600</v>
      </c>
      <c r="G26" s="8"/>
      <c r="H26" s="8"/>
      <c r="I26" s="8"/>
      <c r="J26" s="8" t="s">
        <v>78</v>
      </c>
      <c r="K26" s="8"/>
      <c r="L26" s="8" t="s">
        <v>79</v>
      </c>
      <c r="M26" s="8" t="s">
        <v>102</v>
      </c>
      <c r="N26" s="8">
        <v>6441720430</v>
      </c>
      <c r="O26" s="25">
        <v>46104</v>
      </c>
      <c r="P26" s="27">
        <v>412200</v>
      </c>
      <c r="Q26" s="27">
        <v>412200</v>
      </c>
      <c r="R26" s="27">
        <f>+Tabla1[[#This Row],[TOTAL]]-Tabla1[[#This Row],[PAGO]]</f>
        <v>0</v>
      </c>
      <c r="S26" s="8" t="s">
        <v>140</v>
      </c>
      <c r="T26" s="25">
        <v>46104</v>
      </c>
      <c r="U26" s="28">
        <v>15</v>
      </c>
      <c r="V26" s="28"/>
      <c r="W26" s="28">
        <v>20</v>
      </c>
      <c r="X26" s="3"/>
      <c r="Y26" s="3"/>
      <c r="Z26" s="3"/>
      <c r="AA26" s="3"/>
      <c r="AB26" s="3"/>
      <c r="AC26" s="3"/>
      <c r="AD26" s="3"/>
    </row>
    <row r="27" spans="1:30" ht="12.75" x14ac:dyDescent="0.2">
      <c r="A27" s="12" t="s">
        <v>103</v>
      </c>
      <c r="B27" s="25">
        <v>46101</v>
      </c>
      <c r="C27" s="8"/>
      <c r="D27" s="8">
        <v>405</v>
      </c>
      <c r="E27" s="26">
        <v>29920</v>
      </c>
      <c r="F27" s="8">
        <v>600</v>
      </c>
      <c r="G27" s="8"/>
      <c r="H27" s="8"/>
      <c r="I27" s="8"/>
      <c r="J27" s="8" t="s">
        <v>104</v>
      </c>
      <c r="K27" s="8"/>
      <c r="L27" s="8" t="s">
        <v>105</v>
      </c>
      <c r="M27" s="8" t="s">
        <v>106</v>
      </c>
      <c r="N27" s="8">
        <v>5662215067</v>
      </c>
      <c r="O27" s="25">
        <v>46104</v>
      </c>
      <c r="P27" s="27">
        <v>375200</v>
      </c>
      <c r="Q27" s="27">
        <v>375200</v>
      </c>
      <c r="R27" s="27">
        <f>+Tabla1[[#This Row],[TOTAL]]-Tabla1[[#This Row],[PAGO]]</f>
        <v>0</v>
      </c>
      <c r="S27" s="8" t="s">
        <v>140</v>
      </c>
      <c r="T27" s="25">
        <v>46128</v>
      </c>
      <c r="U27" s="28">
        <v>14</v>
      </c>
      <c r="V27" s="28"/>
      <c r="W27" s="28">
        <v>18</v>
      </c>
      <c r="X27" s="3"/>
      <c r="Y27" s="3"/>
      <c r="Z27" s="3"/>
      <c r="AA27" s="3"/>
      <c r="AB27" s="3"/>
      <c r="AC27" s="3"/>
      <c r="AD27" s="3"/>
    </row>
    <row r="28" spans="1:30" ht="12.75" x14ac:dyDescent="0.2">
      <c r="A28" s="12" t="s">
        <v>98</v>
      </c>
      <c r="B28" s="25">
        <v>46101</v>
      </c>
      <c r="C28" s="8"/>
      <c r="D28" s="8">
        <v>405</v>
      </c>
      <c r="E28" s="26">
        <v>30050</v>
      </c>
      <c r="F28" s="8">
        <v>600</v>
      </c>
      <c r="G28" s="8"/>
      <c r="H28" s="8"/>
      <c r="I28" s="8"/>
      <c r="J28" s="61" t="s">
        <v>38</v>
      </c>
      <c r="K28" s="61"/>
      <c r="L28" s="61" t="s">
        <v>99</v>
      </c>
      <c r="M28" s="61" t="s">
        <v>107</v>
      </c>
      <c r="N28" s="61">
        <v>4772948609</v>
      </c>
      <c r="O28" s="62">
        <v>46104</v>
      </c>
      <c r="P28" s="65"/>
      <c r="Q28" s="63"/>
      <c r="R28" s="27">
        <f>+Tabla1[[#This Row],[TOTAL]]-Tabla1[[#This Row],[PAGO]]</f>
        <v>0</v>
      </c>
      <c r="S28" s="8"/>
      <c r="T28" s="25"/>
      <c r="U28" s="28"/>
      <c r="V28" s="28"/>
      <c r="W28" s="28">
        <v>30</v>
      </c>
      <c r="X28" s="3"/>
      <c r="Y28" s="3"/>
      <c r="Z28" s="3"/>
      <c r="AA28" s="3"/>
      <c r="AB28" s="3"/>
      <c r="AC28" s="3"/>
      <c r="AD28" s="3"/>
    </row>
    <row r="29" spans="1:30" ht="12.75" x14ac:dyDescent="0.2">
      <c r="A29" s="12" t="s">
        <v>108</v>
      </c>
      <c r="B29" s="25">
        <v>46104</v>
      </c>
      <c r="C29" s="8"/>
      <c r="D29" s="8">
        <v>405</v>
      </c>
      <c r="E29" s="26">
        <v>31160</v>
      </c>
      <c r="F29" s="8">
        <v>500</v>
      </c>
      <c r="G29" s="8">
        <v>100</v>
      </c>
      <c r="H29" s="8"/>
      <c r="I29" s="8"/>
      <c r="J29" s="8" t="s">
        <v>30</v>
      </c>
      <c r="K29" s="8"/>
      <c r="L29" s="8" t="s">
        <v>31</v>
      </c>
      <c r="M29" s="8" t="s">
        <v>109</v>
      </c>
      <c r="N29" s="8">
        <v>3334703236</v>
      </c>
      <c r="O29" s="25">
        <f>+Tabla1[[#This Row],[FECHA SALIDA]]+2</f>
        <v>46106</v>
      </c>
      <c r="P29" s="27">
        <v>443744</v>
      </c>
      <c r="Q29" s="27">
        <v>443744</v>
      </c>
      <c r="R29" s="27">
        <f>+Tabla1[[#This Row],[TOTAL]]-Tabla1[[#This Row],[PAGO]]</f>
        <v>0</v>
      </c>
      <c r="S29" s="8" t="s">
        <v>140</v>
      </c>
      <c r="T29" s="25">
        <v>46107</v>
      </c>
      <c r="U29" s="28">
        <v>16</v>
      </c>
      <c r="V29" s="28">
        <v>12</v>
      </c>
      <c r="W29" s="28">
        <v>22</v>
      </c>
      <c r="X29" s="3"/>
      <c r="Y29" s="3"/>
      <c r="Z29" s="3"/>
      <c r="AA29" s="3"/>
      <c r="AB29" s="3"/>
      <c r="AC29" s="3"/>
      <c r="AD29" s="3"/>
    </row>
    <row r="30" spans="1:30" ht="12.75" x14ac:dyDescent="0.2">
      <c r="A30" s="12" t="s">
        <v>111</v>
      </c>
      <c r="B30" s="25">
        <v>46106</v>
      </c>
      <c r="C30" s="8"/>
      <c r="D30" s="8">
        <v>405</v>
      </c>
      <c r="E30" s="26">
        <v>31440</v>
      </c>
      <c r="F30" s="8">
        <v>600</v>
      </c>
      <c r="G30" s="8"/>
      <c r="H30" s="8"/>
      <c r="I30" s="8"/>
      <c r="J30" s="61" t="s">
        <v>38</v>
      </c>
      <c r="K30" s="61"/>
      <c r="L30" s="61" t="s">
        <v>39</v>
      </c>
      <c r="M30" s="61" t="s">
        <v>112</v>
      </c>
      <c r="N30" s="61">
        <v>8444934909</v>
      </c>
      <c r="O30" s="62">
        <v>46108</v>
      </c>
      <c r="P30" s="65"/>
      <c r="Q30" s="63"/>
      <c r="R30" s="27">
        <f>+Tabla1[[#This Row],[TOTAL]]-Tabla1[[#This Row],[PAGO]]</f>
        <v>0</v>
      </c>
      <c r="S30" s="8"/>
      <c r="T30" s="25"/>
      <c r="U30" s="28"/>
      <c r="V30" s="28"/>
      <c r="W30" s="28">
        <v>25</v>
      </c>
      <c r="X30" s="3"/>
      <c r="Y30" s="3"/>
      <c r="Z30" s="3"/>
      <c r="AA30" s="3"/>
      <c r="AB30" s="3"/>
      <c r="AC30" s="3"/>
      <c r="AD30" s="3"/>
    </row>
    <row r="31" spans="1:30" ht="12.75" x14ac:dyDescent="0.2">
      <c r="A31" s="12" t="s">
        <v>113</v>
      </c>
      <c r="B31" s="25">
        <v>46106</v>
      </c>
      <c r="C31" s="8"/>
      <c r="D31" s="8">
        <v>405</v>
      </c>
      <c r="E31" s="26">
        <v>31000</v>
      </c>
      <c r="F31" s="8">
        <v>600</v>
      </c>
      <c r="G31" s="8"/>
      <c r="H31" s="8"/>
      <c r="I31" s="8"/>
      <c r="J31" s="8" t="s">
        <v>63</v>
      </c>
      <c r="K31" s="8"/>
      <c r="L31" s="8" t="s">
        <v>43</v>
      </c>
      <c r="M31" s="8" t="s">
        <v>114</v>
      </c>
      <c r="N31" s="8">
        <v>15092748188</v>
      </c>
      <c r="O31" s="25">
        <f>+Tabla1[[#This Row],[FECHA SALIDA]]+2</f>
        <v>46108</v>
      </c>
      <c r="P31" s="27">
        <v>490968</v>
      </c>
      <c r="Q31" s="27">
        <f>200000+287600+3368</f>
        <v>490968</v>
      </c>
      <c r="R31" s="27">
        <f>+Tabla1[[#This Row],[TOTAL]]-Tabla1[[#This Row],[PAGO]]</f>
        <v>0</v>
      </c>
      <c r="S31" s="8" t="s">
        <v>140</v>
      </c>
      <c r="T31" s="25">
        <v>46121</v>
      </c>
      <c r="U31" s="28">
        <v>18</v>
      </c>
      <c r="V31" s="28"/>
      <c r="W31" s="28">
        <v>25</v>
      </c>
      <c r="X31" s="3"/>
      <c r="Y31" s="3"/>
      <c r="Z31" s="3"/>
      <c r="AA31" s="3"/>
      <c r="AB31" s="3"/>
      <c r="AC31" s="3"/>
      <c r="AD31" s="3"/>
    </row>
    <row r="32" spans="1:30" ht="12.75" x14ac:dyDescent="0.2">
      <c r="A32" s="12" t="s">
        <v>115</v>
      </c>
      <c r="B32" s="25">
        <v>46107</v>
      </c>
      <c r="C32" s="8"/>
      <c r="D32" s="8">
        <v>405</v>
      </c>
      <c r="E32" s="26">
        <v>30870</v>
      </c>
      <c r="F32" s="8">
        <v>300</v>
      </c>
      <c r="G32" s="8">
        <v>300</v>
      </c>
      <c r="H32" s="8"/>
      <c r="I32" s="8"/>
      <c r="J32" s="61" t="s">
        <v>25</v>
      </c>
      <c r="K32" s="61"/>
      <c r="L32" s="61" t="s">
        <v>26</v>
      </c>
      <c r="M32" s="61" t="s">
        <v>116</v>
      </c>
      <c r="N32" s="61">
        <v>5545389067</v>
      </c>
      <c r="O32" s="62">
        <v>46109</v>
      </c>
      <c r="P32" s="63">
        <v>382050</v>
      </c>
      <c r="Q32" s="63">
        <f>100000+53065</f>
        <v>153065</v>
      </c>
      <c r="R32" s="27">
        <f>+Tabla1[[#This Row],[TOTAL]]-Tabla1[[#This Row],[PAGO]]</f>
        <v>228985</v>
      </c>
      <c r="S32" s="8" t="s">
        <v>110</v>
      </c>
      <c r="T32" s="25"/>
      <c r="U32" s="28"/>
      <c r="V32" s="28"/>
      <c r="W32" s="28">
        <v>22</v>
      </c>
      <c r="X32" s="3"/>
      <c r="Y32" s="3"/>
      <c r="Z32" s="3"/>
      <c r="AA32" s="3"/>
      <c r="AB32" s="3"/>
      <c r="AC32" s="3"/>
      <c r="AD32" s="3"/>
    </row>
    <row r="33" spans="1:30" ht="12.75" x14ac:dyDescent="0.2">
      <c r="A33" s="12" t="s">
        <v>117</v>
      </c>
      <c r="B33" s="25">
        <v>46107</v>
      </c>
      <c r="C33" s="8"/>
      <c r="D33" s="8">
        <v>405</v>
      </c>
      <c r="E33" s="26">
        <v>31150</v>
      </c>
      <c r="F33" s="8"/>
      <c r="G33" s="8">
        <v>600</v>
      </c>
      <c r="H33" s="8"/>
      <c r="I33" s="8"/>
      <c r="J33" s="8" t="s">
        <v>118</v>
      </c>
      <c r="K33" s="8"/>
      <c r="L33" s="8" t="s">
        <v>119</v>
      </c>
      <c r="M33" s="8" t="s">
        <v>120</v>
      </c>
      <c r="N33" s="8">
        <v>6682258643</v>
      </c>
      <c r="O33" s="25">
        <v>46109</v>
      </c>
      <c r="P33" s="27">
        <v>381510</v>
      </c>
      <c r="Q33" s="27">
        <f>300000+82050</f>
        <v>382050</v>
      </c>
      <c r="R33" s="27"/>
      <c r="S33" s="8" t="s">
        <v>140</v>
      </c>
      <c r="T33" s="25">
        <v>46128</v>
      </c>
      <c r="U33" s="28"/>
      <c r="V33" s="28">
        <v>13.5</v>
      </c>
      <c r="W33" s="28">
        <v>22</v>
      </c>
      <c r="X33" s="3"/>
      <c r="Y33" s="3"/>
      <c r="Z33" s="3"/>
      <c r="AA33" s="3"/>
      <c r="AB33" s="3"/>
      <c r="AC33" s="3"/>
      <c r="AD33" s="3"/>
    </row>
    <row r="34" spans="1:30" ht="12.75" x14ac:dyDescent="0.2">
      <c r="A34" s="12" t="s">
        <v>121</v>
      </c>
      <c r="B34" s="25">
        <v>46107</v>
      </c>
      <c r="C34" s="8"/>
      <c r="D34" s="8">
        <v>405</v>
      </c>
      <c r="E34" s="26">
        <v>31080</v>
      </c>
      <c r="F34" s="8">
        <v>600</v>
      </c>
      <c r="G34" s="8"/>
      <c r="H34" s="8"/>
      <c r="I34" s="8"/>
      <c r="J34" s="8" t="s">
        <v>122</v>
      </c>
      <c r="K34" s="8"/>
      <c r="L34" s="8" t="s">
        <v>43</v>
      </c>
      <c r="M34" s="8" t="s">
        <v>123</v>
      </c>
      <c r="N34" s="8">
        <v>6251037565</v>
      </c>
      <c r="O34" s="25">
        <v>46109</v>
      </c>
      <c r="P34" s="27">
        <v>473040</v>
      </c>
      <c r="Q34" s="27">
        <v>473040</v>
      </c>
      <c r="R34" s="27">
        <f>+Tabla1[[#This Row],[TOTAL]]-Tabla1[[#This Row],[PAGO]]</f>
        <v>0</v>
      </c>
      <c r="S34" s="8" t="s">
        <v>140</v>
      </c>
      <c r="T34" s="25">
        <v>46125</v>
      </c>
      <c r="U34" s="28"/>
      <c r="V34" s="28"/>
      <c r="W34" s="28">
        <v>25</v>
      </c>
      <c r="X34" s="3"/>
      <c r="Y34" s="3"/>
      <c r="Z34" s="3"/>
      <c r="AA34" s="3"/>
      <c r="AB34" s="3"/>
      <c r="AC34" s="3"/>
      <c r="AD34" s="3"/>
    </row>
    <row r="35" spans="1:30" s="39" customFormat="1" ht="12.75" x14ac:dyDescent="0.2">
      <c r="A35" s="12" t="s">
        <v>124</v>
      </c>
      <c r="B35" s="25">
        <v>46107</v>
      </c>
      <c r="C35" s="8"/>
      <c r="D35" s="8">
        <v>405</v>
      </c>
      <c r="E35" s="26">
        <v>30670</v>
      </c>
      <c r="F35" s="8">
        <v>300</v>
      </c>
      <c r="G35" s="8">
        <v>300</v>
      </c>
      <c r="H35" s="8"/>
      <c r="I35" s="8"/>
      <c r="J35" s="8" t="s">
        <v>125</v>
      </c>
      <c r="K35" s="8"/>
      <c r="L35" s="8" t="s">
        <v>126</v>
      </c>
      <c r="M35" s="8" t="s">
        <v>127</v>
      </c>
      <c r="N35" s="8">
        <v>2411038710</v>
      </c>
      <c r="O35" s="25">
        <v>46109</v>
      </c>
      <c r="P35" s="27">
        <v>418950</v>
      </c>
      <c r="Q35" s="27">
        <f>68950+90000+90000+90000+80000</f>
        <v>418950</v>
      </c>
      <c r="R35" s="27">
        <f>+Tabla1[[#This Row],[TOTAL]]-Tabla1[[#This Row],[PAGO]]</f>
        <v>0</v>
      </c>
      <c r="S35" s="8" t="s">
        <v>140</v>
      </c>
      <c r="T35" s="25">
        <v>46107</v>
      </c>
      <c r="U35" s="28">
        <v>18</v>
      </c>
      <c r="V35" s="28">
        <v>13.5</v>
      </c>
      <c r="W35" s="28">
        <v>26</v>
      </c>
      <c r="X35" s="38"/>
      <c r="Y35" s="38"/>
      <c r="Z35" s="38"/>
      <c r="AA35" s="38"/>
      <c r="AB35" s="38"/>
      <c r="AC35" s="38"/>
      <c r="AD35" s="38"/>
    </row>
    <row r="36" spans="1:30" ht="12.75" x14ac:dyDescent="0.2">
      <c r="A36" s="12" t="s">
        <v>128</v>
      </c>
      <c r="B36" s="25">
        <v>46107</v>
      </c>
      <c r="C36" s="8"/>
      <c r="D36" s="8">
        <v>405</v>
      </c>
      <c r="E36" s="26">
        <v>30880</v>
      </c>
      <c r="F36" s="8"/>
      <c r="G36" s="8">
        <v>600</v>
      </c>
      <c r="H36" s="8"/>
      <c r="I36" s="8"/>
      <c r="J36" s="8" t="s">
        <v>129</v>
      </c>
      <c r="K36" s="8"/>
      <c r="L36" s="8" t="s">
        <v>130</v>
      </c>
      <c r="M36" s="8" t="s">
        <v>131</v>
      </c>
      <c r="N36" s="8">
        <v>5579658950</v>
      </c>
      <c r="O36" s="25">
        <v>46109</v>
      </c>
      <c r="P36" s="27">
        <v>411320</v>
      </c>
      <c r="Q36" s="27">
        <f>+Tabla1[[#This Row],[TOTAL]]</f>
        <v>411320</v>
      </c>
      <c r="R36" s="27">
        <f>+Tabla1[[#This Row],[TOTAL]]-Tabla1[[#This Row],[PAGO]]</f>
        <v>0</v>
      </c>
      <c r="S36" s="8" t="s">
        <v>140</v>
      </c>
      <c r="T36" s="25">
        <v>46119</v>
      </c>
      <c r="U36" s="28"/>
      <c r="V36" s="28">
        <v>14</v>
      </c>
      <c r="W36" s="28">
        <v>20</v>
      </c>
      <c r="X36" s="3"/>
      <c r="Y36" s="3"/>
      <c r="Z36" s="3"/>
      <c r="AA36" s="3"/>
      <c r="AB36" s="3"/>
      <c r="AC36" s="3"/>
      <c r="AD36" s="3"/>
    </row>
    <row r="37" spans="1:30" ht="12.75" x14ac:dyDescent="0.2">
      <c r="A37" s="12" t="s">
        <v>132</v>
      </c>
      <c r="B37" s="25">
        <v>46111</v>
      </c>
      <c r="C37" s="8"/>
      <c r="D37" s="8" t="s">
        <v>133</v>
      </c>
      <c r="E37" s="26">
        <v>30310</v>
      </c>
      <c r="F37" s="8"/>
      <c r="G37" s="8">
        <v>600</v>
      </c>
      <c r="H37" s="8"/>
      <c r="I37" s="8"/>
      <c r="J37" s="61" t="s">
        <v>134</v>
      </c>
      <c r="K37" s="61"/>
      <c r="L37" s="61" t="s">
        <v>135</v>
      </c>
      <c r="M37" s="61" t="s">
        <v>136</v>
      </c>
      <c r="N37" s="61">
        <v>7260040279</v>
      </c>
      <c r="O37" s="62">
        <v>46113</v>
      </c>
      <c r="P37" s="65"/>
      <c r="Q37" s="63">
        <v>370000</v>
      </c>
      <c r="R37" s="27"/>
      <c r="S37" s="8"/>
      <c r="T37" s="25"/>
      <c r="U37" s="28"/>
      <c r="V37" s="28"/>
      <c r="W37" s="28">
        <v>23</v>
      </c>
    </row>
    <row r="38" spans="1:30" ht="12.75" x14ac:dyDescent="0.2">
      <c r="A38" s="12" t="s">
        <v>137</v>
      </c>
      <c r="B38" s="25">
        <v>46112</v>
      </c>
      <c r="C38" s="8"/>
      <c r="D38" s="8" t="s">
        <v>133</v>
      </c>
      <c r="E38" s="26">
        <v>30030</v>
      </c>
      <c r="F38" s="8">
        <v>600</v>
      </c>
      <c r="G38" s="8"/>
      <c r="H38" s="8"/>
      <c r="I38" s="8"/>
      <c r="J38" s="61" t="s">
        <v>38</v>
      </c>
      <c r="K38" s="61"/>
      <c r="L38" s="61" t="s">
        <v>39</v>
      </c>
      <c r="M38" s="61" t="s">
        <v>138</v>
      </c>
      <c r="N38" s="61">
        <v>4721612703</v>
      </c>
      <c r="O38" s="64">
        <v>46118</v>
      </c>
      <c r="P38" s="65"/>
      <c r="Q38" s="63"/>
      <c r="R38" s="27">
        <f>+Tabla1[[#This Row],[TOTAL]]-Tabla1[[#This Row],[PAGO]]</f>
        <v>0</v>
      </c>
      <c r="S38" s="8"/>
      <c r="T38" s="25"/>
      <c r="U38" s="28"/>
      <c r="V38" s="28"/>
      <c r="W38" s="28"/>
    </row>
    <row r="39" spans="1:30" ht="12.75" x14ac:dyDescent="0.2">
      <c r="A39" s="12" t="s">
        <v>201</v>
      </c>
      <c r="B39" s="25">
        <v>46135</v>
      </c>
      <c r="C39" s="8"/>
      <c r="D39" s="8"/>
      <c r="E39" s="26">
        <v>29990</v>
      </c>
      <c r="F39" s="8"/>
      <c r="G39" s="8"/>
      <c r="H39" s="8"/>
      <c r="I39" s="8"/>
      <c r="J39" s="8" t="s">
        <v>129</v>
      </c>
      <c r="K39" s="8"/>
      <c r="L39" s="8" t="s">
        <v>130</v>
      </c>
      <c r="M39" s="8" t="s">
        <v>202</v>
      </c>
      <c r="N39" s="8">
        <v>6688609045</v>
      </c>
      <c r="O39" s="25"/>
      <c r="P39" s="27"/>
      <c r="Q39" s="27"/>
      <c r="R39" s="27">
        <f>+Tabla1[[#This Row],[TOTAL]]-Tabla1[[#This Row],[PAGO]]</f>
        <v>0</v>
      </c>
      <c r="S39" s="8"/>
      <c r="T39" s="25"/>
      <c r="U39" s="28"/>
      <c r="V39" s="28"/>
      <c r="W39" s="28"/>
    </row>
    <row r="40" spans="1:30" ht="12.75" x14ac:dyDescent="0.2">
      <c r="E40" s="9"/>
      <c r="F40" s="9"/>
      <c r="G40" s="9"/>
      <c r="H40" s="10">
        <f>SUM(H3:H39)</f>
        <v>0</v>
      </c>
      <c r="I40" s="5"/>
      <c r="K40" s="2"/>
      <c r="L40" s="2"/>
      <c r="M40" s="2"/>
      <c r="N40" s="2"/>
      <c r="O40" s="2"/>
      <c r="P40" s="1"/>
      <c r="Q40" s="1"/>
      <c r="R40" s="1"/>
    </row>
    <row r="41" spans="1:30" ht="12.75" x14ac:dyDescent="0.2">
      <c r="Q41" s="7"/>
    </row>
    <row r="42" spans="1:30" ht="12.75" x14ac:dyDescent="0.2">
      <c r="E42" s="4"/>
      <c r="F42" s="4" t="s">
        <v>139</v>
      </c>
    </row>
    <row r="43" spans="1:30" ht="12.75" x14ac:dyDescent="0.2">
      <c r="J43" s="6"/>
      <c r="K43" s="2"/>
      <c r="L43" s="2"/>
      <c r="M43" s="2"/>
      <c r="N43" s="2"/>
      <c r="Q43" s="1"/>
    </row>
    <row r="44" spans="1:30" ht="12.75" x14ac:dyDescent="0.2">
      <c r="J44" s="6"/>
    </row>
    <row r="45" spans="1:30" ht="12.75" x14ac:dyDescent="0.2">
      <c r="J45" s="6"/>
    </row>
    <row r="46" spans="1:30" ht="12.75" x14ac:dyDescent="0.2">
      <c r="E46" s="6"/>
    </row>
    <row r="47" spans="1:30" ht="15.75" customHeight="1" x14ac:dyDescent="0.2">
      <c r="O47" s="6"/>
    </row>
    <row r="48" spans="1:30" ht="15.75" customHeight="1" x14ac:dyDescent="0.2">
      <c r="K48" s="1"/>
      <c r="O48" s="6"/>
    </row>
    <row r="49" spans="15:15" ht="15.75" customHeight="1" x14ac:dyDescent="0.2">
      <c r="O49" s="6"/>
    </row>
  </sheetData>
  <mergeCells count="1">
    <mergeCell ref="A1:S1"/>
  </mergeCells>
  <phoneticPr fontId="14" type="noConversion"/>
  <printOptions horizontalCentered="1" gridLines="1"/>
  <pageMargins left="0.7" right="0.7" top="0.75" bottom="0.75" header="0" footer="0"/>
  <pageSetup scale="38" fitToHeight="0" pageOrder="overThenDown" orientation="landscape" cellComments="atEnd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86AB-4960-4C42-933A-8FB88D8EFC1A}">
  <dimension ref="A1:H89"/>
  <sheetViews>
    <sheetView topLeftCell="A58" workbookViewId="0">
      <selection sqref="A1:P12"/>
    </sheetView>
  </sheetViews>
  <sheetFormatPr baseColWidth="10" defaultRowHeight="12.75" x14ac:dyDescent="0.2"/>
  <cols>
    <col min="1" max="1" width="23.28515625" bestFit="1" customWidth="1"/>
    <col min="2" max="2" width="12.7109375" bestFit="1" customWidth="1"/>
    <col min="3" max="3" width="9.140625" bestFit="1" customWidth="1"/>
    <col min="4" max="4" width="8.5703125" bestFit="1" customWidth="1"/>
    <col min="5" max="5" width="6" bestFit="1" customWidth="1"/>
    <col min="6" max="6" width="11.7109375" bestFit="1" customWidth="1"/>
    <col min="7" max="7" width="10.7109375" bestFit="1" customWidth="1"/>
    <col min="8" max="8" width="12" customWidth="1"/>
    <col min="9" max="11" width="9.140625"/>
  </cols>
  <sheetData>
    <row r="1" spans="1:8" ht="18.75" x14ac:dyDescent="0.3">
      <c r="A1" s="72" t="s">
        <v>206</v>
      </c>
    </row>
    <row r="2" spans="1:8" ht="15.75" x14ac:dyDescent="0.25">
      <c r="A2" s="73" t="s">
        <v>207</v>
      </c>
    </row>
    <row r="3" spans="1:8" ht="15" x14ac:dyDescent="0.25">
      <c r="A3" s="74" t="s">
        <v>208</v>
      </c>
    </row>
    <row r="4" spans="1:8" x14ac:dyDescent="0.2">
      <c r="A4" t="s">
        <v>209</v>
      </c>
    </row>
    <row r="6" spans="1:8" ht="15" x14ac:dyDescent="0.2">
      <c r="A6" s="75" t="s">
        <v>141</v>
      </c>
      <c r="B6" s="75" t="s">
        <v>312</v>
      </c>
      <c r="C6" s="75" t="s">
        <v>14</v>
      </c>
      <c r="D6" s="75" t="s">
        <v>210</v>
      </c>
      <c r="E6" s="75" t="s">
        <v>211</v>
      </c>
      <c r="F6" s="75" t="s">
        <v>313</v>
      </c>
      <c r="G6" s="75" t="s">
        <v>212</v>
      </c>
      <c r="H6" s="75" t="s">
        <v>213</v>
      </c>
    </row>
    <row r="7" spans="1:8" x14ac:dyDescent="0.2">
      <c r="A7" s="76" t="s">
        <v>214</v>
      </c>
      <c r="B7" s="76" t="s">
        <v>215</v>
      </c>
      <c r="C7" s="76" t="s">
        <v>195</v>
      </c>
      <c r="D7" s="76">
        <v>1</v>
      </c>
      <c r="E7" s="76">
        <v>600</v>
      </c>
      <c r="F7" s="77">
        <v>30320</v>
      </c>
      <c r="G7" s="77">
        <v>942.91</v>
      </c>
      <c r="H7" s="77">
        <v>29377</v>
      </c>
    </row>
    <row r="8" spans="1:8" x14ac:dyDescent="0.2">
      <c r="A8" s="76" t="s">
        <v>214</v>
      </c>
      <c r="B8" s="76" t="s">
        <v>216</v>
      </c>
      <c r="C8" s="76" t="s">
        <v>195</v>
      </c>
      <c r="D8" s="76">
        <v>1</v>
      </c>
      <c r="E8" s="76">
        <v>504</v>
      </c>
      <c r="F8" s="77">
        <v>25470</v>
      </c>
      <c r="G8" s="77">
        <v>1309.0999999999999</v>
      </c>
      <c r="H8" s="77">
        <v>24161</v>
      </c>
    </row>
    <row r="9" spans="1:8" x14ac:dyDescent="0.2">
      <c r="A9" s="76" t="s">
        <v>217</v>
      </c>
      <c r="B9" s="76" t="s">
        <v>218</v>
      </c>
      <c r="C9" s="76" t="s">
        <v>195</v>
      </c>
      <c r="D9" s="76">
        <v>1</v>
      </c>
      <c r="E9" s="76">
        <v>600</v>
      </c>
      <c r="F9" s="77">
        <v>30190</v>
      </c>
      <c r="G9" s="77">
        <v>1301.1500000000001</v>
      </c>
      <c r="H9" s="77">
        <v>28889</v>
      </c>
    </row>
    <row r="10" spans="1:8" x14ac:dyDescent="0.2">
      <c r="A10" s="76" t="s">
        <v>217</v>
      </c>
      <c r="B10" s="76" t="s">
        <v>219</v>
      </c>
      <c r="C10" s="76" t="s">
        <v>195</v>
      </c>
      <c r="D10" s="76">
        <v>1</v>
      </c>
      <c r="E10" s="76">
        <v>600</v>
      </c>
      <c r="F10" s="77">
        <v>30230</v>
      </c>
      <c r="G10" s="77">
        <v>876.63</v>
      </c>
      <c r="H10" s="77">
        <v>29353</v>
      </c>
    </row>
    <row r="11" spans="1:8" x14ac:dyDescent="0.2">
      <c r="A11" s="76" t="s">
        <v>217</v>
      </c>
      <c r="B11" s="76" t="s">
        <v>220</v>
      </c>
      <c r="C11" s="76" t="s">
        <v>195</v>
      </c>
      <c r="D11" s="76">
        <v>1</v>
      </c>
      <c r="E11" s="76">
        <v>300</v>
      </c>
      <c r="F11" s="77">
        <v>15170</v>
      </c>
      <c r="G11" s="77">
        <v>782.74</v>
      </c>
      <c r="H11" s="77">
        <v>14387</v>
      </c>
    </row>
    <row r="12" spans="1:8" x14ac:dyDescent="0.2">
      <c r="A12" s="76" t="s">
        <v>221</v>
      </c>
      <c r="B12" s="76" t="s">
        <v>222</v>
      </c>
      <c r="C12" s="76" t="s">
        <v>195</v>
      </c>
      <c r="D12" s="76">
        <v>1</v>
      </c>
      <c r="E12" s="76">
        <v>600</v>
      </c>
      <c r="F12" s="77">
        <v>29970</v>
      </c>
      <c r="G12" s="77">
        <v>857.14</v>
      </c>
      <c r="H12" s="77">
        <v>29113</v>
      </c>
    </row>
    <row r="13" spans="1:8" x14ac:dyDescent="0.2">
      <c r="A13" s="76" t="s">
        <v>221</v>
      </c>
      <c r="B13" s="76" t="s">
        <v>223</v>
      </c>
      <c r="C13" s="76" t="s">
        <v>195</v>
      </c>
      <c r="D13" s="76">
        <v>1</v>
      </c>
      <c r="E13" s="76">
        <v>600</v>
      </c>
      <c r="F13" s="77">
        <v>30040</v>
      </c>
      <c r="G13" s="77">
        <v>420.52</v>
      </c>
      <c r="H13" s="77">
        <v>29619</v>
      </c>
    </row>
    <row r="14" spans="1:8" x14ac:dyDescent="0.2">
      <c r="A14" s="76" t="s">
        <v>221</v>
      </c>
      <c r="B14" s="76" t="s">
        <v>224</v>
      </c>
      <c r="C14" s="76" t="s">
        <v>195</v>
      </c>
      <c r="D14" s="76">
        <v>1</v>
      </c>
      <c r="E14" s="76">
        <v>600</v>
      </c>
      <c r="F14" s="77">
        <v>30460</v>
      </c>
      <c r="G14" s="77">
        <v>590.88</v>
      </c>
      <c r="H14" s="77">
        <v>29869</v>
      </c>
    </row>
    <row r="15" spans="1:8" x14ac:dyDescent="0.2">
      <c r="A15" s="76" t="s">
        <v>225</v>
      </c>
      <c r="B15" s="76" t="s">
        <v>226</v>
      </c>
      <c r="C15" s="76" t="s">
        <v>195</v>
      </c>
      <c r="D15" s="76">
        <v>1</v>
      </c>
      <c r="E15" s="76">
        <v>600</v>
      </c>
      <c r="F15" s="77">
        <v>29850</v>
      </c>
      <c r="G15" s="77">
        <v>2334.2399999999998</v>
      </c>
      <c r="H15" s="77">
        <v>27516</v>
      </c>
    </row>
    <row r="16" spans="1:8" x14ac:dyDescent="0.2">
      <c r="A16" s="76" t="s">
        <v>225</v>
      </c>
      <c r="B16" s="76" t="s">
        <v>227</v>
      </c>
      <c r="C16" s="76" t="s">
        <v>195</v>
      </c>
      <c r="D16" s="76">
        <v>1</v>
      </c>
      <c r="E16" s="76">
        <v>600</v>
      </c>
      <c r="F16" s="77">
        <v>30480</v>
      </c>
      <c r="G16" s="77">
        <v>746.72</v>
      </c>
      <c r="H16" s="77">
        <v>29733</v>
      </c>
    </row>
    <row r="17" spans="1:8" x14ac:dyDescent="0.2">
      <c r="A17" s="76" t="s">
        <v>225</v>
      </c>
      <c r="B17" s="76" t="s">
        <v>228</v>
      </c>
      <c r="C17" s="76" t="s">
        <v>195</v>
      </c>
      <c r="D17" s="76">
        <v>1</v>
      </c>
      <c r="E17" s="76">
        <v>600</v>
      </c>
      <c r="F17" s="77">
        <v>30220</v>
      </c>
      <c r="G17" s="77">
        <v>1680.26</v>
      </c>
      <c r="H17" s="77">
        <v>28540</v>
      </c>
    </row>
    <row r="18" spans="1:8" x14ac:dyDescent="0.2">
      <c r="A18" s="76" t="s">
        <v>229</v>
      </c>
      <c r="B18" s="76" t="s">
        <v>230</v>
      </c>
      <c r="C18" s="76" t="s">
        <v>195</v>
      </c>
      <c r="D18" s="76">
        <v>1</v>
      </c>
      <c r="E18" s="76">
        <v>600</v>
      </c>
      <c r="F18" s="77">
        <v>30570</v>
      </c>
      <c r="G18" s="77">
        <v>388.23</v>
      </c>
      <c r="H18" s="77">
        <v>30182</v>
      </c>
    </row>
    <row r="19" spans="1:8" x14ac:dyDescent="0.2">
      <c r="A19" s="76" t="s">
        <v>229</v>
      </c>
      <c r="B19" s="76" t="s">
        <v>231</v>
      </c>
      <c r="C19" s="76" t="s">
        <v>195</v>
      </c>
      <c r="D19" s="76">
        <v>1</v>
      </c>
      <c r="E19" s="76">
        <v>600</v>
      </c>
      <c r="F19" s="77">
        <v>30470</v>
      </c>
      <c r="G19" s="77">
        <v>1197.42</v>
      </c>
      <c r="H19" s="77">
        <v>29273</v>
      </c>
    </row>
    <row r="20" spans="1:8" x14ac:dyDescent="0.2">
      <c r="A20" s="76" t="s">
        <v>229</v>
      </c>
      <c r="B20" s="76" t="s">
        <v>232</v>
      </c>
      <c r="C20" s="76" t="s">
        <v>195</v>
      </c>
      <c r="D20" s="76">
        <v>1</v>
      </c>
      <c r="E20" s="76">
        <v>600</v>
      </c>
      <c r="F20" s="77">
        <v>30380</v>
      </c>
      <c r="G20" s="77">
        <v>941.76</v>
      </c>
      <c r="H20" s="77">
        <v>29438</v>
      </c>
    </row>
    <row r="21" spans="1:8" x14ac:dyDescent="0.2">
      <c r="A21" s="76" t="s">
        <v>233</v>
      </c>
      <c r="B21" s="76" t="s">
        <v>234</v>
      </c>
      <c r="C21" s="76" t="s">
        <v>195</v>
      </c>
      <c r="D21" s="76">
        <v>1</v>
      </c>
      <c r="E21" s="76">
        <v>600</v>
      </c>
      <c r="F21" s="77">
        <v>30270</v>
      </c>
      <c r="G21" s="77">
        <v>1713.26</v>
      </c>
      <c r="H21" s="77">
        <v>28557</v>
      </c>
    </row>
    <row r="22" spans="1:8" x14ac:dyDescent="0.2">
      <c r="A22" s="76" t="s">
        <v>233</v>
      </c>
      <c r="B22" s="76" t="s">
        <v>235</v>
      </c>
      <c r="C22" s="76" t="s">
        <v>195</v>
      </c>
      <c r="D22" s="76">
        <v>1</v>
      </c>
      <c r="E22" s="76">
        <v>600</v>
      </c>
      <c r="F22" s="77">
        <v>30020</v>
      </c>
      <c r="G22" s="77">
        <v>1230.79</v>
      </c>
      <c r="H22" s="77">
        <v>28789</v>
      </c>
    </row>
    <row r="23" spans="1:8" x14ac:dyDescent="0.2">
      <c r="A23" s="76" t="s">
        <v>233</v>
      </c>
      <c r="B23" s="76" t="s">
        <v>236</v>
      </c>
      <c r="C23" s="76" t="s">
        <v>195</v>
      </c>
      <c r="D23" s="76">
        <v>1</v>
      </c>
      <c r="E23" s="76">
        <v>600</v>
      </c>
      <c r="F23" s="77">
        <v>30250</v>
      </c>
      <c r="G23" s="77">
        <v>807.69</v>
      </c>
      <c r="H23" s="77">
        <v>29442</v>
      </c>
    </row>
    <row r="24" spans="1:8" x14ac:dyDescent="0.2">
      <c r="A24" s="76" t="s">
        <v>237</v>
      </c>
      <c r="B24" s="76" t="s">
        <v>238</v>
      </c>
      <c r="C24" s="76" t="s">
        <v>195</v>
      </c>
      <c r="D24" s="76">
        <v>1</v>
      </c>
      <c r="E24" s="76">
        <v>163</v>
      </c>
      <c r="F24" s="77">
        <v>8280</v>
      </c>
      <c r="G24" s="77">
        <v>380.08</v>
      </c>
      <c r="H24" s="77">
        <v>7900</v>
      </c>
    </row>
    <row r="25" spans="1:8" x14ac:dyDescent="0.2">
      <c r="A25" s="76" t="s">
        <v>237</v>
      </c>
      <c r="B25" s="76" t="s">
        <v>239</v>
      </c>
      <c r="C25" s="76" t="s">
        <v>195</v>
      </c>
      <c r="D25" s="76">
        <v>1</v>
      </c>
      <c r="E25" s="76">
        <v>600</v>
      </c>
      <c r="F25" s="77">
        <v>30220</v>
      </c>
      <c r="G25" s="77">
        <v>876.35</v>
      </c>
      <c r="H25" s="77">
        <v>29344</v>
      </c>
    </row>
    <row r="26" spans="1:8" x14ac:dyDescent="0.2">
      <c r="A26" s="76" t="s">
        <v>237</v>
      </c>
      <c r="B26" s="76" t="s">
        <v>240</v>
      </c>
      <c r="C26" s="76" t="s">
        <v>195</v>
      </c>
      <c r="D26" s="76">
        <v>1</v>
      </c>
      <c r="E26" s="76">
        <v>288</v>
      </c>
      <c r="F26" s="77">
        <v>13950</v>
      </c>
      <c r="G26" s="77">
        <v>525.91999999999996</v>
      </c>
      <c r="H26" s="77">
        <v>13424</v>
      </c>
    </row>
    <row r="27" spans="1:8" x14ac:dyDescent="0.2">
      <c r="A27" s="76" t="s">
        <v>241</v>
      </c>
      <c r="B27" s="76" t="s">
        <v>242</v>
      </c>
      <c r="C27" s="76" t="s">
        <v>195</v>
      </c>
      <c r="D27" s="76">
        <v>1</v>
      </c>
      <c r="E27" s="76">
        <v>600</v>
      </c>
      <c r="F27" s="77">
        <v>30920</v>
      </c>
      <c r="G27" s="77">
        <v>1372.82</v>
      </c>
      <c r="H27" s="77">
        <v>29547</v>
      </c>
    </row>
    <row r="28" spans="1:8" x14ac:dyDescent="0.2">
      <c r="A28" s="76" t="s">
        <v>241</v>
      </c>
      <c r="B28" s="76" t="s">
        <v>243</v>
      </c>
      <c r="C28" s="76" t="s">
        <v>195</v>
      </c>
      <c r="D28" s="76">
        <v>1</v>
      </c>
      <c r="E28" s="76">
        <v>615</v>
      </c>
      <c r="F28" s="77">
        <v>30940</v>
      </c>
      <c r="G28" s="77">
        <v>1113.8</v>
      </c>
      <c r="H28" s="77">
        <v>29826</v>
      </c>
    </row>
    <row r="29" spans="1:8" x14ac:dyDescent="0.2">
      <c r="A29" s="76" t="s">
        <v>244</v>
      </c>
      <c r="B29" s="76" t="s">
        <v>245</v>
      </c>
      <c r="C29" s="76" t="s">
        <v>195</v>
      </c>
      <c r="D29" s="76">
        <v>1</v>
      </c>
      <c r="E29" s="76">
        <v>600</v>
      </c>
      <c r="F29" s="77">
        <v>31030</v>
      </c>
      <c r="G29" s="77">
        <v>1272.2</v>
      </c>
      <c r="H29" s="77">
        <v>29758</v>
      </c>
    </row>
    <row r="30" spans="1:8" x14ac:dyDescent="0.2">
      <c r="A30" s="76" t="s">
        <v>244</v>
      </c>
      <c r="B30" s="76" t="s">
        <v>246</v>
      </c>
      <c r="C30" s="76" t="s">
        <v>195</v>
      </c>
      <c r="D30" s="76">
        <v>1</v>
      </c>
      <c r="E30" s="76">
        <v>600</v>
      </c>
      <c r="F30" s="77">
        <v>31500</v>
      </c>
      <c r="G30" s="77">
        <v>1165.47</v>
      </c>
      <c r="H30" s="77">
        <v>30335</v>
      </c>
    </row>
    <row r="31" spans="1:8" x14ac:dyDescent="0.2">
      <c r="A31" s="76" t="s">
        <v>244</v>
      </c>
      <c r="B31" s="76" t="s">
        <v>247</v>
      </c>
      <c r="C31" s="76" t="s">
        <v>195</v>
      </c>
      <c r="D31" s="76">
        <v>1</v>
      </c>
      <c r="E31" s="76">
        <v>600</v>
      </c>
      <c r="F31" s="77">
        <v>30240</v>
      </c>
      <c r="G31" s="77">
        <v>1179.3599999999999</v>
      </c>
      <c r="H31" s="77">
        <v>29061</v>
      </c>
    </row>
    <row r="32" spans="1:8" x14ac:dyDescent="0.2">
      <c r="A32" s="76" t="s">
        <v>244</v>
      </c>
      <c r="B32" s="76" t="s">
        <v>248</v>
      </c>
      <c r="C32" s="76" t="s">
        <v>195</v>
      </c>
      <c r="D32" s="76">
        <v>1</v>
      </c>
      <c r="E32" s="76">
        <v>600</v>
      </c>
      <c r="F32" s="77">
        <v>30870</v>
      </c>
      <c r="G32" s="77">
        <v>1219.3699999999999</v>
      </c>
      <c r="H32" s="77">
        <v>29651</v>
      </c>
    </row>
    <row r="33" spans="1:8" x14ac:dyDescent="0.2">
      <c r="A33" s="76" t="s">
        <v>244</v>
      </c>
      <c r="B33" s="76" t="s">
        <v>249</v>
      </c>
      <c r="C33" s="76" t="s">
        <v>195</v>
      </c>
      <c r="D33" s="76">
        <v>1</v>
      </c>
      <c r="E33" s="76">
        <v>600</v>
      </c>
      <c r="F33" s="77">
        <v>30040</v>
      </c>
      <c r="G33" s="77">
        <v>1216.6199999999999</v>
      </c>
      <c r="H33" s="77">
        <v>28823</v>
      </c>
    </row>
    <row r="34" spans="1:8" x14ac:dyDescent="0.2">
      <c r="A34" s="76" t="s">
        <v>244</v>
      </c>
      <c r="B34" s="76" t="s">
        <v>250</v>
      </c>
      <c r="C34" s="76" t="s">
        <v>195</v>
      </c>
      <c r="D34" s="76">
        <v>1</v>
      </c>
      <c r="E34" s="76">
        <v>356</v>
      </c>
      <c r="F34" s="77">
        <v>28040</v>
      </c>
      <c r="G34" s="77">
        <v>1065.48</v>
      </c>
      <c r="H34" s="77">
        <v>26975</v>
      </c>
    </row>
    <row r="35" spans="1:8" x14ac:dyDescent="0.2">
      <c r="A35" s="76" t="s">
        <v>251</v>
      </c>
      <c r="B35" s="76" t="s">
        <v>252</v>
      </c>
      <c r="C35" s="76" t="s">
        <v>195</v>
      </c>
      <c r="D35" s="76">
        <v>1</v>
      </c>
      <c r="E35" s="76">
        <v>600</v>
      </c>
      <c r="F35" s="77">
        <v>32110</v>
      </c>
      <c r="G35" s="77">
        <v>1139.9100000000001</v>
      </c>
      <c r="H35" s="77">
        <v>30970</v>
      </c>
    </row>
    <row r="36" spans="1:8" x14ac:dyDescent="0.2">
      <c r="A36" s="76" t="s">
        <v>251</v>
      </c>
      <c r="B36" s="76" t="s">
        <v>253</v>
      </c>
      <c r="C36" s="76" t="s">
        <v>195</v>
      </c>
      <c r="D36" s="76">
        <v>1</v>
      </c>
      <c r="E36" s="76">
        <v>600</v>
      </c>
      <c r="F36" s="77">
        <v>30410</v>
      </c>
      <c r="G36" s="77">
        <v>842.36</v>
      </c>
      <c r="H36" s="77">
        <v>29568</v>
      </c>
    </row>
    <row r="37" spans="1:8" x14ac:dyDescent="0.2">
      <c r="A37" s="76" t="s">
        <v>251</v>
      </c>
      <c r="B37" s="76" t="s">
        <v>254</v>
      </c>
      <c r="C37" s="76" t="s">
        <v>195</v>
      </c>
      <c r="D37" s="76">
        <v>1</v>
      </c>
      <c r="E37" s="76">
        <v>600</v>
      </c>
      <c r="F37" s="77">
        <v>30550</v>
      </c>
      <c r="G37" s="77">
        <v>1108.93</v>
      </c>
      <c r="H37" s="77">
        <v>29441</v>
      </c>
    </row>
    <row r="38" spans="1:8" x14ac:dyDescent="0.2">
      <c r="A38" s="76" t="s">
        <v>255</v>
      </c>
      <c r="B38" s="76" t="s">
        <v>256</v>
      </c>
      <c r="C38" s="76" t="s">
        <v>195</v>
      </c>
      <c r="D38" s="76">
        <v>1</v>
      </c>
      <c r="E38" s="76">
        <v>168</v>
      </c>
      <c r="F38" s="77">
        <v>8320</v>
      </c>
      <c r="G38" s="77">
        <v>332.8</v>
      </c>
      <c r="H38" s="77">
        <v>7987</v>
      </c>
    </row>
    <row r="39" spans="1:8" x14ac:dyDescent="0.2">
      <c r="A39" s="76" t="s">
        <v>257</v>
      </c>
      <c r="B39" s="76" t="s">
        <v>258</v>
      </c>
      <c r="C39" s="76" t="s">
        <v>195</v>
      </c>
      <c r="D39" s="76">
        <v>1</v>
      </c>
      <c r="E39" s="76">
        <v>300</v>
      </c>
      <c r="F39" s="77">
        <v>15270</v>
      </c>
      <c r="G39" s="77">
        <v>442.83</v>
      </c>
      <c r="H39" s="77">
        <v>14827</v>
      </c>
    </row>
    <row r="40" spans="1:8" x14ac:dyDescent="0.2">
      <c r="A40" s="76" t="s">
        <v>257</v>
      </c>
      <c r="B40" s="76" t="s">
        <v>259</v>
      </c>
      <c r="C40" s="76" t="s">
        <v>195</v>
      </c>
      <c r="D40" s="76">
        <v>1</v>
      </c>
      <c r="E40" s="76">
        <v>600</v>
      </c>
      <c r="F40" s="77">
        <v>30610</v>
      </c>
      <c r="G40" s="77">
        <v>1255.01</v>
      </c>
      <c r="H40" s="77">
        <v>29355</v>
      </c>
    </row>
    <row r="41" spans="1:8" x14ac:dyDescent="0.2">
      <c r="A41" s="76" t="s">
        <v>260</v>
      </c>
      <c r="B41" s="76" t="s">
        <v>261</v>
      </c>
      <c r="C41" s="76" t="s">
        <v>195</v>
      </c>
      <c r="D41" s="76">
        <v>1</v>
      </c>
      <c r="E41" s="76">
        <v>354</v>
      </c>
      <c r="F41" s="77">
        <v>17790</v>
      </c>
      <c r="G41" s="77">
        <v>640.44000000000005</v>
      </c>
      <c r="H41" s="77">
        <v>17150</v>
      </c>
    </row>
    <row r="42" spans="1:8" x14ac:dyDescent="0.2">
      <c r="A42" s="76" t="s">
        <v>260</v>
      </c>
      <c r="B42" s="76" t="s">
        <v>262</v>
      </c>
      <c r="C42" s="76" t="s">
        <v>195</v>
      </c>
      <c r="D42" s="76">
        <v>1</v>
      </c>
      <c r="E42" s="76">
        <v>595</v>
      </c>
      <c r="F42" s="77">
        <v>30920</v>
      </c>
      <c r="G42" s="77">
        <v>1595.47</v>
      </c>
      <c r="H42" s="77">
        <v>29325</v>
      </c>
    </row>
    <row r="43" spans="1:8" x14ac:dyDescent="0.2">
      <c r="A43" s="76" t="s">
        <v>260</v>
      </c>
      <c r="B43" s="76" t="s">
        <v>263</v>
      </c>
      <c r="C43" s="76" t="s">
        <v>195</v>
      </c>
      <c r="D43" s="76">
        <v>1</v>
      </c>
      <c r="E43" s="76">
        <v>600</v>
      </c>
      <c r="F43" s="77">
        <v>29760</v>
      </c>
      <c r="G43" s="77">
        <v>925.56</v>
      </c>
      <c r="H43" s="77">
        <v>28834</v>
      </c>
    </row>
    <row r="44" spans="1:8" x14ac:dyDescent="0.2">
      <c r="A44" s="76" t="s">
        <v>260</v>
      </c>
      <c r="B44" s="76" t="s">
        <v>264</v>
      </c>
      <c r="C44" s="76" t="s">
        <v>195</v>
      </c>
      <c r="D44" s="76">
        <v>1</v>
      </c>
      <c r="E44" s="76">
        <v>600</v>
      </c>
      <c r="F44" s="77">
        <v>30430</v>
      </c>
      <c r="G44" s="77">
        <v>1351.05</v>
      </c>
      <c r="H44" s="77">
        <v>29079</v>
      </c>
    </row>
    <row r="45" spans="1:8" x14ac:dyDescent="0.2">
      <c r="A45" s="76" t="s">
        <v>260</v>
      </c>
      <c r="B45" s="76" t="s">
        <v>265</v>
      </c>
      <c r="C45" s="76" t="s">
        <v>195</v>
      </c>
      <c r="D45" s="76">
        <v>1</v>
      </c>
      <c r="E45" s="76">
        <v>272</v>
      </c>
      <c r="F45" s="77">
        <v>12800</v>
      </c>
      <c r="G45" s="77">
        <v>587.52</v>
      </c>
      <c r="H45" s="77">
        <v>12212</v>
      </c>
    </row>
    <row r="46" spans="1:8" x14ac:dyDescent="0.2">
      <c r="A46" s="76" t="s">
        <v>266</v>
      </c>
      <c r="B46" s="76" t="s">
        <v>267</v>
      </c>
      <c r="C46" s="76" t="s">
        <v>195</v>
      </c>
      <c r="D46" s="76">
        <v>1</v>
      </c>
      <c r="E46" s="76">
        <v>538</v>
      </c>
      <c r="F46" s="77">
        <v>27440</v>
      </c>
      <c r="G46" s="77">
        <v>532.29999999999995</v>
      </c>
      <c r="H46" s="77">
        <v>26908</v>
      </c>
    </row>
    <row r="47" spans="1:8" x14ac:dyDescent="0.2">
      <c r="A47" s="76" t="s">
        <v>266</v>
      </c>
      <c r="B47" s="76" t="s">
        <v>268</v>
      </c>
      <c r="C47" s="76" t="s">
        <v>195</v>
      </c>
      <c r="D47" s="76">
        <v>1</v>
      </c>
      <c r="E47" s="76">
        <v>600</v>
      </c>
      <c r="F47" s="77">
        <v>30990</v>
      </c>
      <c r="G47" s="77">
        <v>1723</v>
      </c>
      <c r="H47" s="77">
        <v>29267</v>
      </c>
    </row>
    <row r="48" spans="1:8" x14ac:dyDescent="0.2">
      <c r="A48" s="76" t="s">
        <v>266</v>
      </c>
      <c r="B48" s="76" t="s">
        <v>269</v>
      </c>
      <c r="C48" s="76" t="s">
        <v>195</v>
      </c>
      <c r="D48" s="76">
        <v>1</v>
      </c>
      <c r="E48" s="76">
        <v>600</v>
      </c>
      <c r="F48" s="77">
        <v>30690</v>
      </c>
      <c r="G48" s="77">
        <v>1212.2</v>
      </c>
      <c r="H48" s="77">
        <v>29478</v>
      </c>
    </row>
    <row r="49" spans="1:8" x14ac:dyDescent="0.2">
      <c r="A49" s="76" t="s">
        <v>266</v>
      </c>
      <c r="B49" s="76" t="s">
        <v>270</v>
      </c>
      <c r="C49" s="76" t="s">
        <v>195</v>
      </c>
      <c r="D49" s="76">
        <v>1</v>
      </c>
      <c r="E49" s="76">
        <v>600</v>
      </c>
      <c r="F49" s="77">
        <v>30470</v>
      </c>
      <c r="G49" s="77">
        <v>1249.28</v>
      </c>
      <c r="H49" s="77">
        <v>29221</v>
      </c>
    </row>
    <row r="50" spans="1:8" x14ac:dyDescent="0.2">
      <c r="A50" s="76" t="s">
        <v>271</v>
      </c>
      <c r="B50" s="76" t="s">
        <v>272</v>
      </c>
      <c r="C50" s="76" t="s">
        <v>195</v>
      </c>
      <c r="D50" s="76">
        <v>1</v>
      </c>
      <c r="E50" s="76">
        <v>600</v>
      </c>
      <c r="F50" s="77">
        <v>30590</v>
      </c>
      <c r="G50" s="77">
        <v>428.22</v>
      </c>
      <c r="H50" s="77">
        <v>30162</v>
      </c>
    </row>
    <row r="51" spans="1:8" x14ac:dyDescent="0.2">
      <c r="A51" s="76" t="s">
        <v>271</v>
      </c>
      <c r="B51" s="76" t="s">
        <v>273</v>
      </c>
      <c r="C51" s="76" t="s">
        <v>195</v>
      </c>
      <c r="D51" s="76">
        <v>1</v>
      </c>
      <c r="E51" s="76">
        <v>600</v>
      </c>
      <c r="F51" s="77">
        <v>31000</v>
      </c>
      <c r="G51" s="77">
        <v>759.45</v>
      </c>
      <c r="H51" s="77">
        <v>30241</v>
      </c>
    </row>
    <row r="52" spans="1:8" x14ac:dyDescent="0.2">
      <c r="A52" s="76" t="s">
        <v>271</v>
      </c>
      <c r="B52" s="76" t="s">
        <v>274</v>
      </c>
      <c r="C52" s="76" t="s">
        <v>195</v>
      </c>
      <c r="D52" s="76">
        <v>1</v>
      </c>
      <c r="E52" s="76">
        <v>600</v>
      </c>
      <c r="F52" s="77">
        <v>30950</v>
      </c>
      <c r="G52" s="77">
        <v>433.27</v>
      </c>
      <c r="H52" s="77">
        <v>30517</v>
      </c>
    </row>
    <row r="53" spans="1:8" x14ac:dyDescent="0.2">
      <c r="A53" s="76" t="s">
        <v>271</v>
      </c>
      <c r="B53" s="76" t="s">
        <v>275</v>
      </c>
      <c r="C53" s="76" t="s">
        <v>195</v>
      </c>
      <c r="D53" s="76">
        <v>1</v>
      </c>
      <c r="E53" s="76">
        <v>186</v>
      </c>
      <c r="F53" s="77">
        <v>9482</v>
      </c>
      <c r="G53" s="77">
        <v>379.15</v>
      </c>
      <c r="H53" s="77">
        <v>9103</v>
      </c>
    </row>
    <row r="54" spans="1:8" x14ac:dyDescent="0.2">
      <c r="A54" s="76" t="s">
        <v>271</v>
      </c>
      <c r="B54" s="76" t="s">
        <v>275</v>
      </c>
      <c r="C54" s="76" t="s">
        <v>195</v>
      </c>
      <c r="D54" s="76">
        <v>3</v>
      </c>
      <c r="E54" s="76">
        <v>414</v>
      </c>
      <c r="F54" s="77">
        <v>21108</v>
      </c>
      <c r="G54" s="77">
        <v>844.37</v>
      </c>
      <c r="H54" s="77">
        <v>20264</v>
      </c>
    </row>
    <row r="55" spans="1:8" x14ac:dyDescent="0.2">
      <c r="A55" s="76" t="s">
        <v>271</v>
      </c>
      <c r="B55" s="76" t="s">
        <v>276</v>
      </c>
      <c r="C55" s="76" t="s">
        <v>195</v>
      </c>
      <c r="D55" s="76">
        <v>3</v>
      </c>
      <c r="E55" s="76">
        <v>601</v>
      </c>
      <c r="F55" s="77">
        <v>30590</v>
      </c>
      <c r="G55" s="77">
        <v>847.34</v>
      </c>
      <c r="H55" s="77">
        <v>29743</v>
      </c>
    </row>
    <row r="56" spans="1:8" x14ac:dyDescent="0.2">
      <c r="A56" s="76" t="s">
        <v>271</v>
      </c>
      <c r="B56" s="76" t="s">
        <v>277</v>
      </c>
      <c r="C56" s="76" t="s">
        <v>195</v>
      </c>
      <c r="D56" s="76">
        <v>3</v>
      </c>
      <c r="E56" s="76">
        <v>523</v>
      </c>
      <c r="F56" s="77">
        <v>27220</v>
      </c>
      <c r="G56" s="77">
        <v>843.8</v>
      </c>
      <c r="H56" s="77">
        <v>26376</v>
      </c>
    </row>
    <row r="57" spans="1:8" x14ac:dyDescent="0.2">
      <c r="A57" s="76" t="s">
        <v>278</v>
      </c>
      <c r="B57" s="76" t="s">
        <v>279</v>
      </c>
      <c r="C57" s="76" t="s">
        <v>195</v>
      </c>
      <c r="D57" s="76">
        <v>3</v>
      </c>
      <c r="E57" s="76">
        <v>600</v>
      </c>
      <c r="F57" s="77">
        <v>31260</v>
      </c>
      <c r="G57" s="77">
        <v>1406.7</v>
      </c>
      <c r="H57" s="77">
        <v>29853</v>
      </c>
    </row>
    <row r="58" spans="1:8" x14ac:dyDescent="0.2">
      <c r="A58" s="76" t="s">
        <v>278</v>
      </c>
      <c r="B58" s="76" t="s">
        <v>280</v>
      </c>
      <c r="C58" s="76" t="s">
        <v>195</v>
      </c>
      <c r="D58" s="76">
        <v>3</v>
      </c>
      <c r="E58" s="76">
        <v>600</v>
      </c>
      <c r="F58" s="77">
        <v>31080</v>
      </c>
      <c r="G58" s="77">
        <v>248.64</v>
      </c>
      <c r="H58" s="77">
        <v>30831</v>
      </c>
    </row>
    <row r="59" spans="1:8" x14ac:dyDescent="0.2">
      <c r="A59" s="76" t="s">
        <v>278</v>
      </c>
      <c r="B59" s="76" t="s">
        <v>281</v>
      </c>
      <c r="C59" s="76" t="s">
        <v>195</v>
      </c>
      <c r="D59" s="76">
        <v>3</v>
      </c>
      <c r="E59" s="76">
        <v>569</v>
      </c>
      <c r="F59" s="77">
        <v>28920</v>
      </c>
      <c r="G59" s="77">
        <v>838.65</v>
      </c>
      <c r="H59" s="77">
        <v>28081</v>
      </c>
    </row>
    <row r="60" spans="1:8" x14ac:dyDescent="0.2">
      <c r="A60" s="76" t="s">
        <v>282</v>
      </c>
      <c r="B60" s="76" t="s">
        <v>283</v>
      </c>
      <c r="C60" s="76" t="s">
        <v>195</v>
      </c>
      <c r="D60" s="76">
        <v>3</v>
      </c>
      <c r="E60" s="76">
        <v>600</v>
      </c>
      <c r="F60" s="77">
        <v>31200</v>
      </c>
      <c r="G60" s="77">
        <v>842.38</v>
      </c>
      <c r="H60" s="77">
        <v>30358</v>
      </c>
    </row>
    <row r="61" spans="1:8" x14ac:dyDescent="0.2">
      <c r="A61" s="76" t="s">
        <v>282</v>
      </c>
      <c r="B61" s="76" t="s">
        <v>284</v>
      </c>
      <c r="C61" s="76" t="s">
        <v>195</v>
      </c>
      <c r="D61" s="76">
        <v>3</v>
      </c>
      <c r="E61" s="76">
        <v>600</v>
      </c>
      <c r="F61" s="77">
        <v>30800</v>
      </c>
      <c r="G61" s="77">
        <v>770</v>
      </c>
      <c r="H61" s="77">
        <v>30030</v>
      </c>
    </row>
    <row r="62" spans="1:8" x14ac:dyDescent="0.2">
      <c r="A62" s="76" t="s">
        <v>282</v>
      </c>
      <c r="B62" s="76" t="s">
        <v>285</v>
      </c>
      <c r="C62" s="76" t="s">
        <v>195</v>
      </c>
      <c r="D62" s="76">
        <v>3</v>
      </c>
      <c r="E62" s="76">
        <v>540</v>
      </c>
      <c r="F62" s="77">
        <v>27580</v>
      </c>
      <c r="G62" s="77">
        <v>1075.5999999999999</v>
      </c>
      <c r="H62" s="77">
        <v>26504</v>
      </c>
    </row>
    <row r="63" spans="1:8" x14ac:dyDescent="0.2">
      <c r="A63" s="76" t="s">
        <v>282</v>
      </c>
      <c r="B63" s="76" t="s">
        <v>286</v>
      </c>
      <c r="C63" s="76" t="s">
        <v>195</v>
      </c>
      <c r="D63" s="76">
        <v>3</v>
      </c>
      <c r="E63" s="76">
        <v>172</v>
      </c>
      <c r="F63" s="77">
        <v>8780</v>
      </c>
      <c r="G63" s="77">
        <v>359.98</v>
      </c>
      <c r="H63" s="77">
        <v>8420</v>
      </c>
    </row>
    <row r="64" spans="1:8" x14ac:dyDescent="0.2">
      <c r="A64" s="76" t="s">
        <v>287</v>
      </c>
      <c r="B64" s="76" t="s">
        <v>288</v>
      </c>
      <c r="C64" s="76" t="s">
        <v>195</v>
      </c>
      <c r="D64" s="76">
        <v>3</v>
      </c>
      <c r="E64" s="76">
        <v>603</v>
      </c>
      <c r="F64" s="77">
        <v>31300</v>
      </c>
      <c r="G64" s="77">
        <v>948.39</v>
      </c>
      <c r="H64" s="77">
        <v>30352</v>
      </c>
    </row>
    <row r="65" spans="1:8" x14ac:dyDescent="0.2">
      <c r="A65" s="76" t="s">
        <v>287</v>
      </c>
      <c r="B65" s="76" t="s">
        <v>289</v>
      </c>
      <c r="C65" s="76" t="s">
        <v>195</v>
      </c>
      <c r="D65" s="76">
        <v>3</v>
      </c>
      <c r="E65" s="76">
        <v>600</v>
      </c>
      <c r="F65" s="77">
        <v>30920</v>
      </c>
      <c r="G65" s="77">
        <v>578.20000000000005</v>
      </c>
      <c r="H65" s="77">
        <v>30342</v>
      </c>
    </row>
    <row r="66" spans="1:8" x14ac:dyDescent="0.2">
      <c r="A66" s="76" t="s">
        <v>287</v>
      </c>
      <c r="B66" s="76" t="s">
        <v>290</v>
      </c>
      <c r="C66" s="76" t="s">
        <v>195</v>
      </c>
      <c r="D66" s="76">
        <v>3</v>
      </c>
      <c r="E66" s="76">
        <v>600</v>
      </c>
      <c r="F66" s="77">
        <v>31380</v>
      </c>
      <c r="G66" s="77">
        <v>837.85</v>
      </c>
      <c r="H66" s="77">
        <v>30542</v>
      </c>
    </row>
    <row r="67" spans="1:8" x14ac:dyDescent="0.2">
      <c r="A67" s="76" t="s">
        <v>287</v>
      </c>
      <c r="B67" s="76" t="s">
        <v>291</v>
      </c>
      <c r="C67" s="76" t="s">
        <v>195</v>
      </c>
      <c r="D67" s="76">
        <v>3</v>
      </c>
      <c r="E67" s="76">
        <v>600</v>
      </c>
      <c r="F67" s="77">
        <v>31040</v>
      </c>
      <c r="G67" s="77">
        <v>512.12</v>
      </c>
      <c r="H67" s="77">
        <v>30528</v>
      </c>
    </row>
    <row r="68" spans="1:8" x14ac:dyDescent="0.2">
      <c r="A68" s="76" t="s">
        <v>287</v>
      </c>
      <c r="B68" s="76" t="s">
        <v>292</v>
      </c>
      <c r="C68" s="76" t="s">
        <v>195</v>
      </c>
      <c r="D68" s="76">
        <v>3</v>
      </c>
      <c r="E68" s="76">
        <v>604</v>
      </c>
      <c r="F68" s="77">
        <v>31270</v>
      </c>
      <c r="G68" s="77">
        <v>422.12</v>
      </c>
      <c r="H68" s="77">
        <v>30848</v>
      </c>
    </row>
    <row r="69" spans="1:8" x14ac:dyDescent="0.2">
      <c r="A69" s="76" t="s">
        <v>293</v>
      </c>
      <c r="B69" s="76" t="s">
        <v>294</v>
      </c>
      <c r="C69" s="76" t="s">
        <v>195</v>
      </c>
      <c r="D69" s="76">
        <v>3</v>
      </c>
      <c r="E69" s="76">
        <v>568</v>
      </c>
      <c r="F69" s="77">
        <v>29730</v>
      </c>
      <c r="G69" s="77">
        <v>481.58</v>
      </c>
      <c r="H69" s="77">
        <v>29248</v>
      </c>
    </row>
    <row r="70" spans="1:8" x14ac:dyDescent="0.2">
      <c r="A70" s="76" t="s">
        <v>293</v>
      </c>
      <c r="B70" s="76" t="s">
        <v>295</v>
      </c>
      <c r="C70" s="76" t="s">
        <v>195</v>
      </c>
      <c r="D70" s="76">
        <v>3</v>
      </c>
      <c r="E70" s="76">
        <v>600</v>
      </c>
      <c r="F70" s="77">
        <v>30820</v>
      </c>
      <c r="G70" s="77">
        <v>554.76</v>
      </c>
      <c r="H70" s="77">
        <v>30265</v>
      </c>
    </row>
    <row r="71" spans="1:8" x14ac:dyDescent="0.2">
      <c r="A71" s="76" t="s">
        <v>293</v>
      </c>
      <c r="B71" s="76" t="s">
        <v>296</v>
      </c>
      <c r="C71" s="76" t="s">
        <v>195</v>
      </c>
      <c r="D71" s="76">
        <v>3</v>
      </c>
      <c r="E71" s="76">
        <v>600</v>
      </c>
      <c r="F71" s="77">
        <v>31290</v>
      </c>
      <c r="G71" s="77">
        <v>528.75</v>
      </c>
      <c r="H71" s="77">
        <v>30761</v>
      </c>
    </row>
    <row r="72" spans="1:8" x14ac:dyDescent="0.2">
      <c r="A72" s="76" t="s">
        <v>293</v>
      </c>
      <c r="B72" s="76" t="s">
        <v>297</v>
      </c>
      <c r="C72" s="76" t="s">
        <v>195</v>
      </c>
      <c r="D72" s="76">
        <v>3</v>
      </c>
      <c r="E72" s="76">
        <v>600</v>
      </c>
      <c r="F72" s="77">
        <v>31160</v>
      </c>
      <c r="G72" s="77">
        <v>785.2</v>
      </c>
      <c r="H72" s="77">
        <v>30375</v>
      </c>
    </row>
    <row r="73" spans="1:8" x14ac:dyDescent="0.2">
      <c r="A73" s="76" t="s">
        <v>293</v>
      </c>
      <c r="B73" s="76" t="s">
        <v>298</v>
      </c>
      <c r="C73" s="76" t="s">
        <v>195</v>
      </c>
      <c r="D73" s="76">
        <v>3</v>
      </c>
      <c r="E73" s="76">
        <v>600</v>
      </c>
      <c r="F73" s="77">
        <v>31240</v>
      </c>
      <c r="G73" s="77">
        <v>218.66</v>
      </c>
      <c r="H73" s="77">
        <v>31021</v>
      </c>
    </row>
    <row r="74" spans="1:8" x14ac:dyDescent="0.2">
      <c r="A74" s="76" t="s">
        <v>293</v>
      </c>
      <c r="B74" s="76" t="s">
        <v>299</v>
      </c>
      <c r="C74" s="76" t="s">
        <v>195</v>
      </c>
      <c r="D74" s="76">
        <v>3</v>
      </c>
      <c r="E74" s="76">
        <v>600</v>
      </c>
      <c r="F74" s="77">
        <v>30790</v>
      </c>
      <c r="G74" s="77">
        <v>794.38</v>
      </c>
      <c r="H74" s="77">
        <v>29996</v>
      </c>
    </row>
    <row r="75" spans="1:8" x14ac:dyDescent="0.2">
      <c r="A75" s="76" t="s">
        <v>293</v>
      </c>
      <c r="B75" s="76" t="s">
        <v>300</v>
      </c>
      <c r="C75" s="76" t="s">
        <v>195</v>
      </c>
      <c r="D75" s="76">
        <v>3</v>
      </c>
      <c r="E75" s="76">
        <v>594</v>
      </c>
      <c r="F75" s="77">
        <v>30530</v>
      </c>
      <c r="G75" s="77">
        <v>222.82</v>
      </c>
      <c r="H75" s="77">
        <v>30307</v>
      </c>
    </row>
    <row r="76" spans="1:8" x14ac:dyDescent="0.2">
      <c r="A76" s="76" t="s">
        <v>301</v>
      </c>
      <c r="B76" s="76" t="s">
        <v>302</v>
      </c>
      <c r="C76" s="76" t="s">
        <v>195</v>
      </c>
      <c r="D76" s="76">
        <v>3</v>
      </c>
      <c r="E76" s="76">
        <v>587</v>
      </c>
      <c r="F76" s="77">
        <v>30030</v>
      </c>
      <c r="G76" s="77">
        <v>684.68</v>
      </c>
      <c r="H76" s="77">
        <v>29345</v>
      </c>
    </row>
    <row r="77" spans="1:8" x14ac:dyDescent="0.2">
      <c r="A77" s="76" t="s">
        <v>301</v>
      </c>
      <c r="B77" s="76" t="s">
        <v>303</v>
      </c>
      <c r="C77" s="76" t="s">
        <v>195</v>
      </c>
      <c r="D77" s="76">
        <v>3</v>
      </c>
      <c r="E77" s="76">
        <v>600</v>
      </c>
      <c r="F77" s="77">
        <v>30740</v>
      </c>
      <c r="G77" s="77">
        <v>1586.18</v>
      </c>
      <c r="H77" s="77">
        <v>29154</v>
      </c>
    </row>
    <row r="78" spans="1:8" x14ac:dyDescent="0.2">
      <c r="A78" s="76" t="s">
        <v>301</v>
      </c>
      <c r="B78" s="76" t="s">
        <v>304</v>
      </c>
      <c r="C78" s="76" t="s">
        <v>195</v>
      </c>
      <c r="D78" s="76">
        <v>3</v>
      </c>
      <c r="E78" s="76">
        <v>600</v>
      </c>
      <c r="F78" s="77">
        <v>30560</v>
      </c>
      <c r="G78" s="77">
        <v>2389.79</v>
      </c>
      <c r="H78" s="77">
        <v>28170</v>
      </c>
    </row>
    <row r="79" spans="1:8" x14ac:dyDescent="0.2">
      <c r="A79" s="76" t="s">
        <v>301</v>
      </c>
      <c r="B79" s="76" t="s">
        <v>305</v>
      </c>
      <c r="C79" s="76" t="s">
        <v>195</v>
      </c>
      <c r="D79" s="76">
        <v>3</v>
      </c>
      <c r="E79" s="76">
        <v>602</v>
      </c>
      <c r="F79" s="77">
        <v>30890</v>
      </c>
      <c r="G79" s="77">
        <v>1266.44</v>
      </c>
      <c r="H79" s="77">
        <v>29624</v>
      </c>
    </row>
    <row r="80" spans="1:8" x14ac:dyDescent="0.2">
      <c r="A80" s="76" t="s">
        <v>301</v>
      </c>
      <c r="B80" s="76" t="s">
        <v>306</v>
      </c>
      <c r="C80" s="76" t="s">
        <v>195</v>
      </c>
      <c r="D80" s="76">
        <v>3</v>
      </c>
      <c r="E80" s="76">
        <v>117</v>
      </c>
      <c r="F80" s="77">
        <v>6170</v>
      </c>
      <c r="G80" s="77">
        <v>193.08</v>
      </c>
      <c r="H80" s="77">
        <v>5977</v>
      </c>
    </row>
    <row r="81" spans="1:8" x14ac:dyDescent="0.2">
      <c r="A81" s="76" t="s">
        <v>301</v>
      </c>
      <c r="B81" s="76" t="s">
        <v>307</v>
      </c>
      <c r="C81" s="76" t="s">
        <v>195</v>
      </c>
      <c r="D81" s="76">
        <v>3</v>
      </c>
      <c r="E81" s="76">
        <v>167</v>
      </c>
      <c r="F81" s="77">
        <v>8480</v>
      </c>
      <c r="G81" s="77">
        <v>207.76</v>
      </c>
      <c r="H81" s="77">
        <v>8272</v>
      </c>
    </row>
    <row r="82" spans="1:8" ht="15" x14ac:dyDescent="0.25">
      <c r="A82" s="78" t="s">
        <v>1</v>
      </c>
      <c r="B82" s="78"/>
      <c r="C82" s="78"/>
      <c r="D82" s="78"/>
      <c r="E82" s="78">
        <f>SUM(E7:E81)</f>
        <v>40100</v>
      </c>
      <c r="F82" s="79">
        <f>SUM(F7:F81)</f>
        <v>2057850</v>
      </c>
      <c r="G82" s="79">
        <f>SUM(G7:G81)</f>
        <v>67737.87999999999</v>
      </c>
      <c r="H82" s="79">
        <f>SUM(H7:H81)</f>
        <v>1990114</v>
      </c>
    </row>
    <row r="85" spans="1:8" ht="15" x14ac:dyDescent="0.25">
      <c r="A85" s="74" t="s">
        <v>308</v>
      </c>
      <c r="B85" s="37">
        <f>+H82</f>
        <v>1990114</v>
      </c>
    </row>
    <row r="86" spans="1:8" ht="15" x14ac:dyDescent="0.25">
      <c r="A86" s="74" t="s">
        <v>309</v>
      </c>
      <c r="B86" s="37">
        <v>11.13</v>
      </c>
    </row>
    <row r="87" spans="1:8" ht="15" x14ac:dyDescent="0.25">
      <c r="A87" s="74" t="s">
        <v>194</v>
      </c>
      <c r="B87" s="37">
        <f>B85*B86</f>
        <v>22149968.82</v>
      </c>
    </row>
    <row r="88" spans="1:8" ht="15" x14ac:dyDescent="0.25">
      <c r="A88" s="74" t="s">
        <v>310</v>
      </c>
      <c r="B88" s="37">
        <f>B87*0.1</f>
        <v>2214996.8820000002</v>
      </c>
    </row>
    <row r="89" spans="1:8" ht="15" x14ac:dyDescent="0.25">
      <c r="A89" s="74" t="s">
        <v>311</v>
      </c>
      <c r="B89" s="80">
        <f>B87-B88</f>
        <v>19934971.938000001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INGRESOS</vt:lpstr>
      <vt:lpstr>VENTA</vt:lpstr>
      <vt:lpstr>NATURASOL.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2026-04-28T22:02:08Z</dcterms:created>
  <dcterms:modified xsi:type="dcterms:W3CDTF">2026-04-28T22:12:04Z</dcterms:modified>
  <cp:category/>
  <cp:contentStatus/>
</cp:coreProperties>
</file>