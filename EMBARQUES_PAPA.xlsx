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sReneRoblesMora\Documents\Norman\"/>
    </mc:Choice>
  </mc:AlternateContent>
  <xr:revisionPtr revIDLastSave="0" documentId="8_{AE2BE3C8-1DAA-47CF-ADDB-0FBC2DAFA8B1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GENERAL " sheetId="10" r:id="rId1"/>
    <sheet name="INGRESOS" sheetId="11" r:id="rId2"/>
    <sheet name="VENTA (2)" sheetId="16" state="hidden" r:id="rId3"/>
    <sheet name="VENTA" sheetId="2" r:id="rId4"/>
    <sheet name="NATURASOL." sheetId="21" r:id="rId5"/>
    <sheet name="Hoja2" sheetId="20" state="hidden" r:id="rId6"/>
    <sheet name="NATURASOL (3)" sheetId="19" state="hidden" r:id="rId7"/>
    <sheet name="NATURASOL (2)" sheetId="18" state="hidden" r:id="rId8"/>
    <sheet name="BODEGA" sheetId="12" state="hidden" r:id="rId9"/>
    <sheet name="NATURASOL" sheetId="5" state="hidden" r:id="rId10"/>
    <sheet name="Hoja1" sheetId="13" state="hidden" r:id="rId11"/>
    <sheet name="JORGE DOM" sheetId="15" state="hidden" r:id="rId12"/>
    <sheet name="TINO" sheetId="14" state="hidden" r:id="rId13"/>
    <sheet name="Hoja3" sheetId="17" state="hidden" r:id="rId14"/>
  </sheets>
  <definedNames>
    <definedName name="_xlnm._FilterDatabase" localSheetId="0" hidden="1">'GENERAL '!#REF!</definedName>
    <definedName name="_xlnm._FilterDatabase" localSheetId="3" hidden="1">VENTA!$A$2:$S$39</definedName>
    <definedName name="_xlnm._FilterDatabase" localSheetId="2" hidden="1">'VENTA (2)'!$A$2:$S$38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21" l="1"/>
  <c r="B87" i="21"/>
  <c r="H82" i="21"/>
  <c r="G82" i="21"/>
  <c r="F82" i="21"/>
  <c r="E82" i="21"/>
  <c r="Q19" i="2"/>
  <c r="C71" i="11"/>
  <c r="C63" i="11"/>
  <c r="H41" i="2"/>
  <c r="R39" i="2"/>
  <c r="Q32" i="2"/>
  <c r="Q3" i="2"/>
  <c r="B88" i="21" l="1"/>
  <c r="B89" i="21" s="1"/>
  <c r="O80" i="17"/>
  <c r="P80" i="17"/>
  <c r="Q80" i="17"/>
  <c r="N80" i="17"/>
  <c r="R3" i="2"/>
  <c r="Q33" i="2"/>
  <c r="R32" i="2"/>
  <c r="C39" i="19"/>
  <c r="C47" i="19" s="1"/>
  <c r="E47" i="19"/>
  <c r="D39" i="19"/>
  <c r="Q31" i="2"/>
  <c r="Q17" i="2"/>
  <c r="R17" i="2"/>
  <c r="P40" i="2"/>
  <c r="R5" i="2"/>
  <c r="Q36" i="2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64" i="18"/>
  <c r="J50" i="18"/>
  <c r="J41" i="18"/>
  <c r="J67" i="18"/>
  <c r="J45" i="18"/>
  <c r="J46" i="18"/>
  <c r="J42" i="18"/>
  <c r="J69" i="18"/>
  <c r="J53" i="18"/>
  <c r="J54" i="18"/>
  <c r="J51" i="18"/>
  <c r="J52" i="18"/>
  <c r="J43" i="18"/>
  <c r="J71" i="18"/>
  <c r="J55" i="18"/>
  <c r="J56" i="18"/>
  <c r="J57" i="18"/>
  <c r="J76" i="18"/>
  <c r="J59" i="18"/>
  <c r="J60" i="18"/>
  <c r="J44" i="18"/>
  <c r="J62" i="18"/>
  <c r="J77" i="18"/>
  <c r="J58" i="18"/>
  <c r="J65" i="18"/>
  <c r="J66" i="18"/>
  <c r="J47" i="18"/>
  <c r="J68" i="18"/>
  <c r="J80" i="18"/>
  <c r="J70" i="18"/>
  <c r="J61" i="18"/>
  <c r="J72" i="18"/>
  <c r="J48" i="18"/>
  <c r="J74" i="18"/>
  <c r="J73" i="18"/>
  <c r="J81" i="18"/>
  <c r="J63" i="18"/>
  <c r="J78" i="18"/>
  <c r="J79" i="18"/>
  <c r="J49" i="18"/>
  <c r="J75" i="18"/>
  <c r="J82" i="18"/>
  <c r="J83" i="18"/>
  <c r="J84" i="18"/>
  <c r="C85" i="18"/>
  <c r="E85" i="18"/>
  <c r="P39" i="16"/>
  <c r="P8" i="16"/>
  <c r="R8" i="16" s="1"/>
  <c r="P33" i="16"/>
  <c r="R33" i="16" s="1"/>
  <c r="P32" i="16"/>
  <c r="R32" i="16" s="1"/>
  <c r="P4" i="16"/>
  <c r="R4" i="16" s="1"/>
  <c r="P6" i="16"/>
  <c r="P5" i="16"/>
  <c r="R5" i="16" s="1"/>
  <c r="P12" i="16"/>
  <c r="R12" i="16" s="1"/>
  <c r="P11" i="16"/>
  <c r="P10" i="16"/>
  <c r="P17" i="16"/>
  <c r="P16" i="16"/>
  <c r="P15" i="16"/>
  <c r="P14" i="16"/>
  <c r="P22" i="16"/>
  <c r="R22" i="16" s="1"/>
  <c r="P21" i="16"/>
  <c r="P25" i="16"/>
  <c r="R25" i="16" s="1"/>
  <c r="P24" i="16"/>
  <c r="P28" i="16"/>
  <c r="R28" i="16" s="1"/>
  <c r="P27" i="16"/>
  <c r="P31" i="16"/>
  <c r="P30" i="16"/>
  <c r="P34" i="16"/>
  <c r="R34" i="16" s="1"/>
  <c r="P37" i="16"/>
  <c r="R37" i="16" s="1"/>
  <c r="P36" i="16"/>
  <c r="R36" i="16" s="1"/>
  <c r="P38" i="16"/>
  <c r="R38" i="16"/>
  <c r="H40" i="16"/>
  <c r="I39" i="16"/>
  <c r="H39" i="16"/>
  <c r="G39" i="16"/>
  <c r="F39" i="16"/>
  <c r="E39" i="16"/>
  <c r="R35" i="16"/>
  <c r="Q35" i="16"/>
  <c r="R31" i="16"/>
  <c r="O31" i="16"/>
  <c r="R30" i="16"/>
  <c r="R29" i="16"/>
  <c r="O29" i="16"/>
  <c r="R27" i="16"/>
  <c r="R26" i="16"/>
  <c r="R24" i="16"/>
  <c r="R23" i="16"/>
  <c r="R21" i="16"/>
  <c r="R20" i="16"/>
  <c r="R19" i="16"/>
  <c r="R18" i="16"/>
  <c r="R17" i="16"/>
  <c r="R16" i="16"/>
  <c r="R15" i="16"/>
  <c r="R14" i="16"/>
  <c r="Q13" i="16"/>
  <c r="R13" i="16" s="1"/>
  <c r="R11" i="16"/>
  <c r="R10" i="16"/>
  <c r="R9" i="16"/>
  <c r="R7" i="16"/>
  <c r="R6" i="16"/>
  <c r="R3" i="16"/>
  <c r="Q3" i="16"/>
  <c r="Q39" i="16" s="1"/>
  <c r="O31" i="2"/>
  <c r="O29" i="2"/>
  <c r="J85" i="18" l="1"/>
  <c r="R39" i="16"/>
  <c r="E40" i="2"/>
  <c r="F40" i="2"/>
  <c r="G40" i="2"/>
  <c r="H40" i="2"/>
  <c r="I40" i="2"/>
  <c r="Q35" i="2" l="1"/>
  <c r="R35" i="2" l="1"/>
  <c r="R36" i="2"/>
  <c r="D5" i="10"/>
  <c r="R28" i="2"/>
  <c r="R29" i="2"/>
  <c r="R30" i="2"/>
  <c r="R31" i="2"/>
  <c r="R34" i="2"/>
  <c r="R25" i="2"/>
  <c r="R26" i="2"/>
  <c r="R27" i="2"/>
  <c r="R38" i="2"/>
  <c r="R8" i="2"/>
  <c r="R9" i="2"/>
  <c r="R10" i="2"/>
  <c r="R11" i="2"/>
  <c r="R12" i="2"/>
  <c r="R14" i="2"/>
  <c r="R18" i="2"/>
  <c r="R19" i="2"/>
  <c r="R20" i="2"/>
  <c r="R21" i="2"/>
  <c r="R22" i="2"/>
  <c r="R23" i="2"/>
  <c r="R4" i="2"/>
  <c r="R6" i="2"/>
  <c r="Q13" i="2"/>
  <c r="H81" i="5"/>
  <c r="H80" i="5"/>
  <c r="H31" i="12"/>
  <c r="H30" i="12"/>
  <c r="E24" i="5"/>
  <c r="E71" i="5" s="1"/>
  <c r="F37" i="14"/>
  <c r="F36" i="14"/>
  <c r="F35" i="14"/>
  <c r="F20" i="14"/>
  <c r="M19" i="14"/>
  <c r="F24" i="12"/>
  <c r="G24" i="12"/>
  <c r="D8" i="12"/>
  <c r="E24" i="12"/>
  <c r="E27" i="12" s="1"/>
  <c r="F27" i="12" s="1"/>
  <c r="P28" i="13"/>
  <c r="L28" i="13"/>
  <c r="N28" i="13"/>
  <c r="N23" i="13"/>
  <c r="P23" i="13" s="1"/>
  <c r="N18" i="13"/>
  <c r="P18" i="13" s="1"/>
  <c r="N13" i="13"/>
  <c r="P13" i="13" s="1"/>
  <c r="N8" i="13"/>
  <c r="P8" i="13" s="1"/>
  <c r="H28" i="13"/>
  <c r="J28" i="13" s="1"/>
  <c r="H23" i="13"/>
  <c r="J23" i="13" s="1"/>
  <c r="H18" i="13"/>
  <c r="J18" i="13" s="1"/>
  <c r="H13" i="13"/>
  <c r="J13" i="13" s="1"/>
  <c r="J30" i="13" s="1"/>
  <c r="J8" i="13"/>
  <c r="H8" i="13"/>
  <c r="K75" i="5"/>
  <c r="G74" i="5"/>
  <c r="R7" i="2"/>
  <c r="G71" i="5"/>
  <c r="L23" i="5"/>
  <c r="N71" i="5"/>
  <c r="O71" i="5"/>
  <c r="M71" i="5"/>
  <c r="R40" i="2" l="1"/>
  <c r="Q40" i="2"/>
  <c r="D10" i="10"/>
  <c r="C11" i="10" s="1"/>
  <c r="D24" i="12"/>
  <c r="E72" i="5" s="1"/>
  <c r="F29" i="12"/>
  <c r="C5" i="10"/>
  <c r="C10" i="10" s="1"/>
  <c r="F28" i="12"/>
  <c r="P30" i="13"/>
  <c r="J32" i="13" s="1"/>
  <c r="J35" i="13" s="1"/>
  <c r="F75" i="5" l="1"/>
</calcChain>
</file>

<file path=xl/sharedStrings.xml><?xml version="1.0" encoding="utf-8"?>
<sst xmlns="http://schemas.openxmlformats.org/spreadsheetml/2006/main" count="3275" uniqueCount="648">
  <si>
    <t xml:space="preserve">RESUMEN </t>
  </si>
  <si>
    <t>ARPILLAS</t>
  </si>
  <si>
    <t>TONELADAS</t>
  </si>
  <si>
    <t>FRESCO</t>
  </si>
  <si>
    <t>NATURASOL</t>
  </si>
  <si>
    <t>VR</t>
  </si>
  <si>
    <t>ANDEN</t>
  </si>
  <si>
    <t>PREENFRIADO</t>
  </si>
  <si>
    <t>TOTALES</t>
  </si>
  <si>
    <t>TON X HAS</t>
  </si>
  <si>
    <t>CONTRO DE EMBARQUES PAPA 25-26</t>
  </si>
  <si>
    <t>REMISIÓN</t>
  </si>
  <si>
    <t>FECHA SALIDA</t>
  </si>
  <si>
    <t>NO. GUÍA</t>
  </si>
  <si>
    <t xml:space="preserve">BLOCK </t>
  </si>
  <si>
    <t>PESO NETO KGS</t>
  </si>
  <si>
    <t>ARPILLAS 1ERAS Y 2DAS</t>
  </si>
  <si>
    <t>ARPILLAS 3RAS, 4TAS</t>
  </si>
  <si>
    <t>ARPILLAS 4TAS</t>
  </si>
  <si>
    <t>ARPILLAS 5TAS</t>
  </si>
  <si>
    <t>CLIENTE</t>
  </si>
  <si>
    <t>TEL. CLIENTE</t>
  </si>
  <si>
    <t>DESTINO</t>
  </si>
  <si>
    <t>CHOFER</t>
  </si>
  <si>
    <t>TEL. CHOFER</t>
  </si>
  <si>
    <t>FECHA LLEGADA</t>
  </si>
  <si>
    <t>TOTAL</t>
  </si>
  <si>
    <t>PAGO</t>
  </si>
  <si>
    <t>DIF POR PAGAR</t>
  </si>
  <si>
    <t>ANOTACIONES</t>
  </si>
  <si>
    <t>Columna1</t>
  </si>
  <si>
    <t>1rea</t>
  </si>
  <si>
    <t>3ra</t>
  </si>
  <si>
    <t>PRECIO MERCADO</t>
  </si>
  <si>
    <t>000252</t>
  </si>
  <si>
    <t>PABLO SOSA</t>
  </si>
  <si>
    <t>IXMIQUILPAN, HIDALGO</t>
  </si>
  <si>
    <t>LUIS HERNANDEZ MARTINEZ</t>
  </si>
  <si>
    <t>ANTICIPO</t>
  </si>
  <si>
    <t>000254</t>
  </si>
  <si>
    <t>LEONARDO FCO VALLEJO GAYTAN</t>
  </si>
  <si>
    <t>ZAMORA, MICHOACÁN</t>
  </si>
  <si>
    <t>ANTONIO VALLADAES</t>
  </si>
  <si>
    <t>000256</t>
  </si>
  <si>
    <t>TOMAS MARIN RAMOS</t>
  </si>
  <si>
    <t>IZTAPALAPA, CDMX</t>
  </si>
  <si>
    <t>MISRAW GUTIÉRREZ MARQUEZ</t>
  </si>
  <si>
    <t>000258</t>
  </si>
  <si>
    <t>AGRONEGOCIOS SANTA TERESA</t>
  </si>
  <si>
    <t>SAN NICOLAS DE LAS GARZAS NL</t>
  </si>
  <si>
    <t>CARLOS VILLA LOBOS</t>
  </si>
  <si>
    <t>000261</t>
  </si>
  <si>
    <t>OSCAR VALLES</t>
  </si>
  <si>
    <t>MONTERREY, NL</t>
  </si>
  <si>
    <t>JOSE GPE REYES</t>
  </si>
  <si>
    <t>LIQUIDADO</t>
  </si>
  <si>
    <t>000263</t>
  </si>
  <si>
    <t>PAPAS SANTA FE (STA TERESA)</t>
  </si>
  <si>
    <t>CHIHUAHUA</t>
  </si>
  <si>
    <t>RAUL CHAVEZ PORTILLO</t>
  </si>
  <si>
    <t>000266</t>
  </si>
  <si>
    <t>PAPAS EL SOÑADOR</t>
  </si>
  <si>
    <t>DURANGO</t>
  </si>
  <si>
    <t>JESUS BELMANS</t>
  </si>
  <si>
    <t>000269</t>
  </si>
  <si>
    <t>JOSE LUIS RODRIGUEZ</t>
  </si>
  <si>
    <t>000271</t>
  </si>
  <si>
    <t>VICTOR GONZALEZ (STA TERESA)</t>
  </si>
  <si>
    <t>CDMX</t>
  </si>
  <si>
    <t>EDUARDO GALLARDO ROJAS</t>
  </si>
  <si>
    <t>000275</t>
  </si>
  <si>
    <t>ALAN SANCHEZ HERNANDEZ</t>
  </si>
  <si>
    <t>000276</t>
  </si>
  <si>
    <t>PAPAS ARROYO</t>
  </si>
  <si>
    <t>JAVIER IVAN RODRIGUEZ C,</t>
  </si>
  <si>
    <t>000279</t>
  </si>
  <si>
    <t>PARRAL, CHIHUAHUA</t>
  </si>
  <si>
    <t>ALEJANDRO CAMPOS AVILA</t>
  </si>
  <si>
    <t>000281</t>
  </si>
  <si>
    <t>DAVID ANAYA</t>
  </si>
  <si>
    <t>EVERARDO MARROQUIN</t>
  </si>
  <si>
    <t>000282</t>
  </si>
  <si>
    <t>GUADALAJARA</t>
  </si>
  <si>
    <t>JUAN CARLOS ARRECIA</t>
  </si>
  <si>
    <t>000284</t>
  </si>
  <si>
    <t>MARTIN RAMOS</t>
  </si>
  <si>
    <t>JOSE LUIS DE LA CRUZ</t>
  </si>
  <si>
    <t>000289</t>
  </si>
  <si>
    <t>LORENZO ZAVALA</t>
  </si>
  <si>
    <t>SAN LUIS POTOSÍ</t>
  </si>
  <si>
    <t>JOSE ANTONIO DURAN</t>
  </si>
  <si>
    <t>000291</t>
  </si>
  <si>
    <t>ERICK GARCIA (PAPAS EL BOTE)</t>
  </si>
  <si>
    <t>MORELIA, MICHOACÁN</t>
  </si>
  <si>
    <t>ABEL PEREZ ROJAS</t>
  </si>
  <si>
    <t>000293</t>
  </si>
  <si>
    <t>RAUL GONZALEZ</t>
  </si>
  <si>
    <t>000296</t>
  </si>
  <si>
    <t>DAVID PORTILLO</t>
  </si>
  <si>
    <t>000298</t>
  </si>
  <si>
    <t>E. CAMARENA</t>
  </si>
  <si>
    <t>TEPATITLAN, JALISCO</t>
  </si>
  <si>
    <t>000195</t>
  </si>
  <si>
    <t>JUAN CARLOS LUCERO</t>
  </si>
  <si>
    <t>000322</t>
  </si>
  <si>
    <t>ISMAEL RIVERA</t>
  </si>
  <si>
    <t>MEXICO IZTAPALAPA</t>
  </si>
  <si>
    <t>JUAN MARTINEZ</t>
  </si>
  <si>
    <t>000327</t>
  </si>
  <si>
    <t>LEON GTO</t>
  </si>
  <si>
    <t>EN SAUL LEYVA SERRANO</t>
  </si>
  <si>
    <t>000323</t>
  </si>
  <si>
    <t>JOSE ALFREDO PEREZ</t>
  </si>
  <si>
    <t>000326</t>
  </si>
  <si>
    <t>FERNANDO ZEPEDA</t>
  </si>
  <si>
    <t>SAN MIGUEL BALTERAS TOLUCA</t>
  </si>
  <si>
    <t>LUIS ANGEL ROJAS</t>
  </si>
  <si>
    <t>SAUL LEYVA SERRANO</t>
  </si>
  <si>
    <t>000341</t>
  </si>
  <si>
    <t>EDGAR GUTIERREZ</t>
  </si>
  <si>
    <t>PRELIQUIDACION</t>
  </si>
  <si>
    <t>000403</t>
  </si>
  <si>
    <t>PEDRO CASAS</t>
  </si>
  <si>
    <t>000404</t>
  </si>
  <si>
    <t>JESUS RIVERA</t>
  </si>
  <si>
    <t>000405</t>
  </si>
  <si>
    <t>YOVANY RIVERA</t>
  </si>
  <si>
    <t>000406</t>
  </si>
  <si>
    <t>LUIS FERANDO ZEPEDA</t>
  </si>
  <si>
    <t>DOLORES HIDALGO</t>
  </si>
  <si>
    <t>RAUL JIMENEZ</t>
  </si>
  <si>
    <t>000407</t>
  </si>
  <si>
    <t>DIEGO ARROYO</t>
  </si>
  <si>
    <t>MARIO DOMINGUEZ</t>
  </si>
  <si>
    <t>000408</t>
  </si>
  <si>
    <t>RAUL SOSA</t>
  </si>
  <si>
    <t>PUEBLA</t>
  </si>
  <si>
    <t>ABELARDO MORA</t>
  </si>
  <si>
    <t>000451</t>
  </si>
  <si>
    <t>PAPAS EL GALLO</t>
  </si>
  <si>
    <t>QUERETARO</t>
  </si>
  <si>
    <t>OSCAR VELAZQUEZ</t>
  </si>
  <si>
    <t>000370</t>
  </si>
  <si>
    <t>BODEGAS</t>
  </si>
  <si>
    <t>OSCAR NIETO CRUZ</t>
  </si>
  <si>
    <t>EDO MEX</t>
  </si>
  <si>
    <t>JORGE SANCHEZ</t>
  </si>
  <si>
    <t>000371</t>
  </si>
  <si>
    <t>ERICK GARCIA</t>
  </si>
  <si>
    <t>Total</t>
  </si>
  <si>
    <t>TON/HAS</t>
  </si>
  <si>
    <t>LIQUIDACION</t>
  </si>
  <si>
    <t xml:space="preserve">FECHA </t>
  </si>
  <si>
    <t xml:space="preserve">CANTIDAD </t>
  </si>
  <si>
    <t xml:space="preserve">CONCEPTO </t>
  </si>
  <si>
    <t>EMPRESA</t>
  </si>
  <si>
    <t>MÉTODO PAGO</t>
  </si>
  <si>
    <t>ESTADO</t>
  </si>
  <si>
    <t>FACTURA</t>
  </si>
  <si>
    <t>REMISION</t>
  </si>
  <si>
    <t>DEPOSITO EN EFECTIVO</t>
  </si>
  <si>
    <t>NORMAN PRODUCE</t>
  </si>
  <si>
    <t>EFECTIVO</t>
  </si>
  <si>
    <t>N/A</t>
  </si>
  <si>
    <t>OLCAN GRAIN</t>
  </si>
  <si>
    <t>OLCAN GROWERS</t>
  </si>
  <si>
    <t>EFECTIVO CAMPO</t>
  </si>
  <si>
    <t>TRANSFERENCIA</t>
  </si>
  <si>
    <t>PRODUCTORA CAAR</t>
  </si>
  <si>
    <t>DESCONOCIDO</t>
  </si>
  <si>
    <t>000000112</t>
  </si>
  <si>
    <t>254</t>
  </si>
  <si>
    <t>PAGO REM 289</t>
  </si>
  <si>
    <t>LA PURA PAPA</t>
  </si>
  <si>
    <t>FACTURADO</t>
  </si>
  <si>
    <t>ABONO REM276</t>
  </si>
  <si>
    <t>LIQ REM 276</t>
  </si>
  <si>
    <t>000001671</t>
  </si>
  <si>
    <t>PAGO REM 261</t>
  </si>
  <si>
    <t>CARGO A CTA</t>
  </si>
  <si>
    <t>GANMI HORTICOLA</t>
  </si>
  <si>
    <t>JOSE LUIS ESQUIVEL</t>
  </si>
  <si>
    <t>408</t>
  </si>
  <si>
    <t>323</t>
  </si>
  <si>
    <t>ABONO ANTONIO ARROYO</t>
  </si>
  <si>
    <t>ANTONIO ARROYO</t>
  </si>
  <si>
    <t>404</t>
  </si>
  <si>
    <t>PAGO REM 293Y195</t>
  </si>
  <si>
    <t>293 Y 195</t>
  </si>
  <si>
    <t>ANTICIPO RAUL</t>
  </si>
  <si>
    <t>ANTICIPO ERIK</t>
  </si>
  <si>
    <t>291</t>
  </si>
  <si>
    <t>FRANCISCO HARO</t>
  </si>
  <si>
    <t>266</t>
  </si>
  <si>
    <t>341</t>
  </si>
  <si>
    <t>ANTICIPO 266</t>
  </si>
  <si>
    <t>ABONO MARTIN RAMOA</t>
  </si>
  <si>
    <t>MARTIN RAMOA</t>
  </si>
  <si>
    <t>284</t>
  </si>
  <si>
    <t>406</t>
  </si>
  <si>
    <t>LIQ REM471</t>
  </si>
  <si>
    <t>451</t>
  </si>
  <si>
    <t>SAN JOSE</t>
  </si>
  <si>
    <t>256</t>
  </si>
  <si>
    <t>406 y 326</t>
  </si>
  <si>
    <t>IMPORTE</t>
  </si>
  <si>
    <t xml:space="preserve">NATURASOL </t>
  </si>
  <si>
    <t>ARPILLAS 1ERAS</t>
  </si>
  <si>
    <t>ARPILLAS 3RAS</t>
  </si>
  <si>
    <t>BLOCK</t>
  </si>
  <si>
    <t>NOR 0001</t>
  </si>
  <si>
    <t>ALBERTO ESTRADA</t>
  </si>
  <si>
    <t>NOR 0002</t>
  </si>
  <si>
    <t>ADALBERTHO PARRA</t>
  </si>
  <si>
    <t>NOR 0003</t>
  </si>
  <si>
    <t>ISAAC AVILA</t>
  </si>
  <si>
    <t>NOR 0004</t>
  </si>
  <si>
    <t>CHRISTIAN SARABIA</t>
  </si>
  <si>
    <t>NOR 0006</t>
  </si>
  <si>
    <t>NOR 0007</t>
  </si>
  <si>
    <t>NOR 0008</t>
  </si>
  <si>
    <t>NOR 0009</t>
  </si>
  <si>
    <t>NOR 0010</t>
  </si>
  <si>
    <t>NOR 0011</t>
  </si>
  <si>
    <t>NOR 0012</t>
  </si>
  <si>
    <t>NOR 0013</t>
  </si>
  <si>
    <t>NOR 0014</t>
  </si>
  <si>
    <t>NOR 0015</t>
  </si>
  <si>
    <t>NOR 0016</t>
  </si>
  <si>
    <t>NOR 0017</t>
  </si>
  <si>
    <t>NOR 0018</t>
  </si>
  <si>
    <t>DUVIEL  ESTRADA</t>
  </si>
  <si>
    <t>NOR 0019</t>
  </si>
  <si>
    <t>NOR 0020</t>
  </si>
  <si>
    <t>MANUEL SANCHEZ</t>
  </si>
  <si>
    <t>NOR 0021</t>
  </si>
  <si>
    <t>NOR 0022</t>
  </si>
  <si>
    <t>NOR 0023</t>
  </si>
  <si>
    <t>NOR 0024</t>
  </si>
  <si>
    <t>NOR 0025</t>
  </si>
  <si>
    <t>NOR 0026</t>
  </si>
  <si>
    <t>EDGAR VEGA</t>
  </si>
  <si>
    <t>NOR 0027</t>
  </si>
  <si>
    <t>NOR 0028</t>
  </si>
  <si>
    <t>NOR 0029</t>
  </si>
  <si>
    <t>NOR 0030</t>
  </si>
  <si>
    <t>NOR 0031</t>
  </si>
  <si>
    <t>NOR 0032</t>
  </si>
  <si>
    <t>0018</t>
  </si>
  <si>
    <t>DANIEL ESTRADA</t>
  </si>
  <si>
    <t>0032</t>
  </si>
  <si>
    <t>NOR 0005</t>
  </si>
  <si>
    <t>JORGUE DOMINGUEZ</t>
  </si>
  <si>
    <t>HASTA AQUÍ YA FACTURÓ TINO</t>
  </si>
  <si>
    <t>NOR 0033</t>
  </si>
  <si>
    <t>NOR 0034</t>
  </si>
  <si>
    <t>NOR 0037</t>
  </si>
  <si>
    <t>NOR 0041</t>
  </si>
  <si>
    <t>NOR 0045</t>
  </si>
  <si>
    <t>NOR 0051</t>
  </si>
  <si>
    <t>NOR 0039</t>
  </si>
  <si>
    <t>NOR 0040</t>
  </si>
  <si>
    <t>ALAN VALDEZ</t>
  </si>
  <si>
    <t>NOR 0057</t>
  </si>
  <si>
    <t>NOR 0063</t>
  </si>
  <si>
    <t>NOR 0070</t>
  </si>
  <si>
    <t>NOR 0036</t>
  </si>
  <si>
    <t>NOR 0044</t>
  </si>
  <si>
    <t>NOR 0043</t>
  </si>
  <si>
    <t>NOR 0047</t>
  </si>
  <si>
    <t>NOR 0054</t>
  </si>
  <si>
    <t>NOR 0049</t>
  </si>
  <si>
    <t>NOR 0050</t>
  </si>
  <si>
    <t>ANDRES GOMEZ</t>
  </si>
  <si>
    <t>NOR 0061</t>
  </si>
  <si>
    <t>NOR 0052</t>
  </si>
  <si>
    <t xml:space="preserve">JAVIER LOPEZ </t>
  </si>
  <si>
    <t>NOR 0067</t>
  </si>
  <si>
    <t>NOR 0035</t>
  </si>
  <si>
    <t>NOR 0055</t>
  </si>
  <si>
    <t>NOR 0056</t>
  </si>
  <si>
    <t>NOR 0038</t>
  </si>
  <si>
    <t>NOR 0058</t>
  </si>
  <si>
    <t>NOR 0042</t>
  </si>
  <si>
    <t>NOR 0060</t>
  </si>
  <si>
    <t>NOR 0046</t>
  </si>
  <si>
    <t>NOR 0062</t>
  </si>
  <si>
    <t>NOR 0065</t>
  </si>
  <si>
    <t>NOR 0064</t>
  </si>
  <si>
    <t>NOR 0071</t>
  </si>
  <si>
    <t>NOR 0048</t>
  </si>
  <si>
    <t>NOR 0053</t>
  </si>
  <si>
    <t>NOR 0068</t>
  </si>
  <si>
    <t>NOR 0069</t>
  </si>
  <si>
    <t>NOR 0059</t>
  </si>
  <si>
    <t>NOR 0066</t>
  </si>
  <si>
    <t>NOR 0072</t>
  </si>
  <si>
    <t>NOR 0073</t>
  </si>
  <si>
    <t>JAVIER CUELLER</t>
  </si>
  <si>
    <t>NOR 0074</t>
  </si>
  <si>
    <t xml:space="preserve">JORGUE DOMINGUEZ </t>
  </si>
  <si>
    <t>ENTRADA BODEGA PROPIA</t>
  </si>
  <si>
    <t>NO. INTERNO</t>
  </si>
  <si>
    <t>ARPILLAS 4TAS2</t>
  </si>
  <si>
    <t>000192</t>
  </si>
  <si>
    <t>000197</t>
  </si>
  <si>
    <t>0033</t>
  </si>
  <si>
    <t>000196</t>
  </si>
  <si>
    <t>JAVIER CUELLAR</t>
  </si>
  <si>
    <t>4</t>
  </si>
  <si>
    <t>000199</t>
  </si>
  <si>
    <t>JORGE DOM</t>
  </si>
  <si>
    <t>5</t>
  </si>
  <si>
    <t>000200</t>
  </si>
  <si>
    <t>6</t>
  </si>
  <si>
    <t>000304</t>
  </si>
  <si>
    <t>DAVID ESTRADA</t>
  </si>
  <si>
    <t>7</t>
  </si>
  <si>
    <t>000307</t>
  </si>
  <si>
    <t>8</t>
  </si>
  <si>
    <t>000308</t>
  </si>
  <si>
    <t>9</t>
  </si>
  <si>
    <t>000310</t>
  </si>
  <si>
    <t>10</t>
  </si>
  <si>
    <t>000313</t>
  </si>
  <si>
    <t>VR-01</t>
  </si>
  <si>
    <t>000316</t>
  </si>
  <si>
    <t>JAVIER LOPEZ</t>
  </si>
  <si>
    <t>E 11</t>
  </si>
  <si>
    <t>E 12</t>
  </si>
  <si>
    <t>000338</t>
  </si>
  <si>
    <t>FRANCISCO VALDE</t>
  </si>
  <si>
    <t>VR-02</t>
  </si>
  <si>
    <t>000317</t>
  </si>
  <si>
    <t>VR-03</t>
  </si>
  <si>
    <t>000325</t>
  </si>
  <si>
    <t>VR-04</t>
  </si>
  <si>
    <t>000332</t>
  </si>
  <si>
    <t>DEL MONTERREY</t>
  </si>
  <si>
    <t>TOTAL ARPILLAS ENVIADAS</t>
  </si>
  <si>
    <t>ENTRADA BODEGA CLIENTE</t>
  </si>
  <si>
    <t>0001</t>
  </si>
  <si>
    <t>000253</t>
  </si>
  <si>
    <t>0002</t>
  </si>
  <si>
    <t>000255</t>
  </si>
  <si>
    <t>ADALBERTO PARRA</t>
  </si>
  <si>
    <t>0003</t>
  </si>
  <si>
    <t>000257</t>
  </si>
  <si>
    <t>0004</t>
  </si>
  <si>
    <t>000259</t>
  </si>
  <si>
    <t>0005</t>
  </si>
  <si>
    <t>000260</t>
  </si>
  <si>
    <t>JORGE DOMINGUEZ</t>
  </si>
  <si>
    <t>0006</t>
  </si>
  <si>
    <t>000262</t>
  </si>
  <si>
    <t>0007</t>
  </si>
  <si>
    <t>000264</t>
  </si>
  <si>
    <t>0008</t>
  </si>
  <si>
    <t>000265</t>
  </si>
  <si>
    <t>0009</t>
  </si>
  <si>
    <t>000267</t>
  </si>
  <si>
    <t>0010</t>
  </si>
  <si>
    <t>000268</t>
  </si>
  <si>
    <t>0011</t>
  </si>
  <si>
    <t>000270</t>
  </si>
  <si>
    <t>0012</t>
  </si>
  <si>
    <t>000272</t>
  </si>
  <si>
    <t>ALDALBERTO PARRA</t>
  </si>
  <si>
    <t>0013</t>
  </si>
  <si>
    <t>000273</t>
  </si>
  <si>
    <t>0014</t>
  </si>
  <si>
    <t>000274</t>
  </si>
  <si>
    <t>0015</t>
  </si>
  <si>
    <t>000277</t>
  </si>
  <si>
    <t>0016</t>
  </si>
  <si>
    <t>000278</t>
  </si>
  <si>
    <t>0017</t>
  </si>
  <si>
    <t>0019</t>
  </si>
  <si>
    <t>000193</t>
  </si>
  <si>
    <t>0020</t>
  </si>
  <si>
    <t>000194</t>
  </si>
  <si>
    <t>0021</t>
  </si>
  <si>
    <t>000283</t>
  </si>
  <si>
    <t>0022</t>
  </si>
  <si>
    <t>000285</t>
  </si>
  <si>
    <t>0023</t>
  </si>
  <si>
    <t>000286</t>
  </si>
  <si>
    <t>0024</t>
  </si>
  <si>
    <t>000287</t>
  </si>
  <si>
    <t>VALENTIN ESTRADA</t>
  </si>
  <si>
    <t>0025</t>
  </si>
  <si>
    <t>000288</t>
  </si>
  <si>
    <t>0026</t>
  </si>
  <si>
    <t>000290</t>
  </si>
  <si>
    <t>0027</t>
  </si>
  <si>
    <t>000294</t>
  </si>
  <si>
    <t>0028</t>
  </si>
  <si>
    <t>000295</t>
  </si>
  <si>
    <t>0029</t>
  </si>
  <si>
    <t>000297</t>
  </si>
  <si>
    <t>0030</t>
  </si>
  <si>
    <t>000299</t>
  </si>
  <si>
    <t>0031</t>
  </si>
  <si>
    <t>000300</t>
  </si>
  <si>
    <t>0034</t>
  </si>
  <si>
    <t>000303</t>
  </si>
  <si>
    <t>0035</t>
  </si>
  <si>
    <t>0036</t>
  </si>
  <si>
    <t>000309</t>
  </si>
  <si>
    <t>0037</t>
  </si>
  <si>
    <t>000311</t>
  </si>
  <si>
    <t>0038</t>
  </si>
  <si>
    <t>000312</t>
  </si>
  <si>
    <t>DUVIEL ESTRADA</t>
  </si>
  <si>
    <t>0039</t>
  </si>
  <si>
    <t>000314</t>
  </si>
  <si>
    <t>0040</t>
  </si>
  <si>
    <t>000315</t>
  </si>
  <si>
    <t>0041</t>
  </si>
  <si>
    <t>000318</t>
  </si>
  <si>
    <t>0042</t>
  </si>
  <si>
    <t>000319</t>
  </si>
  <si>
    <t>0043</t>
  </si>
  <si>
    <t>000320</t>
  </si>
  <si>
    <t>0044</t>
  </si>
  <si>
    <t>000321</t>
  </si>
  <si>
    <t>0045</t>
  </si>
  <si>
    <t>000328</t>
  </si>
  <si>
    <t>0046</t>
  </si>
  <si>
    <t>0047</t>
  </si>
  <si>
    <t>0048</t>
  </si>
  <si>
    <t>0049</t>
  </si>
  <si>
    <t>0050</t>
  </si>
  <si>
    <t>0053</t>
  </si>
  <si>
    <t>0054</t>
  </si>
  <si>
    <t>0055</t>
  </si>
  <si>
    <t>000344</t>
  </si>
  <si>
    <t>0056</t>
  </si>
  <si>
    <t>000346</t>
  </si>
  <si>
    <t>0057</t>
  </si>
  <si>
    <t>000348</t>
  </si>
  <si>
    <t>0058</t>
  </si>
  <si>
    <t>000349</t>
  </si>
  <si>
    <t>CAMPO</t>
  </si>
  <si>
    <t>DOMINGO</t>
  </si>
  <si>
    <t>2 JAULAS 1 TORTON</t>
  </si>
  <si>
    <t>2 JAULAS</t>
  </si>
  <si>
    <t>TON</t>
  </si>
  <si>
    <t>$/TON</t>
  </si>
  <si>
    <t>FLETE</t>
  </si>
  <si>
    <t>GRAN TOTAL</t>
  </si>
  <si>
    <t>LUNES</t>
  </si>
  <si>
    <t>1 1/2 DAVID ANAYA 2 JAULAS Y 1 FRIOS</t>
  </si>
  <si>
    <t>3 JAULAS 1 TORTON</t>
  </si>
  <si>
    <t>MARTES</t>
  </si>
  <si>
    <t>MIERCOLES</t>
  </si>
  <si>
    <t>2 FRESCO Y 3 JAULAS</t>
  </si>
  <si>
    <t>FUERON LOS YAQUIS</t>
  </si>
  <si>
    <t>1 TORNON</t>
  </si>
  <si>
    <t>1 TORNON, 3 JAULAS y 1 MONTERREY</t>
  </si>
  <si>
    <t>DESCUENTO</t>
  </si>
  <si>
    <t>TIPO</t>
  </si>
  <si>
    <t>FOLIO</t>
  </si>
  <si>
    <t>FECHA RECEPCION</t>
  </si>
  <si>
    <t>VARIEDAD</t>
  </si>
  <si>
    <t>CALIDAD</t>
  </si>
  <si>
    <t>LOTE  / DESTINO</t>
  </si>
  <si>
    <t xml:space="preserve">BODEGA </t>
  </si>
  <si>
    <t>TIPO CAMION</t>
  </si>
  <si>
    <t>PLACAS</t>
  </si>
  <si>
    <t>COMPAÑÍA DE TRANSPORTE</t>
  </si>
  <si>
    <t>BASCULA</t>
  </si>
  <si>
    <t>PESO NETO KG</t>
  </si>
  <si>
    <t>BULTOS REMITIDOS</t>
  </si>
  <si>
    <t>BULTOS RECIBIDOS/ENTREGADOS</t>
  </si>
  <si>
    <t>PESO/PRO</t>
  </si>
  <si>
    <t>ENTRADA</t>
  </si>
  <si>
    <t>FIANNA</t>
  </si>
  <si>
    <t>Selec / Industria</t>
  </si>
  <si>
    <t>L-405</t>
  </si>
  <si>
    <t>TORTON</t>
  </si>
  <si>
    <t>VE 00 056</t>
  </si>
  <si>
    <t>NORMAN</t>
  </si>
  <si>
    <t>GARCIA</t>
  </si>
  <si>
    <t>T-02</t>
  </si>
  <si>
    <t xml:space="preserve">TORTON </t>
  </si>
  <si>
    <t>TA 02</t>
  </si>
  <si>
    <t xml:space="preserve">GORGUE DOMINGUEZ </t>
  </si>
  <si>
    <t>VR 002</t>
  </si>
  <si>
    <t>PRIMERA</t>
  </si>
  <si>
    <t>TA -03</t>
  </si>
  <si>
    <t>51,09</t>
  </si>
  <si>
    <t>VR 006</t>
  </si>
  <si>
    <t>JAULA</t>
  </si>
  <si>
    <t>TA 03</t>
  </si>
  <si>
    <t>50,45</t>
  </si>
  <si>
    <t>E 4</t>
  </si>
  <si>
    <t>NA</t>
  </si>
  <si>
    <t>E 5</t>
  </si>
  <si>
    <t>T01</t>
  </si>
  <si>
    <t>E 7</t>
  </si>
  <si>
    <t>E 8</t>
  </si>
  <si>
    <t>T -01</t>
  </si>
  <si>
    <t>E 9</t>
  </si>
  <si>
    <t>SEMILLA</t>
  </si>
  <si>
    <t>PRENFIADO</t>
  </si>
  <si>
    <t>S/B</t>
  </si>
  <si>
    <t>E 13</t>
  </si>
  <si>
    <t>E 14</t>
  </si>
  <si>
    <t>E 15</t>
  </si>
  <si>
    <t>TA 02Y TA03</t>
  </si>
  <si>
    <t>AGRICULTOR</t>
  </si>
  <si>
    <t>L-1928</t>
  </si>
  <si>
    <t>84 BH 12</t>
  </si>
  <si>
    <t>IÑIGUEZ</t>
  </si>
  <si>
    <t>11 AL 4U</t>
  </si>
  <si>
    <t>VILLA JUAREZ</t>
  </si>
  <si>
    <t>77 AW 1X</t>
  </si>
  <si>
    <t>47 BE 4P</t>
  </si>
  <si>
    <t>2 UND 401</t>
  </si>
  <si>
    <t>88 AW 1X</t>
  </si>
  <si>
    <t>AB H 62</t>
  </si>
  <si>
    <t>17 BH 6Z</t>
  </si>
  <si>
    <t>1 UND 186</t>
  </si>
  <si>
    <t>UNION 60</t>
  </si>
  <si>
    <t>VA 0786 A</t>
  </si>
  <si>
    <t>831 CE 8</t>
  </si>
  <si>
    <t>UW 5664 A</t>
  </si>
  <si>
    <t>INGRESOS RECURSO PAPA  FRESCO CICLO 25-26</t>
  </si>
  <si>
    <t>INGRESOS RECURSO PAPA  NATURASOL CICLO 25-26</t>
  </si>
  <si>
    <t>407</t>
  </si>
  <si>
    <t>370</t>
  </si>
  <si>
    <t>405</t>
  </si>
  <si>
    <t>000385</t>
  </si>
  <si>
    <t>RAUL MANCILLAS</t>
  </si>
  <si>
    <t>258</t>
  </si>
  <si>
    <t>PAPA INDUSTRIA</t>
  </si>
  <si>
    <t>OLNCA GROWERS</t>
  </si>
  <si>
    <t>por facturar</t>
  </si>
  <si>
    <t>NATURASOL 2026</t>
  </si>
  <si>
    <t>LIQUIDACIÓN</t>
  </si>
  <si>
    <t>PRODUCTOR: NORMAN</t>
  </si>
  <si>
    <t>FECHA: 20-abr-26</t>
  </si>
  <si>
    <t>BODEGA</t>
  </si>
  <si>
    <t>ARPS</t>
  </si>
  <si>
    <t>PENALIZAC</t>
  </si>
  <si>
    <t>KG A PAGAR</t>
  </si>
  <si>
    <t>02-mar-26</t>
  </si>
  <si>
    <t>NOR 1</t>
  </si>
  <si>
    <t>NOR 2</t>
  </si>
  <si>
    <t>03-mar-26</t>
  </si>
  <si>
    <t>NOR 3</t>
  </si>
  <si>
    <t>NOR 4</t>
  </si>
  <si>
    <t>NOR 5</t>
  </si>
  <si>
    <t>04-mar-26</t>
  </si>
  <si>
    <t>NOR 6</t>
  </si>
  <si>
    <t>NOR 7</t>
  </si>
  <si>
    <t>NOR 8</t>
  </si>
  <si>
    <t>05-mar-26</t>
  </si>
  <si>
    <t>NOR 9</t>
  </si>
  <si>
    <t>NOR 10</t>
  </si>
  <si>
    <t>NOR 11</t>
  </si>
  <si>
    <t>06-mar-26</t>
  </si>
  <si>
    <t>NOR 12</t>
  </si>
  <si>
    <t>NOR 13</t>
  </si>
  <si>
    <t>NOR 14</t>
  </si>
  <si>
    <t>07-mar-26</t>
  </si>
  <si>
    <t>NOR 15</t>
  </si>
  <si>
    <t>NOR 16</t>
  </si>
  <si>
    <t>NOR 17</t>
  </si>
  <si>
    <t>08-mar-26</t>
  </si>
  <si>
    <t>NOR 18</t>
  </si>
  <si>
    <t>NOR 19</t>
  </si>
  <si>
    <t>NOR 20</t>
  </si>
  <si>
    <t>09-mar-26</t>
  </si>
  <si>
    <t>NOR 21</t>
  </si>
  <si>
    <t>NOR 22</t>
  </si>
  <si>
    <t>10-mar-26</t>
  </si>
  <si>
    <t>NOR 23</t>
  </si>
  <si>
    <t>NOR 24</t>
  </si>
  <si>
    <t>NOR 25</t>
  </si>
  <si>
    <t>NOR 26</t>
  </si>
  <si>
    <t>NOR 27</t>
  </si>
  <si>
    <t>NOR 28</t>
  </si>
  <si>
    <t>11-mar-26</t>
  </si>
  <si>
    <t>NOR 29</t>
  </si>
  <si>
    <t>NOR 30</t>
  </si>
  <si>
    <t>NOR 31</t>
  </si>
  <si>
    <t>12-mar-26</t>
  </si>
  <si>
    <t>NOR 32</t>
  </si>
  <si>
    <t>17-mar-26</t>
  </si>
  <si>
    <t>NOR 33</t>
  </si>
  <si>
    <t>NOR 34</t>
  </si>
  <si>
    <t>18-mar-26</t>
  </si>
  <si>
    <t>NOR 35</t>
  </si>
  <si>
    <t>NOR 36</t>
  </si>
  <si>
    <t>NOR 37</t>
  </si>
  <si>
    <t>NOR 38</t>
  </si>
  <si>
    <t>NOR 39</t>
  </si>
  <si>
    <t>19-mar-26</t>
  </si>
  <si>
    <t>NOR 40</t>
  </si>
  <si>
    <t>NOR 41</t>
  </si>
  <si>
    <t>NOR 42</t>
  </si>
  <si>
    <t>NOR 43</t>
  </si>
  <si>
    <t>20-mar-26</t>
  </si>
  <si>
    <t>NOR 44</t>
  </si>
  <si>
    <t>NOR 45</t>
  </si>
  <si>
    <t>NOR 46</t>
  </si>
  <si>
    <t>NOR 47</t>
  </si>
  <si>
    <t>NOR 48</t>
  </si>
  <si>
    <t>NOR 49</t>
  </si>
  <si>
    <t>21-mar-26</t>
  </si>
  <si>
    <t>NOR 50</t>
  </si>
  <si>
    <t>NOR 51</t>
  </si>
  <si>
    <t>NOR 52</t>
  </si>
  <si>
    <t>23-mar-26</t>
  </si>
  <si>
    <t>NOR 53</t>
  </si>
  <si>
    <t>NOR 54</t>
  </si>
  <si>
    <t>NOR 55</t>
  </si>
  <si>
    <t>NOR 56</t>
  </si>
  <si>
    <t>24-mar-26</t>
  </si>
  <si>
    <t>NOR 57</t>
  </si>
  <si>
    <t>NOR 58</t>
  </si>
  <si>
    <t>NOR 59</t>
  </si>
  <si>
    <t>NOR 60</t>
  </si>
  <si>
    <t>NOR 61</t>
  </si>
  <si>
    <t>25-mar-26</t>
  </si>
  <si>
    <t>NOR 62</t>
  </si>
  <si>
    <t>NOR 63</t>
  </si>
  <si>
    <t>NOR 64</t>
  </si>
  <si>
    <t>NOR 65</t>
  </si>
  <si>
    <t>NOR 66</t>
  </si>
  <si>
    <t>NOR 67</t>
  </si>
  <si>
    <t>NOR 68</t>
  </si>
  <si>
    <t>26-mar-26</t>
  </si>
  <si>
    <t>NOR 69</t>
  </si>
  <si>
    <t>NOR 70</t>
  </si>
  <si>
    <t>NOR 71</t>
  </si>
  <si>
    <t>NOR 72</t>
  </si>
  <si>
    <t>NOR 73</t>
  </si>
  <si>
    <t>NOR 74</t>
  </si>
  <si>
    <t>KILOS</t>
  </si>
  <si>
    <t>P.U.</t>
  </si>
  <si>
    <t>MENOS COMISIÓN (10%)</t>
  </si>
  <si>
    <t>PENDIENTE DE PAGO</t>
  </si>
  <si>
    <t>REM PEF</t>
  </si>
  <si>
    <t>KG EMB</t>
  </si>
  <si>
    <t>FECHA LIQUIDACION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</si>
</sst>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_-;_-&quot;$&quot;* \-#,##0.00_-;_-&quot;$&quot;* &quot;-&quot;??_-;_-@"/>
    <numFmt numFmtId="165" formatCode="d/m/yy"/>
    <numFmt numFmtId="166" formatCode="dd&quot;/&quot;mm&quot;/&quot;yyyy"/>
    <numFmt numFmtId="167" formatCode="d/m/yyyy"/>
  </numFmts>
  <fonts count="37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27"/>
      <color rgb="FFFFFFFF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8"/>
      <color rgb="FFFFFFFF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b/>
      <sz val="24"/>
      <color rgb="FFFFFFFF"/>
      <name val="Arial"/>
      <family val="2"/>
      <scheme val="minor"/>
    </font>
    <font>
      <sz val="24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b/>
      <sz val="16"/>
      <color theme="0"/>
      <name val="Arial"/>
      <family val="2"/>
      <scheme val="minor"/>
    </font>
    <font>
      <sz val="12"/>
      <color theme="1"/>
      <name val="Calibri"/>
      <family val="2"/>
    </font>
    <font>
      <u/>
      <sz val="12"/>
      <color theme="1"/>
      <name val="Calibri"/>
      <family val="2"/>
    </font>
    <font>
      <sz val="8"/>
      <name val="Arial"/>
      <family val="2"/>
      <scheme val="minor"/>
    </font>
    <font>
      <sz val="10"/>
      <color rgb="FF000000"/>
      <name val="Aptos Narrow"/>
      <family val="2"/>
    </font>
    <font>
      <sz val="8"/>
      <color rgb="FF000000"/>
      <name val="Aptos Narrow"/>
      <family val="2"/>
    </font>
    <font>
      <sz val="9"/>
      <name val="Arial"/>
      <family val="2"/>
      <scheme val="minor"/>
    </font>
    <font>
      <sz val="9"/>
      <color theme="1"/>
      <name val="Calibri"/>
      <family val="2"/>
    </font>
    <font>
      <b/>
      <sz val="9"/>
      <color rgb="FFFF0000"/>
      <name val="Arial"/>
      <family val="2"/>
      <scheme val="minor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9"/>
      <color theme="1"/>
      <name val="Calibri"/>
      <family val="2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990000"/>
        <bgColor rgb="FF99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990000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5" tint="0.39997558519241921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217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6" fillId="0" borderId="0" xfId="0" applyFont="1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7" fillId="0" borderId="0" xfId="0" applyNumberFormat="1" applyFont="1"/>
    <xf numFmtId="4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8" fillId="0" borderId="0" xfId="0" applyFont="1"/>
    <xf numFmtId="3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/>
    <xf numFmtId="49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4" fontId="0" fillId="0" borderId="0" xfId="0" applyNumberFormat="1"/>
    <xf numFmtId="43" fontId="0" fillId="0" borderId="0" xfId="0" applyNumberFormat="1"/>
    <xf numFmtId="165" fontId="2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49" fontId="2" fillId="0" borderId="1" xfId="0" quotePrefix="1" applyNumberFormat="1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3" fontId="5" fillId="3" borderId="5" xfId="0" applyNumberFormat="1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3" fontId="2" fillId="0" borderId="8" xfId="0" applyNumberFormat="1" applyFont="1" applyBorder="1" applyAlignment="1">
      <alignment horizontal="center"/>
    </xf>
    <xf numFmtId="44" fontId="2" fillId="0" borderId="8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43" fontId="6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44" fontId="0" fillId="0" borderId="0" xfId="1" applyFont="1"/>
    <xf numFmtId="0" fontId="0" fillId="0" borderId="11" xfId="0" applyBorder="1"/>
    <xf numFmtId="0" fontId="0" fillId="0" borderId="12" xfId="0" applyBorder="1"/>
    <xf numFmtId="0" fontId="17" fillId="0" borderId="1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12" xfId="1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44" fontId="0" fillId="0" borderId="15" xfId="0" applyNumberFormat="1" applyBorder="1"/>
    <xf numFmtId="0" fontId="17" fillId="0" borderId="0" xfId="0" applyFont="1"/>
    <xf numFmtId="44" fontId="17" fillId="0" borderId="0" xfId="0" applyNumberFormat="1" applyFont="1"/>
    <xf numFmtId="44" fontId="17" fillId="0" borderId="0" xfId="1" applyFont="1"/>
    <xf numFmtId="49" fontId="2" fillId="0" borderId="1" xfId="0" applyNumberFormat="1" applyFont="1" applyBorder="1" applyAlignment="1">
      <alignment horizontal="center"/>
    </xf>
    <xf numFmtId="49" fontId="2" fillId="0" borderId="3" xfId="0" quotePrefix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8" fillId="0" borderId="0" xfId="0" applyNumberFormat="1" applyFont="1" applyAlignment="1">
      <alignment horizontal="left"/>
    </xf>
    <xf numFmtId="3" fontId="0" fillId="0" borderId="0" xfId="0" applyNumberFormat="1"/>
    <xf numFmtId="0" fontId="20" fillId="8" borderId="19" xfId="0" applyFont="1" applyFill="1" applyBorder="1"/>
    <xf numFmtId="0" fontId="20" fillId="8" borderId="19" xfId="0" applyFont="1" applyFill="1" applyBorder="1" applyAlignment="1">
      <alignment horizontal="right"/>
    </xf>
    <xf numFmtId="4" fontId="19" fillId="0" borderId="19" xfId="2" applyNumberFormat="1" applyFont="1" applyBorder="1" applyAlignment="1">
      <alignment horizontal="center"/>
    </xf>
    <xf numFmtId="4" fontId="18" fillId="0" borderId="19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3" fontId="5" fillId="3" borderId="1" xfId="0" applyNumberFormat="1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2" fillId="7" borderId="1" xfId="0" applyNumberFormat="1" applyFont="1" applyFill="1" applyBorder="1" applyAlignment="1">
      <alignment horizontal="center"/>
    </xf>
    <xf numFmtId="49" fontId="2" fillId="7" borderId="1" xfId="0" quotePrefix="1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3" fontId="2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2" fillId="0" borderId="2" xfId="0" quotePrefix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49" fontId="2" fillId="0" borderId="8" xfId="0" quotePrefix="1" applyNumberFormat="1" applyFont="1" applyBorder="1" applyAlignment="1">
      <alignment horizontal="center"/>
    </xf>
    <xf numFmtId="49" fontId="6" fillId="0" borderId="0" xfId="0" quotePrefix="1" applyNumberFormat="1" applyFont="1" applyAlignment="1">
      <alignment horizontal="center"/>
    </xf>
    <xf numFmtId="166" fontId="1" fillId="0" borderId="19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44" fontId="21" fillId="0" borderId="19" xfId="0" applyNumberFormat="1" applyFont="1" applyBorder="1" applyAlignment="1">
      <alignment horizontal="center"/>
    </xf>
    <xf numFmtId="0" fontId="21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/>
    </xf>
    <xf numFmtId="49" fontId="2" fillId="0" borderId="7" xfId="0" quotePrefix="1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4" fillId="0" borderId="19" xfId="0" applyFont="1" applyBorder="1" applyAlignment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14" fontId="24" fillId="0" borderId="27" xfId="0" applyNumberFormat="1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/>
    </xf>
    <xf numFmtId="0" fontId="24" fillId="0" borderId="24" xfId="0" applyFont="1" applyBorder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43" fontId="0" fillId="0" borderId="0" xfId="2" applyFont="1" applyAlignment="1">
      <alignment horizontal="center"/>
    </xf>
    <xf numFmtId="4" fontId="19" fillId="0" borderId="19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44" fontId="3" fillId="2" borderId="0" xfId="1" applyFont="1" applyFill="1" applyAlignment="1">
      <alignment horizontal="left"/>
    </xf>
    <xf numFmtId="44" fontId="4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4" fontId="6" fillId="0" borderId="0" xfId="1" applyFont="1" applyFill="1" applyAlignment="1">
      <alignment horizontal="center"/>
    </xf>
    <xf numFmtId="14" fontId="26" fillId="0" borderId="0" xfId="0" applyNumberFormat="1" applyFont="1" applyAlignment="1">
      <alignment horizontal="center"/>
    </xf>
    <xf numFmtId="44" fontId="6" fillId="0" borderId="0" xfId="1" applyFont="1" applyAlignment="1">
      <alignment horizontal="center"/>
    </xf>
    <xf numFmtId="167" fontId="12" fillId="9" borderId="19" xfId="0" applyNumberFormat="1" applyFont="1" applyFill="1" applyBorder="1" applyAlignment="1">
      <alignment horizontal="center"/>
    </xf>
    <xf numFmtId="164" fontId="12" fillId="9" borderId="19" xfId="0" applyNumberFormat="1" applyFont="1" applyFill="1" applyBorder="1" applyAlignment="1">
      <alignment horizontal="center"/>
    </xf>
    <xf numFmtId="49" fontId="12" fillId="9" borderId="19" xfId="0" applyNumberFormat="1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/>
    </xf>
    <xf numFmtId="167" fontId="12" fillId="9" borderId="20" xfId="0" applyNumberFormat="1" applyFont="1" applyFill="1" applyBorder="1" applyAlignment="1">
      <alignment horizontal="center"/>
    </xf>
    <xf numFmtId="49" fontId="12" fillId="9" borderId="21" xfId="0" applyNumberFormat="1" applyFont="1" applyFill="1" applyBorder="1" applyAlignment="1">
      <alignment horizontal="center"/>
    </xf>
    <xf numFmtId="4" fontId="0" fillId="0" borderId="0" xfId="0" applyNumberFormat="1"/>
    <xf numFmtId="0" fontId="2" fillId="4" borderId="1" xfId="0" applyFont="1" applyFill="1" applyBorder="1" applyAlignment="1">
      <alignment horizontal="center"/>
    </xf>
    <xf numFmtId="43" fontId="2" fillId="0" borderId="8" xfId="0" applyNumberFormat="1" applyFont="1" applyBorder="1"/>
    <xf numFmtId="49" fontId="2" fillId="0" borderId="8" xfId="0" applyNumberFormat="1" applyFont="1" applyBorder="1" applyAlignment="1">
      <alignment horizontal="center"/>
    </xf>
    <xf numFmtId="0" fontId="6" fillId="10" borderId="0" xfId="0" applyFont="1" applyFill="1"/>
    <xf numFmtId="0" fontId="0" fillId="10" borderId="0" xfId="0" applyFill="1"/>
    <xf numFmtId="167" fontId="12" fillId="0" borderId="19" xfId="0" applyNumberFormat="1" applyFont="1" applyBorder="1" applyAlignment="1">
      <alignment horizontal="center"/>
    </xf>
    <xf numFmtId="164" fontId="12" fillId="0" borderId="19" xfId="0" applyNumberFormat="1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9" fontId="12" fillId="0" borderId="19" xfId="0" quotePrefix="1" applyNumberFormat="1" applyFont="1" applyBorder="1" applyAlignment="1">
      <alignment horizontal="center"/>
    </xf>
    <xf numFmtId="49" fontId="13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167" fontId="12" fillId="0" borderId="20" xfId="0" applyNumberFormat="1" applyFont="1" applyBorder="1" applyAlignment="1">
      <alignment horizontal="center"/>
    </xf>
    <xf numFmtId="49" fontId="12" fillId="0" borderId="21" xfId="0" applyNumberFormat="1" applyFont="1" applyBorder="1" applyAlignment="1">
      <alignment horizontal="center"/>
    </xf>
    <xf numFmtId="167" fontId="27" fillId="0" borderId="20" xfId="0" applyNumberFormat="1" applyFont="1" applyBorder="1" applyAlignment="1">
      <alignment horizontal="center"/>
    </xf>
    <xf numFmtId="164" fontId="27" fillId="0" borderId="19" xfId="0" applyNumberFormat="1" applyFont="1" applyBorder="1" applyAlignment="1">
      <alignment horizontal="center"/>
    </xf>
    <xf numFmtId="0" fontId="27" fillId="0" borderId="19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/>
    </xf>
    <xf numFmtId="49" fontId="27" fillId="0" borderId="21" xfId="0" applyNumberFormat="1" applyFont="1" applyBorder="1" applyAlignment="1">
      <alignment horizontal="center"/>
    </xf>
    <xf numFmtId="166" fontId="1" fillId="11" borderId="31" xfId="0" applyNumberFormat="1" applyFont="1" applyFill="1" applyBorder="1" applyAlignment="1">
      <alignment horizontal="center"/>
    </xf>
    <xf numFmtId="164" fontId="1" fillId="11" borderId="32" xfId="0" applyNumberFormat="1" applyFont="1" applyFill="1" applyBorder="1" applyAlignment="1">
      <alignment horizontal="center"/>
    </xf>
    <xf numFmtId="0" fontId="1" fillId="11" borderId="32" xfId="0" applyFont="1" applyFill="1" applyBorder="1" applyAlignment="1">
      <alignment horizontal="center"/>
    </xf>
    <xf numFmtId="49" fontId="1" fillId="11" borderId="32" xfId="0" applyNumberFormat="1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49" fontId="12" fillId="0" borderId="30" xfId="0" quotePrefix="1" applyNumberFormat="1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4" fontId="26" fillId="4" borderId="0" xfId="0" applyNumberFormat="1" applyFont="1" applyFill="1" applyAlignment="1">
      <alignment horizontal="center"/>
    </xf>
    <xf numFmtId="164" fontId="28" fillId="4" borderId="0" xfId="0" applyNumberFormat="1" applyFont="1" applyFill="1" applyAlignment="1">
      <alignment horizontal="center"/>
    </xf>
    <xf numFmtId="164" fontId="26" fillId="4" borderId="0" xfId="0" applyNumberFormat="1" applyFont="1" applyFill="1" applyAlignment="1">
      <alignment horizontal="center"/>
    </xf>
    <xf numFmtId="167" fontId="31" fillId="0" borderId="29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0" fontId="0" fillId="0" borderId="19" xfId="0" applyBorder="1"/>
    <xf numFmtId="49" fontId="12" fillId="0" borderId="0" xfId="0" applyNumberFormat="1" applyFont="1" applyAlignment="1">
      <alignment horizontal="center"/>
    </xf>
    <xf numFmtId="49" fontId="12" fillId="0" borderId="21" xfId="0" quotePrefix="1" applyNumberFormat="1" applyFont="1" applyBorder="1" applyAlignment="1">
      <alignment horizontal="center"/>
    </xf>
    <xf numFmtId="0" fontId="29" fillId="0" borderId="34" xfId="0" applyFont="1" applyBorder="1" applyAlignment="1">
      <alignment horizontal="center"/>
    </xf>
    <xf numFmtId="44" fontId="29" fillId="0" borderId="35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35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12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34" fillId="13" borderId="0" xfId="0" applyFont="1" applyFill="1"/>
    <xf numFmtId="4" fontId="34" fillId="13" borderId="0" xfId="0" applyNumberFormat="1" applyFont="1" applyFill="1"/>
    <xf numFmtId="4" fontId="36" fillId="0" borderId="0" xfId="0" applyNumberFormat="1" applyFont="1"/>
    <xf numFmtId="0" fontId="3" fillId="2" borderId="0" xfId="0" applyFont="1" applyFill="1" applyAlignment="1">
      <alignment horizontal="center"/>
    </xf>
    <xf numFmtId="0" fontId="20" fillId="8" borderId="19" xfId="0" applyFont="1" applyFill="1" applyBorder="1" applyAlignment="1">
      <alignment horizontal="center" vertical="center"/>
    </xf>
    <xf numFmtId="4" fontId="18" fillId="0" borderId="21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5" fillId="6" borderId="19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2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  <xf numFmtId="0" fontId="17" fillId="0" borderId="1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2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-&quot;$&quot;* #,##0.00_-;_-&quot;$&quot;* \-#,##0.00_-;_-&quot;$&quot;* &quot;-&quot;??_-;_-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-&quot;$&quot;* #,##0.00_-;_-&quot;$&quot;* \-#,##0.00_-;_-&quot;$&quot;* &quot;-&quot;??_-;_-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-&quot;$&quot;* #,##0.00_-;_-&quot;$&quot;* \-#,##0.00_-;_-&quot;$&quot;* &quot;-&quot;??_-;_-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d/m/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5" formatCode="_-* #,##0.00_-;\-* #,##0.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d/m/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-&quot;$&quot;* #,##0.00_-;_-&quot;$&quot;* \-#,##0.00_-;_-&quot;$&quot;* &quot;-&quot;??_-;_-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d/m/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d/m/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67" formatCode="d/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4" formatCode="_-&quot;$&quot;* #,##0.00_-;\-&quot;$&quot;* #,##0.00_-;_-&quot;$&quot;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64" formatCode="_-&quot;$&quot;* #,##0.00_-;_-&quot;$&quot;* \-#,##0.00_-;_-&quot;$&quot;* &quot;-&quot;??_-;_-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654A57-A240-4BA6-9471-3844DFD45BCD}" name="Tabla5" displayName="Tabla5" ref="B4:J63" totalsRowCount="1" headerRowDxfId="245" dataDxfId="243" totalsRowDxfId="241" headerRowBorderDxfId="244" tableBorderDxfId="242" totalsRowBorderDxfId="240">
  <autoFilter ref="B4:J62" xr:uid="{E8654A57-A240-4BA6-9471-3844DFD45BCD}"/>
  <sortState xmlns:xlrd2="http://schemas.microsoft.com/office/spreadsheetml/2017/richdata2" ref="B5:J61">
    <sortCondition ref="E4:E61"/>
  </sortState>
  <tableColumns count="9">
    <tableColumn id="1" xr3:uid="{5D31500E-AD83-4B8F-9402-7C186E120377}" name="FECHA " totalsRowLabel="Total" dataDxfId="239" totalsRowDxfId="238"/>
    <tableColumn id="2" xr3:uid="{D341D909-B14E-4144-974E-0D66B9088B09}" name="CANTIDAD " totalsRowFunction="sum" dataDxfId="237" totalsRowDxfId="236"/>
    <tableColumn id="3" xr3:uid="{40BE03DB-E329-4A87-849F-04D43884828E}" name="CONCEPTO " dataDxfId="235" totalsRowDxfId="234"/>
    <tableColumn id="4" xr3:uid="{AAD8D299-346F-485D-B9BD-7F2C1EB4A54D}" name="EMPRESA" dataDxfId="233" totalsRowDxfId="232"/>
    <tableColumn id="5" xr3:uid="{691E07A5-F107-4840-8EFA-54AD6D00B055}" name="MÉTODO PAGO" dataDxfId="231" totalsRowDxfId="230"/>
    <tableColumn id="6" xr3:uid="{DCEEDFF8-833E-4349-BED0-3B45E57175CB}" name="CLIENTE" dataDxfId="229" totalsRowDxfId="228"/>
    <tableColumn id="7" xr3:uid="{ED429E8D-9880-4D26-8A30-6D4D190E2619}" name="ESTADO" dataDxfId="227" totalsRowDxfId="226"/>
    <tableColumn id="8" xr3:uid="{2C8985E1-1E82-4D1A-89E5-F52A2968BB8A}" name="FACTURA" dataDxfId="225" totalsRowDxfId="224"/>
    <tableColumn id="9" xr3:uid="{161FD950-132C-4592-97F8-B093C9605E4D}" name="REMISION" dataDxfId="223" totalsRowDxfId="22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54B9F3-201A-4273-89C7-A02358A534D4}" name="Tabla17" displayName="Tabla17" ref="A2:W39" totalsRowCount="1" headerRowDxfId="221" dataDxfId="220" tableBorderDxfId="219">
  <autoFilter ref="A2:W38" xr:uid="{A7222F04-9898-459C-BD86-A5B29D3C10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CAD4C5C9-4CB9-4F03-B55E-56EFC81C9A68}" name="REMISIÓN" totalsRowLabel="Total" dataDxfId="218" totalsRowDxfId="217"/>
    <tableColumn id="2" xr3:uid="{5EC6AE69-7052-48E0-93AA-2DD72C015D27}" name="FECHA SALIDA" dataDxfId="216" totalsRowDxfId="215"/>
    <tableColumn id="3" xr3:uid="{2FB99B31-BF7B-4D36-A3EF-478BD1BCF3B6}" name="NO. GUÍA" dataDxfId="214" totalsRowDxfId="213"/>
    <tableColumn id="21" xr3:uid="{C0CE1A23-C9C9-4779-BDFC-CBC5FBF6A10D}" name="BLOCK " dataDxfId="212" totalsRowDxfId="211"/>
    <tableColumn id="4" xr3:uid="{1A2AA063-02D5-45B8-A79D-7C2F03A2FD1C}" name="PESO NETO KGS" totalsRowFunction="sum" dataDxfId="210" totalsRowDxfId="209"/>
    <tableColumn id="5" xr3:uid="{941F5AA6-B897-4A8F-9B98-E2BBFFC2157B}" name="ARPILLAS 1ERAS Y 2DAS" totalsRowFunction="sum" dataDxfId="208" totalsRowDxfId="207"/>
    <tableColumn id="6" xr3:uid="{A56FC963-3C98-4470-A317-D566C246D27B}" name="ARPILLAS 3RAS, 4TAS" totalsRowFunction="sum" dataDxfId="206" totalsRowDxfId="205"/>
    <tableColumn id="7" xr3:uid="{B938A448-6B28-46E2-9F10-339BDD49E9F6}" name="ARPILLAS 4TAS" totalsRowFunction="sum" dataDxfId="204" totalsRowDxfId="203"/>
    <tableColumn id="8" xr3:uid="{75233317-7995-47B8-A864-677EFD3154BE}" name="ARPILLAS 5TAS" totalsRowFunction="sum" dataDxfId="202" totalsRowDxfId="201"/>
    <tableColumn id="9" xr3:uid="{CBC4F4E2-D548-4AEC-9C85-B426B0488D58}" name="CLIENTE" dataDxfId="200" totalsRowDxfId="199"/>
    <tableColumn id="10" xr3:uid="{7325D695-5DCA-4D31-A3E7-3139E6CD05CB}" name="TEL. CLIENTE" dataDxfId="198" totalsRowDxfId="197"/>
    <tableColumn id="11" xr3:uid="{04C4FB76-124D-4A22-B4D0-126315976D81}" name="DESTINO" dataDxfId="196" totalsRowDxfId="195"/>
    <tableColumn id="12" xr3:uid="{B7C6C4DD-93E4-47A1-B359-7B0F7FDE1B4B}" name="CHOFER" dataDxfId="194" totalsRowDxfId="193"/>
    <tableColumn id="13" xr3:uid="{9E7276BF-01B2-437E-B211-3EB6BC5FFDDA}" name="TEL. CHOFER" dataDxfId="192" totalsRowDxfId="191"/>
    <tableColumn id="14" xr3:uid="{441790FA-7889-4430-B3D4-759F34B743DD}" name="FECHA LLEGADA" dataDxfId="190" totalsRowDxfId="189"/>
    <tableColumn id="15" xr3:uid="{414CE84D-378B-4133-A3D9-2BD9BD76AB45}" name="TOTAL" totalsRowFunction="sum" dataDxfId="188" totalsRowDxfId="187" totalsRowCellStyle="Moneda"/>
    <tableColumn id="16" xr3:uid="{B4237FF5-D75C-44EC-9C24-8DC915CF5514}" name="PAGO" totalsRowFunction="sum" dataDxfId="186" totalsRowDxfId="185"/>
    <tableColumn id="17" xr3:uid="{59ADBE9C-F493-4F3E-8F96-94EE7C27CA29}" name="DIF POR PAGAR" totalsRowFunction="sum" dataDxfId="184" totalsRowDxfId="183">
      <calculatedColumnFormula>+Tabla17[[#This Row],[TOTAL]]-Tabla17[[#This Row],[PAGO]]</calculatedColumnFormula>
    </tableColumn>
    <tableColumn id="18" xr3:uid="{B2900B76-B55A-49FF-854D-7E80B149A38B}" name="ANOTACIONES" dataDxfId="182" totalsRowDxfId="181"/>
    <tableColumn id="26" xr3:uid="{7A8A1ACA-C3B5-4365-9C9E-0A6E19A58FA5}" name="Columna1" dataDxfId="180" totalsRowDxfId="179"/>
    <tableColumn id="24" xr3:uid="{5171B584-EDDC-4A08-B66F-F1CDF5C0B101}" name="1rea" dataDxfId="178" totalsRowDxfId="177" dataCellStyle="Moneda"/>
    <tableColumn id="25" xr3:uid="{41A45118-4B33-4599-8617-278EA9D4487A}" name="3ra" dataDxfId="176" totalsRowDxfId="175" dataCellStyle="Moneda"/>
    <tableColumn id="19" xr3:uid="{F91F8683-0204-4F6A-AF0A-E574E1480FFC}" name="PRECIO MERCADO" dataDxfId="174" totalsRowDxfId="173" dataCellStyle="Moneda"/>
  </tableColumns>
  <tableStyleInfo name="TableStyleMedium3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22F04-9898-459C-BD86-A5B29D3C10AB}" name="Tabla1" displayName="Tabla1" ref="A2:W40" totalsRowCount="1" headerRowDxfId="294" dataDxfId="293" tableBorderDxfId="292">
  <autoFilter ref="A2:W39" xr:uid="{A7222F04-9898-459C-BD86-A5B29D3C10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0914CCF-F0FD-4728-9B59-49C456DAA6B7}" name="REMISIÓN" totalsRowLabel="Total" dataDxfId="291" totalsRowDxfId="290"/>
    <tableColumn id="2" xr3:uid="{A56C31F9-A6D3-47B4-AF2E-6230D2FF6ABD}" name="FECHA SALIDA" dataDxfId="289" totalsRowDxfId="288"/>
    <tableColumn id="3" xr3:uid="{C3CD51A7-8631-4CF2-88B7-585D70E453C9}" name="NO. GUÍA" dataDxfId="287" totalsRowDxfId="286"/>
    <tableColumn id="21" xr3:uid="{0356AF37-F444-496E-93C1-A98E7C1E8DAE}" name="BLOCK " dataDxfId="285" totalsRowDxfId="284"/>
    <tableColumn id="4" xr3:uid="{14126011-C790-426E-A091-2E8F245D85F4}" name="PESO NETO KGS" totalsRowFunction="sum" dataDxfId="283" totalsRowDxfId="282"/>
    <tableColumn id="5" xr3:uid="{A606BD52-E1A4-4F4D-AEC0-B6E74C8ECD39}" name="ARPILLAS 1ERAS Y 2DAS" totalsRowFunction="sum" dataDxfId="281" totalsRowDxfId="280"/>
    <tableColumn id="6" xr3:uid="{39D5CE1C-6B98-496B-9984-BD6BB668CD94}" name="ARPILLAS 3RAS, 4TAS" totalsRowFunction="sum" dataDxfId="279" totalsRowDxfId="278"/>
    <tableColumn id="7" xr3:uid="{222A63EB-0D55-4CE8-89D9-765FDF15AD06}" name="ARPILLAS 4TAS" totalsRowFunction="sum" dataDxfId="277" totalsRowDxfId="276"/>
    <tableColumn id="8" xr3:uid="{F030FFFF-B88B-4AE7-A12A-FB8FF208CB22}" name="ARPILLAS 5TAS" totalsRowFunction="sum" dataDxfId="275" totalsRowDxfId="274"/>
    <tableColumn id="9" xr3:uid="{D916DAAA-4954-43BE-A418-E9FC9B9AD84D}" name="CLIENTE" dataDxfId="273" totalsRowDxfId="272"/>
    <tableColumn id="10" xr3:uid="{A9D63A2D-D6D9-4878-8677-FC978BB2CEB5}" name="TEL. CLIENTE" dataDxfId="271" totalsRowDxfId="270"/>
    <tableColumn id="11" xr3:uid="{4C721DAB-2C01-4AE2-ACD6-37A1F16A1A6F}" name="DESTINO" dataDxfId="269" totalsRowDxfId="268"/>
    <tableColumn id="12" xr3:uid="{AF26F915-8FB7-49F7-B1AE-6AB515214002}" name="CHOFER" dataDxfId="267" totalsRowDxfId="266"/>
    <tableColumn id="13" xr3:uid="{EA08DC67-E2EF-4D20-9BCD-27A65A5E6F85}" name="TEL. CHOFER" dataDxfId="265" totalsRowDxfId="264"/>
    <tableColumn id="14" xr3:uid="{0FC03D91-3938-446D-A1A6-09FF95E5FA95}" name="FECHA LLEGADA" dataDxfId="263" totalsRowDxfId="262"/>
    <tableColumn id="15" xr3:uid="{E0326A15-0B29-43C6-841D-93B0175008D9}" name="TOTAL" totalsRowFunction="sum" dataDxfId="261" totalsRowDxfId="260"/>
    <tableColumn id="16" xr3:uid="{5C090CE1-C417-429B-AEF7-ED70239D7234}" name="PAGO" totalsRowFunction="sum" dataDxfId="259" totalsRowDxfId="258"/>
    <tableColumn id="17" xr3:uid="{4ECB4469-17F2-47B6-BD38-AEE9F349ADC1}" name="DIF POR PAGAR" totalsRowFunction="sum" dataDxfId="257" totalsRowDxfId="256">
      <calculatedColumnFormula>+Tabla1[[#This Row],[TOTAL]]-Tabla1[[#This Row],[PAGO]]</calculatedColumnFormula>
    </tableColumn>
    <tableColumn id="18" xr3:uid="{DDC5939D-FA82-4035-A5BE-D220845AE865}" name="ESTADO" dataDxfId="255" totalsRowDxfId="254"/>
    <tableColumn id="26" xr3:uid="{1CF71354-3359-44EF-A14B-B96B1ABE4106}" name="FECHA LIQUIDACION" dataDxfId="253" totalsRowDxfId="252"/>
    <tableColumn id="24" xr3:uid="{16D83A76-70E4-407B-9967-65EA6AF3858C}" name="1rea" dataDxfId="251" totalsRowDxfId="250" dataCellStyle="Moneda"/>
    <tableColumn id="25" xr3:uid="{71EB9EE9-3365-470A-9A0C-EA6D8DFF37DE}" name="3ra" dataDxfId="249" totalsRowDxfId="248" dataCellStyle="Moneda"/>
    <tableColumn id="19" xr3:uid="{DCCAF45C-DDC8-4F85-9428-DBAF09467EAA}" name="PRECIO MERCADO" dataDxfId="247" totalsRowDxfId="246" dataCellStyle="Moneda"/>
  </tableColumns>
  <tableStyleInfo name="TableStyleMedium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ED229F-BE3D-4213-8109-C1DE646E7BB9}" name="Tabla3810" displayName="Tabla3810" ref="A6:J47" totalsRowCount="1" dataDxfId="171" headerRowBorderDxfId="172" tableBorderDxfId="170" totalsRowBorderDxfId="169">
  <autoFilter ref="A6:J46" xr:uid="{BCCAF874-8052-46E8-BD3D-863BF3531A1B}"/>
  <sortState xmlns:xlrd2="http://schemas.microsoft.com/office/spreadsheetml/2017/richdata2" ref="A7:J46">
    <sortCondition ref="A6:A46"/>
  </sortState>
  <tableColumns count="10">
    <tableColumn id="2" xr3:uid="{BA0A464C-69C1-4615-A56B-F8A1AD1EED1A}" name="REMISIÓN" dataDxfId="168" totalsRowDxfId="167"/>
    <tableColumn id="4" xr3:uid="{58E758BE-6005-4487-B4AD-D8AC1BCB87E5}" name="FECHA SALIDA" dataDxfId="166" totalsRowDxfId="165"/>
    <tableColumn id="5" xr3:uid="{D111719F-40FC-42EA-B88A-9938295EB995}" name="PESO NETO KGS" totalsRowFunction="sum" dataDxfId="164" totalsRowDxfId="163"/>
    <tableColumn id="6" xr3:uid="{F5DBF16F-F5E4-4D9A-BE5E-03944DC88890}" name="ARPILLAS 1ERAS" dataDxfId="162" totalsRowDxfId="161"/>
    <tableColumn id="7" xr3:uid="{D7AEE761-664A-4D45-B24E-EDAF6F0FD3CE}" name="ARPILLAS 3RAS" totalsRowFunction="custom" dataDxfId="160" totalsRowDxfId="159">
      <totalsRowFormula>SUM(Tabla3810[ARPILLAS 3RAS])</totalsRowFormula>
    </tableColumn>
    <tableColumn id="8" xr3:uid="{AE632AA2-E393-45BB-A091-88B69B3A1819}" name="CLIENTE" dataDxfId="158" totalsRowDxfId="157"/>
    <tableColumn id="9" xr3:uid="{DC3DF92A-0295-40C8-8E97-59F3F7B21B05}" name="TEL. CLIENTE" dataDxfId="156" totalsRowDxfId="155"/>
    <tableColumn id="10" xr3:uid="{C9024BE6-1422-4E2A-819B-34E078FA2D45}" name="DESTINO" dataDxfId="154" totalsRowDxfId="153"/>
    <tableColumn id="11" xr3:uid="{6C75B694-AB7F-454B-8221-943EE0CE4331}" name="CHOFER" dataDxfId="152" totalsRowDxfId="151"/>
    <tableColumn id="17" xr3:uid="{F1043C38-54D0-41F2-80FB-C8EB03F003A0}" name="BLOCK" dataDxfId="150" totalsRowDxfId="149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784319-73E1-4ECB-AC77-262FD7CD981A}" name="Tabla38" displayName="Tabla38" ref="A6:K85" totalsRowCount="1" dataDxfId="147" headerRowBorderDxfId="148" tableBorderDxfId="146" totalsRowBorderDxfId="145">
  <autoFilter ref="A6:K84" xr:uid="{BCCAF874-8052-46E8-BD3D-863BF3531A1B}">
    <filterColumn colId="8">
      <filters>
        <filter val="ALBERTO ESTRADA"/>
        <filter val="CHRISTIAN SARABIA"/>
        <filter val="DUVIEL  ESTRADA"/>
        <filter val="ISAAC AVILA"/>
      </filters>
    </filterColumn>
    <filterColumn colId="10">
      <filters>
        <filter val="405"/>
      </filters>
    </filterColumn>
  </autoFilter>
  <sortState xmlns:xlrd2="http://schemas.microsoft.com/office/spreadsheetml/2017/richdata2" ref="A40:K82">
    <sortCondition ref="I6:I84"/>
  </sortState>
  <tableColumns count="11">
    <tableColumn id="2" xr3:uid="{754FB965-AFBD-4DD2-98FD-3DDECE03511D}" name="REMISIÓN" dataDxfId="144" totalsRowDxfId="143"/>
    <tableColumn id="4" xr3:uid="{8C47425A-0FB1-406A-9320-11AC7F719822}" name="FECHA SALIDA" dataDxfId="142" totalsRowDxfId="141"/>
    <tableColumn id="5" xr3:uid="{C0E80DDD-DBD4-4992-BAF1-1760446E3059}" name="PESO NETO KGS" totalsRowFunction="sum" dataDxfId="140" totalsRowDxfId="139"/>
    <tableColumn id="6" xr3:uid="{2233C0FC-3A0D-4758-BC80-BE92E080BF80}" name="ARPILLAS 1ERAS" dataDxfId="138" totalsRowDxfId="137"/>
    <tableColumn id="7" xr3:uid="{BC0F0FE8-208E-4DEB-91BF-9AC86F8F1AFC}" name="ARPILLAS 3RAS" totalsRowFunction="custom" dataDxfId="136" totalsRowDxfId="135">
      <totalsRowFormula>SUM(Tabla38[ARPILLAS 3RAS])</totalsRowFormula>
    </tableColumn>
    <tableColumn id="8" xr3:uid="{D85EEA1F-E5F7-4403-8031-CD0007F18121}" name="CLIENTE" dataDxfId="134" totalsRowDxfId="133"/>
    <tableColumn id="9" xr3:uid="{BB911AAF-C3BC-4FCB-A2B0-23C744A2BAB1}" name="TEL. CLIENTE" dataDxfId="132" totalsRowDxfId="131"/>
    <tableColumn id="10" xr3:uid="{10038E97-5E86-4BC2-BA9D-FBE391F8628C}" name="DESTINO" dataDxfId="130" totalsRowDxfId="129"/>
    <tableColumn id="11" xr3:uid="{1C6F69D6-A15E-405C-BD04-52AE6A6E523F}" name="CHOFER" dataDxfId="128" totalsRowDxfId="127"/>
    <tableColumn id="13" xr3:uid="{3AEC499D-C3FC-4AE5-BEF2-29D37DDC434E}" name="TOTAL" totalsRowFunction="sum" dataDxfId="126" totalsRowDxfId="125">
      <calculatedColumnFormula>+Tabla38[[#This Row],[PESO NETO KGS]]*10.8</calculatedColumnFormula>
    </tableColumn>
    <tableColumn id="17" xr3:uid="{0835C668-085B-4237-939A-E863890D6B43}" name="BLOCK" dataDxfId="124" totalsRowDxfId="123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2B92A2-4C8E-4188-BAC1-FBF6A8421C53}" name="Tabla35" displayName="Tabla35" ref="A6:L24" totalsRowCount="1" dataDxfId="121" headerRowBorderDxfId="122" tableBorderDxfId="120" totalsRowBorderDxfId="119">
  <autoFilter ref="A6:L23" xr:uid="{BCCAF874-8052-46E8-BD3D-863BF3531A1B}"/>
  <tableColumns count="12">
    <tableColumn id="1" xr3:uid="{0651B547-00EE-4629-BCC5-1EEC11BE76A2}" name="NO. INTERNO" totalsRowLabel="Total" dataDxfId="118" totalsRowDxfId="117"/>
    <tableColumn id="2" xr3:uid="{D2A35420-E1FA-4DE8-8364-B3E986E4F8E8}" name="REMISIÓN" dataDxfId="116" totalsRowDxfId="115"/>
    <tableColumn id="4" xr3:uid="{BF6CD050-5BA7-4D00-9C65-295FA8FDC0CF}" name="FECHA SALIDA" dataDxfId="114" totalsRowDxfId="113"/>
    <tableColumn id="5" xr3:uid="{B5B0885D-A906-4EA7-8B4B-E057942B4568}" name="PESO NETO KGS" totalsRowFunction="sum" dataDxfId="112" totalsRowDxfId="111"/>
    <tableColumn id="6" xr3:uid="{BE72CBB5-845C-47E1-82CE-F8253775AC87}" name="ARPILLAS 1ERAS" totalsRowFunction="sum" dataDxfId="110" totalsRowDxfId="109"/>
    <tableColumn id="7" xr3:uid="{F6F1FD9B-1FAE-4807-9882-0ABEBC292E51}" name="ARPILLAS 3RAS" totalsRowFunction="sum" dataDxfId="108" totalsRowDxfId="107"/>
    <tableColumn id="17" xr3:uid="{FA69CAD2-E893-4423-BA23-69949F9827F4}" name="ARPILLAS 4TAS2" totalsRowFunction="sum" dataDxfId="106" totalsRowDxfId="105"/>
    <tableColumn id="8" xr3:uid="{3A318DF5-536D-4CD3-A8EC-179E55E1B9BD}" name="CLIENTE" dataDxfId="104" totalsRowDxfId="103"/>
    <tableColumn id="9" xr3:uid="{38B2A63A-95EB-464F-B3A0-31C07D60D2BE}" name="TEL. CLIENTE" dataDxfId="102" totalsRowDxfId="101"/>
    <tableColumn id="10" xr3:uid="{3F1A0450-2E99-4E5F-8081-F457692CA591}" name="DESTINO" dataDxfId="100" totalsRowDxfId="99"/>
    <tableColumn id="11" xr3:uid="{0895EF6D-90F4-495C-8071-4EBC6FE47774}" name="CHOFER" dataDxfId="98" totalsRowDxfId="97"/>
    <tableColumn id="16" xr3:uid="{5449ABD2-49A2-41A5-9936-1FA1167E279F}" name="BLOCK" dataDxfId="96" totalsRowDxfId="95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CAF874-8052-46E8-BD3D-863BF3531A1B}" name="Tabla3" displayName="Tabla3" ref="A6:Q71" totalsRowCount="1" dataDxfId="93" headerRowBorderDxfId="94" tableBorderDxfId="92" totalsRowBorderDxfId="91">
  <autoFilter ref="A6:Q70" xr:uid="{BCCAF874-8052-46E8-BD3D-863BF3531A1B}"/>
  <sortState xmlns:xlrd2="http://schemas.microsoft.com/office/spreadsheetml/2017/richdata2" ref="A7:Q60">
    <sortCondition ref="A6:A60"/>
  </sortState>
  <tableColumns count="17">
    <tableColumn id="1" xr3:uid="{56EC7745-B93C-4050-AFD4-0F9DB43BE7C2}" name="NO. INTERNO" totalsRowLabel="Total" dataDxfId="90" totalsRowDxfId="89"/>
    <tableColumn id="2" xr3:uid="{5B012B7F-11DE-43D7-BC12-C2E26A24387F}" name="REMISIÓN" dataDxfId="88" totalsRowDxfId="87"/>
    <tableColumn id="3" xr3:uid="{3D6670AE-3BD7-4A46-8AAC-CDEA0BE68936}" name="NO. GUÍA" dataDxfId="86" totalsRowDxfId="85"/>
    <tableColumn id="4" xr3:uid="{550A37F3-044D-4898-AC20-0C7784DD9FD2}" name="FECHA SALIDA" dataDxfId="84" totalsRowDxfId="83"/>
    <tableColumn id="5" xr3:uid="{C5A9C05B-26B8-41B0-96BF-492A45FD9458}" name="PESO NETO KGS" totalsRowFunction="sum" dataDxfId="82" totalsRowDxfId="81"/>
    <tableColumn id="6" xr3:uid="{ED0B2A0F-ADD8-4991-B113-5F5DE3FDFF0C}" name="ARPILLAS 1ERAS" dataDxfId="80" totalsRowDxfId="79"/>
    <tableColumn id="7" xr3:uid="{1DF8C668-8363-4BB5-BA92-D2619135CC88}" name="ARPILLAS 3RAS" totalsRowFunction="custom" dataDxfId="78" totalsRowDxfId="77">
      <totalsRowFormula>SUM(Tabla3[ARPILLAS 3RAS])</totalsRowFormula>
    </tableColumn>
    <tableColumn id="8" xr3:uid="{5DBE3DDE-00C7-4E94-9330-DD6A7A5822F2}" name="CLIENTE" dataDxfId="76" totalsRowDxfId="75"/>
    <tableColumn id="9" xr3:uid="{37E936CE-CC19-449E-97FA-0A7E5534D0A1}" name="TEL. CLIENTE" dataDxfId="74" totalsRowDxfId="73"/>
    <tableColumn id="10" xr3:uid="{D8D7490F-C4D5-43CC-B431-137CCD361C6F}" name="DESTINO" dataDxfId="72" totalsRowDxfId="71"/>
    <tableColumn id="11" xr3:uid="{B4AC1824-1B93-46F6-B7F5-992266FC06EA}" name="CHOFER" dataDxfId="70" totalsRowDxfId="69"/>
    <tableColumn id="12" xr3:uid="{E73A12A9-5901-45B9-B32E-B4D5AFABB422}" name="TEL. CHOFER" dataDxfId="68" totalsRowDxfId="67"/>
    <tableColumn id="13" xr3:uid="{061D97AA-FF38-4148-A1BF-18E8183D7942}" name="TOTAL" totalsRowFunction="sum" dataDxfId="66" totalsRowDxfId="65"/>
    <tableColumn id="14" xr3:uid="{411F2EAD-E2AE-4B90-8646-01D529DCFE03}" name="PAGO" totalsRowFunction="sum" dataDxfId="64" totalsRowDxfId="63"/>
    <tableColumn id="15" xr3:uid="{87C0CAB1-9960-45F5-8593-E7F15AF35DF3}" name="DIF POR PAGAR" totalsRowFunction="sum" dataDxfId="62" totalsRowDxfId="61"/>
    <tableColumn id="16" xr3:uid="{0BCCE737-E16D-43EA-9DBC-4C90D96C0403}" name="ANOTACIONES" dataDxfId="60" totalsRowDxfId="59"/>
    <tableColumn id="17" xr3:uid="{A4D8D369-E4DB-4ED3-ADD6-352FCC31FAF1}" name="BLOCK" dataDxfId="58" totalsRowDxfId="57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119D46-CF2D-479A-AA63-9A1ABBE9C6C5}" name="Tabla2" displayName="Tabla2" ref="B1:Q15" totalsRowShown="0" headerRowDxfId="56" dataDxfId="54" headerRowBorderDxfId="55" tableBorderDxfId="53" totalsRowBorderDxfId="52">
  <autoFilter ref="B1:Q15" xr:uid="{73119D46-CF2D-479A-AA63-9A1ABBE9C6C5}"/>
  <sortState xmlns:xlrd2="http://schemas.microsoft.com/office/spreadsheetml/2017/richdata2" ref="B2:Q8">
    <sortCondition ref="D1:D8"/>
  </sortState>
  <tableColumns count="16">
    <tableColumn id="1" xr3:uid="{B042ACBF-B637-417A-83B1-4B3C3C99B42E}" name="TIPO" dataDxfId="51"/>
    <tableColumn id="2" xr3:uid="{D15D9FFF-7506-404C-97F6-68EB526471D2}" name="FOLIO" dataDxfId="50"/>
    <tableColumn id="3" xr3:uid="{043990FC-187B-4C3B-BBE7-AE393BE940EC}" name="FECHA RECEPCION" dataDxfId="49"/>
    <tableColumn id="4" xr3:uid="{476F4CD5-6389-4C15-B7AC-A42961CE9AF5}" name="VARIEDAD" dataDxfId="48"/>
    <tableColumn id="5" xr3:uid="{98A2A97E-6942-4458-B287-4B92C0C8AF3B}" name="CALIDAD" dataDxfId="47"/>
    <tableColumn id="6" xr3:uid="{4A4BC3DF-3747-4CCF-ABBC-40D0916E8AEC}" name="LOTE  / DESTINO" dataDxfId="46"/>
    <tableColumn id="7" xr3:uid="{EE735CFE-D6E2-41FD-BDCA-F73DDEC87C72}" name="BODEGA " dataDxfId="45"/>
    <tableColumn id="8" xr3:uid="{24021E7A-B603-4804-BB66-059C84624C0B}" name="TIPO CAMION" dataDxfId="44"/>
    <tableColumn id="9" xr3:uid="{7B662272-B8D7-4E25-9503-81D05D36076C}" name="PLACAS" dataDxfId="43"/>
    <tableColumn id="10" xr3:uid="{295D70CB-29F5-44A8-A199-31DFBD7470AC}" name="CHOFER" dataDxfId="42"/>
    <tableColumn id="11" xr3:uid="{852B4FEC-7C59-42B2-9314-23F4821D3D50}" name="COMPAÑÍA DE TRANSPORTE" dataDxfId="41"/>
    <tableColumn id="12" xr3:uid="{E4103EE6-60D3-4162-B58E-006C507A9685}" name="BASCULA" dataDxfId="40"/>
    <tableColumn id="13" xr3:uid="{FD13E218-2376-409E-A6F5-B9B417A682AC}" name="PESO NETO KG" dataDxfId="39"/>
    <tableColumn id="14" xr3:uid="{F57ABC60-A4B7-44D8-BE42-0CFA919A9ABA}" name="BULTOS REMITIDOS" dataDxfId="38"/>
    <tableColumn id="15" xr3:uid="{BF928A17-60EE-41AF-93D7-04E1DD298E0C}" name="BULTOS RECIBIDOS/ENTREGADOS" dataDxfId="37"/>
    <tableColumn id="16" xr3:uid="{686552D9-E922-4BFC-9AF5-ABA7E2540A4A}" name="PESO/PRO" dataDxfId="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9CDDA6-8362-4AED-BB7A-7DB7A053EBBB}" name="Tabla8" displayName="Tabla8" ref="A1:Q80" totalsRowCount="1" headerRowDxfId="35" dataDxfId="34">
  <autoFilter ref="A1:Q79" xr:uid="{BD9CDDA6-8362-4AED-BB7A-7DB7A053EBBB}"/>
  <tableColumns count="17">
    <tableColumn id="1" xr3:uid="{13BA0953-1460-427B-A7BB-57E052D5567C}" name="TIPO" dataDxfId="33" totalsRowDxfId="32"/>
    <tableColumn id="2" xr3:uid="{88F172B0-AC20-4881-8840-8BA6A33DD20D}" name="FOLIO" dataDxfId="31" totalsRowDxfId="30"/>
    <tableColumn id="3" xr3:uid="{F5FAEF6A-EF77-48FA-AE55-296D8606EE46}" name="AGRICULTOR" dataDxfId="29" totalsRowDxfId="28"/>
    <tableColumn id="4" xr3:uid="{0349174C-1597-4983-B7FD-2A71E298C535}" name="FECHA RECEPCION" dataDxfId="27" totalsRowDxfId="26"/>
    <tableColumn id="5" xr3:uid="{3077FAE3-88D9-440B-B192-6DC7028CACD8}" name="VARIEDAD" dataDxfId="25" totalsRowDxfId="24"/>
    <tableColumn id="6" xr3:uid="{EB3A591D-C120-4750-9F6D-97BC68D1C455}" name="CALIDAD" dataDxfId="23" totalsRowDxfId="22"/>
    <tableColumn id="7" xr3:uid="{7555E891-9418-4CBB-A529-88CDC0381C78}" name="LOTE  / DESTINO" dataDxfId="21" totalsRowDxfId="20"/>
    <tableColumn id="8" xr3:uid="{C9896898-729F-4649-95CD-E15488D8B78D}" name="BODEGA " dataDxfId="19" totalsRowDxfId="18"/>
    <tableColumn id="9" xr3:uid="{009087A8-F1F8-4FCF-9139-FF77DBF35912}" name="TIPO CAMION" dataDxfId="17" totalsRowDxfId="16"/>
    <tableColumn id="10" xr3:uid="{24BCB833-FBD6-420F-B474-3D93EC0543A7}" name="PLACAS" dataDxfId="15" totalsRowDxfId="14"/>
    <tableColumn id="11" xr3:uid="{D94847AE-A6A5-49EE-A245-CA2BAC094724}" name="CHOFER" dataDxfId="13" totalsRowDxfId="12"/>
    <tableColumn id="12" xr3:uid="{3DF16283-41B6-4842-BE53-182F6115D71B}" name="COMPAÑÍA DE TRANSPORTE" dataDxfId="11" totalsRowDxfId="10"/>
    <tableColumn id="13" xr3:uid="{2DEE4A58-1FD4-4F57-BA9C-7B1680BF1FDC}" name="BASCULA" dataDxfId="9" totalsRowDxfId="8"/>
    <tableColumn id="14" xr3:uid="{6E2F59BF-39CB-4854-B01F-02150C954313}" name="PESO NETO KG" totalsRowFunction="sum" dataDxfId="7" totalsRowDxfId="6"/>
    <tableColumn id="15" xr3:uid="{9B5CBA3B-0EAB-424E-961C-1D265A1CB269}" name="BULTOS REMITIDOS" totalsRowFunction="sum" dataDxfId="5" totalsRowDxfId="4"/>
    <tableColumn id="16" xr3:uid="{F284C699-E64D-44F7-89A1-2F3B688FA717}" name="BULTOS RECIBIDOS/ENTREGADOS" totalsRowFunction="sum" dataDxfId="3" totalsRowDxfId="2"/>
    <tableColumn id="17" xr3:uid="{1B1A72D8-33AE-46DE-B68F-062F282D88C4}" name="PESO/PRO" totalsRowFunction="sum" dataDxfId="1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A7DD-D12F-43FE-ACA3-B169B6A1B2A4}">
  <sheetPr>
    <pageSetUpPr fitToPage="1"/>
  </sheetPr>
  <dimension ref="B2:E70"/>
  <sheetViews>
    <sheetView zoomScaleNormal="100" workbookViewId="0">
      <selection activeCell="E4" sqref="E4:E12"/>
    </sheetView>
  </sheetViews>
  <sheetFormatPr baseColWidth="10" defaultColWidth="11.42578125" defaultRowHeight="12.75" x14ac:dyDescent="0.2"/>
  <cols>
    <col min="2" max="2" width="23" bestFit="1" customWidth="1"/>
    <col min="3" max="3" width="17.5703125" customWidth="1"/>
    <col min="4" max="4" width="21.140625" bestFit="1" customWidth="1"/>
    <col min="5" max="5" width="13.42578125" bestFit="1" customWidth="1"/>
  </cols>
  <sheetData>
    <row r="2" spans="2:5" x14ac:dyDescent="0.2">
      <c r="B2" s="202" t="s">
        <v>0</v>
      </c>
      <c r="C2" s="202"/>
      <c r="D2" s="202"/>
    </row>
    <row r="3" spans="2:5" x14ac:dyDescent="0.2">
      <c r="B3" s="202"/>
      <c r="C3" s="202"/>
      <c r="D3" s="202"/>
    </row>
    <row r="4" spans="2:5" ht="20.25" x14ac:dyDescent="0.3">
      <c r="B4" s="62"/>
      <c r="C4" s="62" t="s">
        <v>1</v>
      </c>
      <c r="D4" s="62" t="s">
        <v>2</v>
      </c>
    </row>
    <row r="5" spans="2:5" ht="20.25" x14ac:dyDescent="0.3">
      <c r="B5" s="62" t="s">
        <v>3</v>
      </c>
      <c r="C5" s="64">
        <f>+Tabla1[[#Totals],[ARPILLAS 1ERAS Y 2DAS]]+Tabla1[[#Totals],[ARPILLAS 3RAS, 4TAS]]</f>
        <v>21300</v>
      </c>
      <c r="D5" s="119">
        <f>+Tabla1[[#Totals],[PESO NETO KGS]]</f>
        <v>1116050</v>
      </c>
    </row>
    <row r="6" spans="2:5" ht="20.25" x14ac:dyDescent="0.3">
      <c r="B6" s="62" t="s">
        <v>4</v>
      </c>
      <c r="C6" s="64">
        <v>41386</v>
      </c>
      <c r="D6" s="119">
        <v>2057850</v>
      </c>
    </row>
    <row r="7" spans="2:5" ht="20.25" x14ac:dyDescent="0.3">
      <c r="B7" s="62" t="s">
        <v>5</v>
      </c>
      <c r="C7" s="64">
        <v>3866</v>
      </c>
      <c r="D7" s="119">
        <v>199550</v>
      </c>
      <c r="E7" s="142"/>
    </row>
    <row r="8" spans="2:5" ht="20.25" x14ac:dyDescent="0.3">
      <c r="B8" s="62" t="s">
        <v>6</v>
      </c>
      <c r="C8" s="64">
        <v>465</v>
      </c>
      <c r="D8" s="119">
        <v>44910</v>
      </c>
    </row>
    <row r="9" spans="2:5" ht="20.25" x14ac:dyDescent="0.3">
      <c r="B9" s="62" t="s">
        <v>7</v>
      </c>
      <c r="C9" s="64">
        <v>676</v>
      </c>
      <c r="D9" s="119">
        <v>35050</v>
      </c>
    </row>
    <row r="10" spans="2:5" ht="20.25" x14ac:dyDescent="0.3">
      <c r="B10" s="63" t="s">
        <v>8</v>
      </c>
      <c r="C10" s="65">
        <f>SUM(C5:C9)</f>
        <v>67693</v>
      </c>
      <c r="D10" s="65">
        <f>SUM(D5:D9)</f>
        <v>3453410</v>
      </c>
    </row>
    <row r="11" spans="2:5" ht="20.25" x14ac:dyDescent="0.3">
      <c r="B11" s="63" t="s">
        <v>9</v>
      </c>
      <c r="C11" s="203">
        <f>+D10/90/1000</f>
        <v>38.371222222222222</v>
      </c>
      <c r="D11" s="204"/>
    </row>
    <row r="26" spans="5:5" x14ac:dyDescent="0.2">
      <c r="E26" s="18"/>
    </row>
    <row r="27" spans="5:5" x14ac:dyDescent="0.2">
      <c r="E27" s="18"/>
    </row>
    <row r="64" spans="4:4" x14ac:dyDescent="0.2">
      <c r="D64">
        <v>144.4</v>
      </c>
    </row>
    <row r="70" spans="2:2" x14ac:dyDescent="0.2">
      <c r="B70" s="19"/>
    </row>
  </sheetData>
  <mergeCells count="2">
    <mergeCell ref="B2:D3"/>
    <mergeCell ref="C11:D11"/>
  </mergeCells>
  <phoneticPr fontId="11" type="noConversion"/>
  <pageMargins left="0.25" right="0.25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EA73-232F-4EBB-B946-6487C3EF40D4}">
  <dimension ref="B2:J71"/>
  <sheetViews>
    <sheetView showGridLines="0" topLeftCell="A45" workbookViewId="0">
      <selection activeCell="B71" sqref="B71:J71"/>
    </sheetView>
  </sheetViews>
  <sheetFormatPr baseColWidth="10" defaultColWidth="9.140625" defaultRowHeight="12.75" x14ac:dyDescent="0.2"/>
  <cols>
    <col min="2" max="2" width="18.5703125" bestFit="1" customWidth="1"/>
    <col min="3" max="3" width="16.85546875" bestFit="1" customWidth="1"/>
    <col min="4" max="4" width="20.5703125" bestFit="1" customWidth="1"/>
    <col min="5" max="5" width="16.85546875" bestFit="1" customWidth="1"/>
    <col min="6" max="6" width="19.5703125" bestFit="1" customWidth="1"/>
    <col min="7" max="7" width="15.42578125" bestFit="1" customWidth="1"/>
    <col min="8" max="8" width="13.140625" bestFit="1" customWidth="1"/>
    <col min="9" max="9" width="18.5703125" bestFit="1" customWidth="1"/>
    <col min="10" max="10" width="14.7109375" bestFit="1" customWidth="1"/>
  </cols>
  <sheetData>
    <row r="2" spans="2:10" x14ac:dyDescent="0.2">
      <c r="B2" s="205" t="s">
        <v>528</v>
      </c>
      <c r="C2" s="206"/>
      <c r="D2" s="206"/>
      <c r="E2" s="206"/>
      <c r="F2" s="206"/>
      <c r="G2" s="206"/>
      <c r="H2" s="206"/>
      <c r="I2" s="206"/>
      <c r="J2" s="206"/>
    </row>
    <row r="3" spans="2:10" x14ac:dyDescent="0.2">
      <c r="B3" s="206"/>
      <c r="C3" s="206"/>
      <c r="D3" s="206"/>
      <c r="E3" s="206"/>
      <c r="F3" s="206"/>
      <c r="G3" s="206"/>
      <c r="H3" s="206"/>
      <c r="I3" s="206"/>
      <c r="J3" s="206"/>
    </row>
    <row r="4" spans="2:10" x14ac:dyDescent="0.2">
      <c r="B4" s="93" t="s">
        <v>152</v>
      </c>
      <c r="C4" s="94" t="s">
        <v>153</v>
      </c>
      <c r="D4" s="95" t="s">
        <v>154</v>
      </c>
      <c r="E4" s="95" t="s">
        <v>155</v>
      </c>
      <c r="F4" s="95" t="s">
        <v>156</v>
      </c>
      <c r="G4" s="95" t="s">
        <v>20</v>
      </c>
      <c r="H4" s="95" t="s">
        <v>157</v>
      </c>
      <c r="I4" s="96" t="s">
        <v>158</v>
      </c>
      <c r="J4" s="95" t="s">
        <v>159</v>
      </c>
    </row>
    <row r="5" spans="2:10" x14ac:dyDescent="0.2">
      <c r="B5" s="148">
        <v>46090</v>
      </c>
      <c r="C5" s="149">
        <v>200000</v>
      </c>
      <c r="D5" s="150" t="s">
        <v>166</v>
      </c>
      <c r="E5" s="150" t="s">
        <v>162</v>
      </c>
      <c r="F5" s="150" t="s">
        <v>162</v>
      </c>
      <c r="G5" s="151" t="s">
        <v>79</v>
      </c>
      <c r="H5" s="150" t="s">
        <v>38</v>
      </c>
      <c r="I5" s="152" t="s">
        <v>163</v>
      </c>
      <c r="J5" s="154" t="s">
        <v>78</v>
      </c>
    </row>
    <row r="6" spans="2:10" x14ac:dyDescent="0.2">
      <c r="B6" s="148">
        <v>46106</v>
      </c>
      <c r="C6" s="149">
        <v>100000</v>
      </c>
      <c r="D6" s="155" t="s">
        <v>179</v>
      </c>
      <c r="E6" s="150" t="s">
        <v>180</v>
      </c>
      <c r="F6" s="150" t="s">
        <v>167</v>
      </c>
      <c r="G6" s="155" t="s">
        <v>181</v>
      </c>
      <c r="H6" s="150" t="s">
        <v>38</v>
      </c>
      <c r="I6" s="152" t="s">
        <v>163</v>
      </c>
      <c r="J6" s="155" t="s">
        <v>531</v>
      </c>
    </row>
    <row r="7" spans="2:10" x14ac:dyDescent="0.2">
      <c r="B7" s="148">
        <v>46106</v>
      </c>
      <c r="C7" s="149">
        <v>100000</v>
      </c>
      <c r="D7" s="155" t="s">
        <v>179</v>
      </c>
      <c r="E7" s="150" t="s">
        <v>180</v>
      </c>
      <c r="F7" s="150" t="s">
        <v>167</v>
      </c>
      <c r="G7" s="155" t="s">
        <v>181</v>
      </c>
      <c r="H7" s="150" t="s">
        <v>38</v>
      </c>
      <c r="I7" s="152" t="s">
        <v>163</v>
      </c>
      <c r="J7" s="155" t="s">
        <v>531</v>
      </c>
    </row>
    <row r="8" spans="2:10" x14ac:dyDescent="0.2">
      <c r="B8" s="148">
        <v>46106</v>
      </c>
      <c r="C8" s="149">
        <v>100000</v>
      </c>
      <c r="D8" s="155" t="s">
        <v>179</v>
      </c>
      <c r="E8" s="150" t="s">
        <v>180</v>
      </c>
      <c r="F8" s="150" t="s">
        <v>167</v>
      </c>
      <c r="G8" s="155" t="s">
        <v>181</v>
      </c>
      <c r="H8" s="150" t="s">
        <v>38</v>
      </c>
      <c r="I8" s="152" t="s">
        <v>163</v>
      </c>
      <c r="J8" s="155" t="s">
        <v>531</v>
      </c>
    </row>
    <row r="9" spans="2:10" x14ac:dyDescent="0.2">
      <c r="B9" s="148">
        <v>46106</v>
      </c>
      <c r="C9" s="149">
        <v>70000</v>
      </c>
      <c r="D9" s="155" t="s">
        <v>179</v>
      </c>
      <c r="E9" s="150" t="s">
        <v>180</v>
      </c>
      <c r="F9" s="150" t="s">
        <v>167</v>
      </c>
      <c r="G9" s="155" t="s">
        <v>181</v>
      </c>
      <c r="H9" s="150" t="s">
        <v>38</v>
      </c>
      <c r="I9" s="152" t="s">
        <v>163</v>
      </c>
      <c r="J9" s="155" t="s">
        <v>531</v>
      </c>
    </row>
    <row r="10" spans="2:10" x14ac:dyDescent="0.2">
      <c r="B10" s="148">
        <v>46086</v>
      </c>
      <c r="C10" s="149">
        <v>50000</v>
      </c>
      <c r="D10" s="150" t="s">
        <v>160</v>
      </c>
      <c r="E10" s="150" t="s">
        <v>161</v>
      </c>
      <c r="F10" s="150" t="s">
        <v>162</v>
      </c>
      <c r="G10" s="151" t="s">
        <v>35</v>
      </c>
      <c r="H10" s="150" t="s">
        <v>38</v>
      </c>
      <c r="I10" s="152" t="s">
        <v>163</v>
      </c>
      <c r="J10" s="153" t="s">
        <v>34</v>
      </c>
    </row>
    <row r="11" spans="2:10" x14ac:dyDescent="0.2">
      <c r="B11" s="148">
        <v>46086</v>
      </c>
      <c r="C11" s="149">
        <v>50000</v>
      </c>
      <c r="D11" s="150" t="s">
        <v>160</v>
      </c>
      <c r="E11" s="150" t="s">
        <v>161</v>
      </c>
      <c r="F11" s="150" t="s">
        <v>162</v>
      </c>
      <c r="G11" s="151" t="s">
        <v>35</v>
      </c>
      <c r="H11" s="150" t="s">
        <v>38</v>
      </c>
      <c r="I11" s="152" t="s">
        <v>163</v>
      </c>
      <c r="J11" s="153" t="s">
        <v>34</v>
      </c>
    </row>
    <row r="12" spans="2:10" x14ac:dyDescent="0.2">
      <c r="B12" s="148">
        <v>46091</v>
      </c>
      <c r="C12" s="149">
        <v>75340</v>
      </c>
      <c r="D12" s="150" t="s">
        <v>160</v>
      </c>
      <c r="E12" s="150" t="s">
        <v>161</v>
      </c>
      <c r="F12" s="150" t="s">
        <v>162</v>
      </c>
      <c r="G12" s="151" t="s">
        <v>169</v>
      </c>
      <c r="H12" s="150" t="s">
        <v>38</v>
      </c>
      <c r="I12" s="152" t="s">
        <v>163</v>
      </c>
      <c r="J12" s="153" t="s">
        <v>34</v>
      </c>
    </row>
    <row r="13" spans="2:10" x14ac:dyDescent="0.2">
      <c r="B13" s="148">
        <v>46093</v>
      </c>
      <c r="C13" s="149">
        <v>414920</v>
      </c>
      <c r="D13" s="155" t="s">
        <v>170</v>
      </c>
      <c r="E13" s="150" t="s">
        <v>161</v>
      </c>
      <c r="F13" s="150" t="s">
        <v>162</v>
      </c>
      <c r="G13" s="151" t="s">
        <v>169</v>
      </c>
      <c r="H13" s="150" t="s">
        <v>38</v>
      </c>
      <c r="I13" s="152" t="s">
        <v>163</v>
      </c>
      <c r="J13" s="154" t="s">
        <v>171</v>
      </c>
    </row>
    <row r="14" spans="2:10" x14ac:dyDescent="0.2">
      <c r="B14" s="134">
        <v>46107</v>
      </c>
      <c r="C14" s="135">
        <v>50000</v>
      </c>
      <c r="D14" s="136" t="s">
        <v>160</v>
      </c>
      <c r="E14" s="137" t="s">
        <v>161</v>
      </c>
      <c r="F14" s="137" t="s">
        <v>162</v>
      </c>
      <c r="G14" s="138" t="s">
        <v>169</v>
      </c>
      <c r="H14" s="137" t="s">
        <v>38</v>
      </c>
      <c r="I14" s="139" t="s">
        <v>163</v>
      </c>
      <c r="J14" s="136"/>
    </row>
    <row r="15" spans="2:10" x14ac:dyDescent="0.2">
      <c r="B15" s="134">
        <v>46107</v>
      </c>
      <c r="C15" s="135">
        <v>50000</v>
      </c>
      <c r="D15" s="136" t="s">
        <v>160</v>
      </c>
      <c r="E15" s="137" t="s">
        <v>161</v>
      </c>
      <c r="F15" s="137" t="s">
        <v>162</v>
      </c>
      <c r="G15" s="138" t="s">
        <v>169</v>
      </c>
      <c r="H15" s="137" t="s">
        <v>38</v>
      </c>
      <c r="I15" s="139" t="s">
        <v>163</v>
      </c>
      <c r="J15" s="136"/>
    </row>
    <row r="16" spans="2:10" x14ac:dyDescent="0.2">
      <c r="B16" s="148">
        <v>46107</v>
      </c>
      <c r="C16" s="149">
        <v>412200</v>
      </c>
      <c r="D16" s="155" t="s">
        <v>27</v>
      </c>
      <c r="E16" s="150" t="s">
        <v>161</v>
      </c>
      <c r="F16" s="150" t="s">
        <v>167</v>
      </c>
      <c r="G16" s="151" t="s">
        <v>88</v>
      </c>
      <c r="H16" s="150" t="s">
        <v>151</v>
      </c>
      <c r="I16" s="152" t="s">
        <v>174</v>
      </c>
      <c r="J16" s="155" t="s">
        <v>183</v>
      </c>
    </row>
    <row r="17" spans="2:10" x14ac:dyDescent="0.2">
      <c r="B17" s="148">
        <v>46112</v>
      </c>
      <c r="C17" s="149">
        <v>100000</v>
      </c>
      <c r="D17" s="155" t="s">
        <v>160</v>
      </c>
      <c r="E17" s="150" t="s">
        <v>161</v>
      </c>
      <c r="F17" s="150" t="s">
        <v>162</v>
      </c>
      <c r="G17" s="151" t="s">
        <v>169</v>
      </c>
      <c r="H17" s="150" t="s">
        <v>38</v>
      </c>
      <c r="I17" s="152" t="s">
        <v>163</v>
      </c>
      <c r="J17" s="183" t="s">
        <v>194</v>
      </c>
    </row>
    <row r="18" spans="2:10" x14ac:dyDescent="0.2">
      <c r="B18" s="148">
        <v>46112</v>
      </c>
      <c r="C18" s="149">
        <v>100000</v>
      </c>
      <c r="D18" s="155" t="s">
        <v>160</v>
      </c>
      <c r="E18" s="150" t="s">
        <v>161</v>
      </c>
      <c r="F18" s="150" t="s">
        <v>162</v>
      </c>
      <c r="G18" s="151" t="s">
        <v>169</v>
      </c>
      <c r="H18" s="150" t="s">
        <v>38</v>
      </c>
      <c r="I18" s="152" t="s">
        <v>163</v>
      </c>
      <c r="J18" s="155" t="s">
        <v>194</v>
      </c>
    </row>
    <row r="19" spans="2:10" x14ac:dyDescent="0.2">
      <c r="B19" s="148">
        <v>46112</v>
      </c>
      <c r="C19" s="149">
        <v>100000</v>
      </c>
      <c r="D19" s="155" t="s">
        <v>160</v>
      </c>
      <c r="E19" s="150" t="s">
        <v>161</v>
      </c>
      <c r="F19" s="150" t="s">
        <v>162</v>
      </c>
      <c r="G19" s="151" t="s">
        <v>169</v>
      </c>
      <c r="H19" s="150" t="s">
        <v>38</v>
      </c>
      <c r="I19" s="152" t="s">
        <v>163</v>
      </c>
      <c r="J19" s="155" t="s">
        <v>194</v>
      </c>
    </row>
    <row r="20" spans="2:10" x14ac:dyDescent="0.2">
      <c r="B20" s="148">
        <v>46112</v>
      </c>
      <c r="C20" s="149">
        <v>100000</v>
      </c>
      <c r="D20" s="155" t="s">
        <v>160</v>
      </c>
      <c r="E20" s="150" t="s">
        <v>161</v>
      </c>
      <c r="F20" s="150" t="s">
        <v>162</v>
      </c>
      <c r="G20" s="151" t="s">
        <v>169</v>
      </c>
      <c r="H20" s="150" t="s">
        <v>38</v>
      </c>
      <c r="I20" s="152" t="s">
        <v>163</v>
      </c>
      <c r="J20" s="155" t="s">
        <v>194</v>
      </c>
    </row>
    <row r="21" spans="2:10" x14ac:dyDescent="0.2">
      <c r="B21" s="148">
        <v>46112</v>
      </c>
      <c r="C21" s="149">
        <v>43744</v>
      </c>
      <c r="D21" s="155" t="s">
        <v>160</v>
      </c>
      <c r="E21" s="150" t="s">
        <v>161</v>
      </c>
      <c r="F21" s="150" t="s">
        <v>162</v>
      </c>
      <c r="G21" s="151" t="s">
        <v>169</v>
      </c>
      <c r="H21" s="150" t="s">
        <v>38</v>
      </c>
      <c r="I21" s="152" t="s">
        <v>163</v>
      </c>
      <c r="J21" s="155" t="s">
        <v>194</v>
      </c>
    </row>
    <row r="22" spans="2:10" x14ac:dyDescent="0.2">
      <c r="B22" s="156">
        <v>46112</v>
      </c>
      <c r="C22" s="149">
        <v>53065</v>
      </c>
      <c r="D22" s="155" t="s">
        <v>160</v>
      </c>
      <c r="E22" s="150" t="s">
        <v>161</v>
      </c>
      <c r="F22" s="150" t="s">
        <v>162</v>
      </c>
      <c r="G22" s="151" t="s">
        <v>35</v>
      </c>
      <c r="H22" s="150" t="s">
        <v>38</v>
      </c>
      <c r="I22" s="152" t="s">
        <v>163</v>
      </c>
      <c r="J22" s="157" t="s">
        <v>532</v>
      </c>
    </row>
    <row r="23" spans="2:10" x14ac:dyDescent="0.2">
      <c r="B23" s="156">
        <v>46112</v>
      </c>
      <c r="C23" s="149">
        <v>82520</v>
      </c>
      <c r="D23" s="155" t="s">
        <v>160</v>
      </c>
      <c r="E23" s="150" t="s">
        <v>161</v>
      </c>
      <c r="F23" s="150" t="s">
        <v>162</v>
      </c>
      <c r="G23" s="151" t="s">
        <v>192</v>
      </c>
      <c r="H23" s="150" t="s">
        <v>151</v>
      </c>
      <c r="I23" s="152" t="s">
        <v>163</v>
      </c>
      <c r="J23" s="157" t="s">
        <v>193</v>
      </c>
    </row>
    <row r="24" spans="2:10" x14ac:dyDescent="0.2">
      <c r="B24" s="156">
        <v>46119</v>
      </c>
      <c r="C24" s="149">
        <v>300000</v>
      </c>
      <c r="D24" s="155" t="s">
        <v>160</v>
      </c>
      <c r="E24" s="150" t="s">
        <v>161</v>
      </c>
      <c r="F24" s="150" t="s">
        <v>162</v>
      </c>
      <c r="G24" s="151" t="s">
        <v>114</v>
      </c>
      <c r="H24" s="150" t="s">
        <v>38</v>
      </c>
      <c r="I24" s="152" t="s">
        <v>163</v>
      </c>
      <c r="J24" s="157" t="s">
        <v>199</v>
      </c>
    </row>
    <row r="25" spans="2:10" x14ac:dyDescent="0.2">
      <c r="B25" s="156">
        <v>46086</v>
      </c>
      <c r="C25" s="149">
        <v>50000</v>
      </c>
      <c r="D25" s="150" t="s">
        <v>160</v>
      </c>
      <c r="E25" s="150" t="s">
        <v>164</v>
      </c>
      <c r="F25" s="150" t="s">
        <v>162</v>
      </c>
      <c r="G25" s="151" t="s">
        <v>35</v>
      </c>
      <c r="H25" s="150" t="s">
        <v>38</v>
      </c>
      <c r="I25" s="152" t="s">
        <v>163</v>
      </c>
      <c r="J25" s="185" t="s">
        <v>34</v>
      </c>
    </row>
    <row r="26" spans="2:10" x14ac:dyDescent="0.2">
      <c r="B26" s="156">
        <v>46086</v>
      </c>
      <c r="C26" s="149">
        <v>50000</v>
      </c>
      <c r="D26" s="150" t="s">
        <v>160</v>
      </c>
      <c r="E26" s="150" t="s">
        <v>164</v>
      </c>
      <c r="F26" s="150" t="s">
        <v>162</v>
      </c>
      <c r="G26" s="151" t="s">
        <v>35</v>
      </c>
      <c r="H26" s="150" t="s">
        <v>38</v>
      </c>
      <c r="I26" s="152" t="s">
        <v>163</v>
      </c>
      <c r="J26" s="185" t="s">
        <v>34</v>
      </c>
    </row>
    <row r="27" spans="2:10" x14ac:dyDescent="0.2">
      <c r="B27" s="156">
        <v>46091</v>
      </c>
      <c r="C27" s="149">
        <v>70000</v>
      </c>
      <c r="D27" s="150" t="s">
        <v>160</v>
      </c>
      <c r="E27" s="150" t="s">
        <v>164</v>
      </c>
      <c r="F27" s="150" t="s">
        <v>162</v>
      </c>
      <c r="G27" s="151" t="s">
        <v>169</v>
      </c>
      <c r="H27" s="150" t="s">
        <v>38</v>
      </c>
      <c r="I27" s="152" t="s">
        <v>163</v>
      </c>
      <c r="J27" s="153" t="s">
        <v>34</v>
      </c>
    </row>
    <row r="28" spans="2:10" x14ac:dyDescent="0.2">
      <c r="B28" s="140">
        <v>46107</v>
      </c>
      <c r="C28" s="135">
        <v>50000</v>
      </c>
      <c r="D28" s="136" t="s">
        <v>160</v>
      </c>
      <c r="E28" s="137" t="s">
        <v>164</v>
      </c>
      <c r="F28" s="137" t="s">
        <v>162</v>
      </c>
      <c r="G28" s="138" t="s">
        <v>169</v>
      </c>
      <c r="H28" s="137" t="s">
        <v>38</v>
      </c>
      <c r="I28" s="139" t="s">
        <v>163</v>
      </c>
      <c r="J28" s="136"/>
    </row>
    <row r="29" spans="2:10" x14ac:dyDescent="0.2">
      <c r="B29" s="140">
        <v>46107</v>
      </c>
      <c r="C29" s="135">
        <v>50000</v>
      </c>
      <c r="D29" s="136" t="s">
        <v>160</v>
      </c>
      <c r="E29" s="137" t="s">
        <v>164</v>
      </c>
      <c r="F29" s="137" t="s">
        <v>162</v>
      </c>
      <c r="G29" s="138" t="s">
        <v>169</v>
      </c>
      <c r="H29" s="137" t="s">
        <v>38</v>
      </c>
      <c r="I29" s="139" t="s">
        <v>163</v>
      </c>
      <c r="J29" s="136"/>
    </row>
    <row r="30" spans="2:10" x14ac:dyDescent="0.2">
      <c r="B30" s="148">
        <v>46112</v>
      </c>
      <c r="C30" s="149">
        <v>50000</v>
      </c>
      <c r="D30" s="155" t="s">
        <v>160</v>
      </c>
      <c r="E30" s="150" t="s">
        <v>164</v>
      </c>
      <c r="F30" s="150" t="s">
        <v>162</v>
      </c>
      <c r="G30" s="151" t="s">
        <v>35</v>
      </c>
      <c r="H30" s="150" t="s">
        <v>38</v>
      </c>
      <c r="I30" s="152" t="s">
        <v>163</v>
      </c>
      <c r="J30" s="155" t="s">
        <v>532</v>
      </c>
    </row>
    <row r="31" spans="2:10" x14ac:dyDescent="0.2">
      <c r="B31" s="148">
        <v>46086</v>
      </c>
      <c r="C31" s="149">
        <v>50000</v>
      </c>
      <c r="D31" s="150" t="s">
        <v>160</v>
      </c>
      <c r="E31" s="150" t="s">
        <v>165</v>
      </c>
      <c r="F31" s="150" t="s">
        <v>162</v>
      </c>
      <c r="G31" s="151" t="s">
        <v>35</v>
      </c>
      <c r="H31" s="150" t="s">
        <v>38</v>
      </c>
      <c r="I31" s="152" t="s">
        <v>163</v>
      </c>
      <c r="J31" s="153" t="s">
        <v>34</v>
      </c>
    </row>
    <row r="32" spans="2:10" x14ac:dyDescent="0.2">
      <c r="B32" s="148">
        <v>46086</v>
      </c>
      <c r="C32" s="149">
        <v>50000</v>
      </c>
      <c r="D32" s="150" t="s">
        <v>160</v>
      </c>
      <c r="E32" s="150" t="s">
        <v>165</v>
      </c>
      <c r="F32" s="150" t="s">
        <v>162</v>
      </c>
      <c r="G32" s="151" t="s">
        <v>35</v>
      </c>
      <c r="H32" s="150" t="s">
        <v>38</v>
      </c>
      <c r="I32" s="152" t="s">
        <v>163</v>
      </c>
      <c r="J32" s="185" t="s">
        <v>34</v>
      </c>
    </row>
    <row r="33" spans="2:10" x14ac:dyDescent="0.2">
      <c r="B33" s="156">
        <v>46091</v>
      </c>
      <c r="C33" s="149">
        <v>70000</v>
      </c>
      <c r="D33" s="150" t="s">
        <v>160</v>
      </c>
      <c r="E33" s="150" t="s">
        <v>165</v>
      </c>
      <c r="F33" s="150" t="s">
        <v>162</v>
      </c>
      <c r="G33" s="151" t="s">
        <v>169</v>
      </c>
      <c r="H33" s="150" t="s">
        <v>38</v>
      </c>
      <c r="I33" s="152" t="s">
        <v>163</v>
      </c>
      <c r="J33" s="185" t="s">
        <v>34</v>
      </c>
    </row>
    <row r="34" spans="2:10" x14ac:dyDescent="0.2">
      <c r="B34" s="156">
        <v>46102</v>
      </c>
      <c r="C34" s="149">
        <v>400000</v>
      </c>
      <c r="D34" s="155" t="s">
        <v>177</v>
      </c>
      <c r="E34" s="150" t="s">
        <v>165</v>
      </c>
      <c r="F34" s="150" t="s">
        <v>162</v>
      </c>
      <c r="G34" s="151" t="s">
        <v>105</v>
      </c>
      <c r="H34" s="150" t="s">
        <v>151</v>
      </c>
      <c r="I34" s="152" t="s">
        <v>163</v>
      </c>
      <c r="J34" s="182" t="s">
        <v>104</v>
      </c>
    </row>
    <row r="35" spans="2:10" x14ac:dyDescent="0.2">
      <c r="B35" s="156">
        <v>46106</v>
      </c>
      <c r="C35" s="149">
        <v>90000</v>
      </c>
      <c r="D35" s="155" t="s">
        <v>160</v>
      </c>
      <c r="E35" s="150" t="s">
        <v>165</v>
      </c>
      <c r="F35" s="150" t="s">
        <v>162</v>
      </c>
      <c r="G35" s="151" t="s">
        <v>135</v>
      </c>
      <c r="H35" s="150" t="s">
        <v>38</v>
      </c>
      <c r="I35" s="152" t="s">
        <v>163</v>
      </c>
      <c r="J35" s="157" t="s">
        <v>182</v>
      </c>
    </row>
    <row r="36" spans="2:10" x14ac:dyDescent="0.2">
      <c r="B36" s="156">
        <v>46106</v>
      </c>
      <c r="C36" s="149">
        <v>90000</v>
      </c>
      <c r="D36" s="155" t="s">
        <v>160</v>
      </c>
      <c r="E36" s="150" t="s">
        <v>165</v>
      </c>
      <c r="F36" s="150" t="s">
        <v>162</v>
      </c>
      <c r="G36" s="151" t="s">
        <v>135</v>
      </c>
      <c r="H36" s="150" t="s">
        <v>38</v>
      </c>
      <c r="I36" s="152" t="s">
        <v>163</v>
      </c>
      <c r="J36" s="157" t="s">
        <v>182</v>
      </c>
    </row>
    <row r="37" spans="2:10" x14ac:dyDescent="0.2">
      <c r="B37" s="156">
        <v>46106</v>
      </c>
      <c r="C37" s="149">
        <v>90000</v>
      </c>
      <c r="D37" s="155" t="s">
        <v>160</v>
      </c>
      <c r="E37" s="150" t="s">
        <v>165</v>
      </c>
      <c r="F37" s="150" t="s">
        <v>162</v>
      </c>
      <c r="G37" s="151" t="s">
        <v>135</v>
      </c>
      <c r="H37" s="150" t="s">
        <v>38</v>
      </c>
      <c r="I37" s="152" t="s">
        <v>163</v>
      </c>
      <c r="J37" s="157" t="s">
        <v>182</v>
      </c>
    </row>
    <row r="38" spans="2:10" x14ac:dyDescent="0.2">
      <c r="B38" s="156">
        <v>46106</v>
      </c>
      <c r="C38" s="149">
        <v>80000</v>
      </c>
      <c r="D38" s="155" t="s">
        <v>160</v>
      </c>
      <c r="E38" s="150" t="s">
        <v>165</v>
      </c>
      <c r="F38" s="150" t="s">
        <v>162</v>
      </c>
      <c r="G38" s="151" t="s">
        <v>135</v>
      </c>
      <c r="H38" s="150" t="s">
        <v>38</v>
      </c>
      <c r="I38" s="152" t="s">
        <v>163</v>
      </c>
      <c r="J38" s="157" t="s">
        <v>182</v>
      </c>
    </row>
    <row r="39" spans="2:10" x14ac:dyDescent="0.2">
      <c r="B39" s="140">
        <v>46107</v>
      </c>
      <c r="C39" s="135">
        <v>50000</v>
      </c>
      <c r="D39" s="136" t="s">
        <v>160</v>
      </c>
      <c r="E39" s="137" t="s">
        <v>165</v>
      </c>
      <c r="F39" s="137" t="s">
        <v>162</v>
      </c>
      <c r="G39" s="138" t="s">
        <v>169</v>
      </c>
      <c r="H39" s="137" t="s">
        <v>38</v>
      </c>
      <c r="I39" s="139" t="s">
        <v>163</v>
      </c>
      <c r="J39" s="141"/>
    </row>
    <row r="40" spans="2:10" x14ac:dyDescent="0.2">
      <c r="B40" s="140">
        <v>46107</v>
      </c>
      <c r="C40" s="135">
        <v>50000</v>
      </c>
      <c r="D40" s="136" t="s">
        <v>160</v>
      </c>
      <c r="E40" s="137" t="s">
        <v>165</v>
      </c>
      <c r="F40" s="137" t="s">
        <v>162</v>
      </c>
      <c r="G40" s="138" t="s">
        <v>169</v>
      </c>
      <c r="H40" s="137" t="s">
        <v>38</v>
      </c>
      <c r="I40" s="139" t="s">
        <v>163</v>
      </c>
      <c r="J40" s="141"/>
    </row>
    <row r="41" spans="2:10" x14ac:dyDescent="0.2">
      <c r="B41" s="156">
        <v>46109</v>
      </c>
      <c r="C41" s="149">
        <v>68950</v>
      </c>
      <c r="D41" s="155" t="s">
        <v>189</v>
      </c>
      <c r="E41" s="150" t="s">
        <v>165</v>
      </c>
      <c r="F41" s="150" t="s">
        <v>162</v>
      </c>
      <c r="G41" s="151" t="s">
        <v>135</v>
      </c>
      <c r="H41" s="150" t="s">
        <v>38</v>
      </c>
      <c r="I41" s="152" t="s">
        <v>174</v>
      </c>
      <c r="J41" s="157" t="s">
        <v>182</v>
      </c>
    </row>
    <row r="42" spans="2:10" x14ac:dyDescent="0.2">
      <c r="B42" s="156">
        <v>46112</v>
      </c>
      <c r="C42" s="149">
        <v>50000</v>
      </c>
      <c r="D42" s="155" t="s">
        <v>160</v>
      </c>
      <c r="E42" s="150" t="s">
        <v>165</v>
      </c>
      <c r="F42" s="150" t="s">
        <v>162</v>
      </c>
      <c r="G42" s="151" t="s">
        <v>35</v>
      </c>
      <c r="H42" s="150" t="s">
        <v>38</v>
      </c>
      <c r="I42" s="152" t="s">
        <v>163</v>
      </c>
      <c r="J42" s="157" t="s">
        <v>532</v>
      </c>
    </row>
    <row r="43" spans="2:10" x14ac:dyDescent="0.2">
      <c r="B43" s="156">
        <v>46119</v>
      </c>
      <c r="C43" s="149">
        <v>287600</v>
      </c>
      <c r="D43" s="155" t="s">
        <v>160</v>
      </c>
      <c r="E43" s="150" t="s">
        <v>165</v>
      </c>
      <c r="F43" s="150" t="s">
        <v>162</v>
      </c>
      <c r="G43" s="151" t="s">
        <v>73</v>
      </c>
      <c r="H43" s="150" t="s">
        <v>151</v>
      </c>
      <c r="I43" s="152" t="s">
        <v>163</v>
      </c>
      <c r="J43" s="157" t="s">
        <v>186</v>
      </c>
    </row>
    <row r="44" spans="2:10" x14ac:dyDescent="0.2">
      <c r="B44" s="156">
        <v>46125</v>
      </c>
      <c r="C44" s="149">
        <v>473040</v>
      </c>
      <c r="D44" s="155" t="s">
        <v>160</v>
      </c>
      <c r="E44" s="150" t="s">
        <v>165</v>
      </c>
      <c r="F44" s="150" t="s">
        <v>162</v>
      </c>
      <c r="G44" s="151"/>
      <c r="H44" s="150" t="s">
        <v>151</v>
      </c>
      <c r="I44" s="152" t="s">
        <v>163</v>
      </c>
      <c r="J44" s="184" t="s">
        <v>530</v>
      </c>
    </row>
    <row r="45" spans="2:10" x14ac:dyDescent="0.2">
      <c r="B45" s="156">
        <v>46090</v>
      </c>
      <c r="C45" s="149">
        <v>300000</v>
      </c>
      <c r="D45" s="150" t="s">
        <v>167</v>
      </c>
      <c r="E45" s="150" t="s">
        <v>168</v>
      </c>
      <c r="F45" s="150" t="s">
        <v>167</v>
      </c>
      <c r="G45" s="151" t="s">
        <v>79</v>
      </c>
      <c r="H45" s="150" t="s">
        <v>38</v>
      </c>
      <c r="I45" s="152" t="s">
        <v>163</v>
      </c>
      <c r="J45" s="182" t="s">
        <v>81</v>
      </c>
    </row>
    <row r="46" spans="2:10" x14ac:dyDescent="0.2">
      <c r="B46" s="156">
        <v>46100</v>
      </c>
      <c r="C46" s="149">
        <v>91050</v>
      </c>
      <c r="D46" s="155" t="s">
        <v>175</v>
      </c>
      <c r="E46" s="150" t="s">
        <v>168</v>
      </c>
      <c r="F46" s="150" t="s">
        <v>167</v>
      </c>
      <c r="G46" s="151" t="s">
        <v>73</v>
      </c>
      <c r="H46" s="150" t="s">
        <v>38</v>
      </c>
      <c r="I46" s="152" t="s">
        <v>174</v>
      </c>
      <c r="J46" s="182" t="s">
        <v>72</v>
      </c>
    </row>
    <row r="47" spans="2:10" x14ac:dyDescent="0.2">
      <c r="B47" s="156">
        <v>46100</v>
      </c>
      <c r="C47" s="149">
        <v>417600</v>
      </c>
      <c r="D47" s="155" t="s">
        <v>172</v>
      </c>
      <c r="E47" s="150" t="s">
        <v>168</v>
      </c>
      <c r="F47" s="150" t="s">
        <v>167</v>
      </c>
      <c r="G47" s="151" t="s">
        <v>173</v>
      </c>
      <c r="H47" s="161" t="s">
        <v>151</v>
      </c>
      <c r="I47" s="152" t="s">
        <v>174</v>
      </c>
      <c r="J47" s="182" t="s">
        <v>87</v>
      </c>
    </row>
    <row r="48" spans="2:10" x14ac:dyDescent="0.2">
      <c r="B48" s="156">
        <v>46101</v>
      </c>
      <c r="C48" s="149">
        <v>350000</v>
      </c>
      <c r="D48" s="155" t="s">
        <v>176</v>
      </c>
      <c r="E48" s="150" t="s">
        <v>168</v>
      </c>
      <c r="F48" s="150" t="s">
        <v>167</v>
      </c>
      <c r="G48" s="151" t="s">
        <v>73</v>
      </c>
      <c r="H48" s="150" t="s">
        <v>151</v>
      </c>
      <c r="I48" s="152" t="s">
        <v>174</v>
      </c>
      <c r="J48" s="182" t="s">
        <v>72</v>
      </c>
    </row>
    <row r="49" spans="2:10" x14ac:dyDescent="0.2">
      <c r="B49" s="156">
        <v>46104</v>
      </c>
      <c r="C49" s="149">
        <v>490500</v>
      </c>
      <c r="D49" s="155" t="s">
        <v>178</v>
      </c>
      <c r="E49" s="150" t="s">
        <v>168</v>
      </c>
      <c r="F49" s="150" t="s">
        <v>167</v>
      </c>
      <c r="G49" s="151" t="s">
        <v>52</v>
      </c>
      <c r="H49" s="150" t="s">
        <v>38</v>
      </c>
      <c r="I49" s="152" t="s">
        <v>174</v>
      </c>
      <c r="J49" s="182" t="s">
        <v>51</v>
      </c>
    </row>
    <row r="50" spans="2:10" x14ac:dyDescent="0.2">
      <c r="B50" s="156">
        <v>46107</v>
      </c>
      <c r="C50" s="149">
        <v>200000</v>
      </c>
      <c r="D50" s="155" t="s">
        <v>184</v>
      </c>
      <c r="E50" s="150" t="s">
        <v>168</v>
      </c>
      <c r="F50" s="150" t="s">
        <v>167</v>
      </c>
      <c r="G50" s="151" t="s">
        <v>185</v>
      </c>
      <c r="H50" s="150" t="s">
        <v>38</v>
      </c>
      <c r="I50" s="152" t="s">
        <v>174</v>
      </c>
      <c r="J50" s="157" t="s">
        <v>186</v>
      </c>
    </row>
    <row r="51" spans="2:10" x14ac:dyDescent="0.2">
      <c r="B51" s="156">
        <v>46108</v>
      </c>
      <c r="C51" s="149">
        <v>847660</v>
      </c>
      <c r="D51" s="155" t="s">
        <v>187</v>
      </c>
      <c r="E51" s="150" t="s">
        <v>168</v>
      </c>
      <c r="F51" s="150" t="s">
        <v>167</v>
      </c>
      <c r="G51" s="151" t="s">
        <v>52</v>
      </c>
      <c r="H51" s="150" t="s">
        <v>151</v>
      </c>
      <c r="I51" s="152" t="s">
        <v>174</v>
      </c>
      <c r="J51" s="157" t="s">
        <v>188</v>
      </c>
    </row>
    <row r="52" spans="2:10" x14ac:dyDescent="0.2">
      <c r="B52" s="156">
        <v>46111</v>
      </c>
      <c r="C52" s="149">
        <v>108886</v>
      </c>
      <c r="D52" s="155" t="s">
        <v>190</v>
      </c>
      <c r="E52" s="150" t="s">
        <v>168</v>
      </c>
      <c r="F52" s="150" t="s">
        <v>167</v>
      </c>
      <c r="G52" s="151" t="s">
        <v>148</v>
      </c>
      <c r="H52" s="150" t="s">
        <v>38</v>
      </c>
      <c r="I52" s="152" t="s">
        <v>174</v>
      </c>
      <c r="J52" s="157" t="s">
        <v>191</v>
      </c>
    </row>
    <row r="53" spans="2:10" x14ac:dyDescent="0.2">
      <c r="B53" s="156">
        <v>46112</v>
      </c>
      <c r="C53" s="149">
        <v>300000</v>
      </c>
      <c r="D53" s="155" t="s">
        <v>195</v>
      </c>
      <c r="E53" s="150" t="s">
        <v>168</v>
      </c>
      <c r="F53" s="150" t="s">
        <v>167</v>
      </c>
      <c r="G53" s="151" t="s">
        <v>192</v>
      </c>
      <c r="H53" s="150" t="s">
        <v>38</v>
      </c>
      <c r="I53" s="152" t="s">
        <v>174</v>
      </c>
      <c r="J53" s="157" t="s">
        <v>193</v>
      </c>
    </row>
    <row r="54" spans="2:10" x14ac:dyDescent="0.2">
      <c r="B54" s="156">
        <v>46112</v>
      </c>
      <c r="C54" s="149">
        <v>120000</v>
      </c>
      <c r="D54" s="155" t="s">
        <v>196</v>
      </c>
      <c r="E54" s="150" t="s">
        <v>168</v>
      </c>
      <c r="F54" s="150" t="s">
        <v>167</v>
      </c>
      <c r="G54" s="151" t="s">
        <v>197</v>
      </c>
      <c r="H54" s="150" t="s">
        <v>38</v>
      </c>
      <c r="I54" s="152" t="s">
        <v>163</v>
      </c>
      <c r="J54" s="157" t="s">
        <v>198</v>
      </c>
    </row>
    <row r="55" spans="2:10" x14ac:dyDescent="0.2">
      <c r="B55" s="156">
        <v>46119</v>
      </c>
      <c r="C55" s="149">
        <v>411320</v>
      </c>
      <c r="D55" s="155" t="s">
        <v>200</v>
      </c>
      <c r="E55" s="150" t="s">
        <v>168</v>
      </c>
      <c r="F55" s="150" t="s">
        <v>167</v>
      </c>
      <c r="G55" s="151" t="s">
        <v>139</v>
      </c>
      <c r="H55" s="150" t="s">
        <v>151</v>
      </c>
      <c r="I55" s="152" t="s">
        <v>174</v>
      </c>
      <c r="J55" s="157" t="s">
        <v>201</v>
      </c>
    </row>
    <row r="56" spans="2:10" x14ac:dyDescent="0.2">
      <c r="B56" s="156">
        <v>46120</v>
      </c>
      <c r="C56" s="149">
        <v>294888.88</v>
      </c>
      <c r="D56" s="155" t="s">
        <v>167</v>
      </c>
      <c r="E56" s="150" t="s">
        <v>168</v>
      </c>
      <c r="F56" s="150" t="s">
        <v>167</v>
      </c>
      <c r="G56" s="151" t="s">
        <v>202</v>
      </c>
      <c r="H56" s="150" t="s">
        <v>151</v>
      </c>
      <c r="I56" s="152" t="s">
        <v>174</v>
      </c>
      <c r="J56" s="157" t="s">
        <v>203</v>
      </c>
    </row>
    <row r="57" spans="2:10" x14ac:dyDescent="0.2">
      <c r="B57" s="156">
        <v>46120</v>
      </c>
      <c r="C57" s="149">
        <v>178100</v>
      </c>
      <c r="D57" s="155" t="s">
        <v>167</v>
      </c>
      <c r="E57" s="150" t="s">
        <v>168</v>
      </c>
      <c r="F57" s="150" t="s">
        <v>167</v>
      </c>
      <c r="G57" s="151" t="s">
        <v>85</v>
      </c>
      <c r="H57" s="150" t="s">
        <v>151</v>
      </c>
      <c r="I57" s="152" t="s">
        <v>174</v>
      </c>
      <c r="J57" s="157" t="s">
        <v>198</v>
      </c>
    </row>
    <row r="58" spans="2:10" x14ac:dyDescent="0.2">
      <c r="B58" s="156">
        <v>46121</v>
      </c>
      <c r="C58" s="149">
        <v>3368</v>
      </c>
      <c r="D58" s="155" t="s">
        <v>167</v>
      </c>
      <c r="E58" s="150" t="s">
        <v>168</v>
      </c>
      <c r="F58" s="150" t="s">
        <v>167</v>
      </c>
      <c r="G58" s="151" t="s">
        <v>185</v>
      </c>
      <c r="H58" s="150" t="s">
        <v>151</v>
      </c>
      <c r="I58" s="152" t="s">
        <v>163</v>
      </c>
      <c r="J58" s="157" t="s">
        <v>186</v>
      </c>
    </row>
    <row r="59" spans="2:10" x14ac:dyDescent="0.2">
      <c r="B59" s="158">
        <v>46127</v>
      </c>
      <c r="C59" s="159">
        <v>240000</v>
      </c>
      <c r="D59" s="155" t="s">
        <v>167</v>
      </c>
      <c r="E59" s="150" t="s">
        <v>168</v>
      </c>
      <c r="F59" s="150" t="s">
        <v>167</v>
      </c>
      <c r="G59" s="160" t="s">
        <v>148</v>
      </c>
      <c r="H59" s="161" t="s">
        <v>38</v>
      </c>
      <c r="I59" s="152" t="s">
        <v>174</v>
      </c>
      <c r="J59" s="162" t="s">
        <v>191</v>
      </c>
    </row>
    <row r="60" spans="2:10" x14ac:dyDescent="0.2">
      <c r="B60" s="158">
        <v>46128</v>
      </c>
      <c r="C60" s="159">
        <v>457250</v>
      </c>
      <c r="D60" s="155" t="s">
        <v>167</v>
      </c>
      <c r="E60" s="150" t="s">
        <v>168</v>
      </c>
      <c r="F60" s="150" t="s">
        <v>167</v>
      </c>
      <c r="G60" s="160" t="s">
        <v>114</v>
      </c>
      <c r="H60" s="161" t="s">
        <v>151</v>
      </c>
      <c r="I60" s="152" t="s">
        <v>174</v>
      </c>
      <c r="J60" s="162" t="s">
        <v>204</v>
      </c>
    </row>
    <row r="61" spans="2:10" x14ac:dyDescent="0.2">
      <c r="B61" s="158">
        <v>46135</v>
      </c>
      <c r="C61" s="159">
        <v>451840</v>
      </c>
      <c r="D61" s="155" t="s">
        <v>167</v>
      </c>
      <c r="E61" s="150" t="s">
        <v>168</v>
      </c>
      <c r="F61" s="150" t="s">
        <v>167</v>
      </c>
      <c r="G61" s="151" t="s">
        <v>48</v>
      </c>
      <c r="H61" s="161" t="s">
        <v>151</v>
      </c>
      <c r="I61" s="152" t="s">
        <v>174</v>
      </c>
      <c r="J61" s="157" t="s">
        <v>535</v>
      </c>
    </row>
    <row r="62" spans="2:10" x14ac:dyDescent="0.2">
      <c r="B62" s="158">
        <v>46140</v>
      </c>
      <c r="C62" s="159">
        <v>20714</v>
      </c>
      <c r="D62" s="155" t="s">
        <v>167</v>
      </c>
      <c r="E62" s="150" t="s">
        <v>168</v>
      </c>
      <c r="F62" s="150" t="s">
        <v>167</v>
      </c>
      <c r="G62" s="151" t="s">
        <v>148</v>
      </c>
      <c r="H62" s="161" t="s">
        <v>151</v>
      </c>
      <c r="I62" s="152" t="s">
        <v>538</v>
      </c>
      <c r="J62" s="157" t="s">
        <v>191</v>
      </c>
    </row>
    <row r="63" spans="2:10" ht="15.75" x14ac:dyDescent="0.25">
      <c r="B63" s="97" t="s">
        <v>149</v>
      </c>
      <c r="C63" s="98">
        <f>SUBTOTAL(109,Tabla5[[CANTIDAD ]])</f>
        <v>10054555.880000001</v>
      </c>
      <c r="D63" s="97"/>
      <c r="E63" s="97"/>
      <c r="F63" s="97"/>
      <c r="G63" s="99"/>
      <c r="H63" s="97"/>
      <c r="I63" s="100"/>
      <c r="J63" s="97"/>
    </row>
    <row r="65" spans="2:10" x14ac:dyDescent="0.2">
      <c r="B65" s="205" t="s">
        <v>529</v>
      </c>
      <c r="C65" s="206"/>
      <c r="D65" s="206"/>
      <c r="E65" s="206"/>
      <c r="F65" s="206"/>
      <c r="G65" s="206"/>
      <c r="H65" s="206"/>
      <c r="I65" s="206"/>
      <c r="J65" s="206"/>
    </row>
    <row r="66" spans="2:10" x14ac:dyDescent="0.2">
      <c r="B66" s="206"/>
      <c r="C66" s="206"/>
      <c r="D66" s="206"/>
      <c r="E66" s="206"/>
      <c r="F66" s="206"/>
      <c r="G66" s="206"/>
      <c r="H66" s="206"/>
      <c r="I66" s="206"/>
      <c r="J66" s="206"/>
    </row>
    <row r="67" spans="2:10" ht="12.75" customHeight="1" x14ac:dyDescent="0.2">
      <c r="B67" s="163" t="s">
        <v>152</v>
      </c>
      <c r="C67" s="164" t="s">
        <v>153</v>
      </c>
      <c r="D67" s="165" t="s">
        <v>154</v>
      </c>
      <c r="E67" s="165" t="s">
        <v>155</v>
      </c>
      <c r="F67" s="165" t="s">
        <v>156</v>
      </c>
      <c r="G67" s="165" t="s">
        <v>20</v>
      </c>
      <c r="H67" s="165" t="s">
        <v>157</v>
      </c>
      <c r="I67" s="166" t="s">
        <v>158</v>
      </c>
      <c r="J67" s="167" t="s">
        <v>159</v>
      </c>
    </row>
    <row r="68" spans="2:10" x14ac:dyDescent="0.2">
      <c r="B68" s="181">
        <v>46134</v>
      </c>
      <c r="C68" s="149">
        <v>6640000</v>
      </c>
      <c r="D68" s="150" t="s">
        <v>536</v>
      </c>
      <c r="E68" s="150" t="s">
        <v>180</v>
      </c>
      <c r="F68" s="150" t="s">
        <v>167</v>
      </c>
      <c r="G68" s="151" t="s">
        <v>4</v>
      </c>
      <c r="H68" s="150" t="s">
        <v>55</v>
      </c>
      <c r="I68" s="152" t="s">
        <v>174</v>
      </c>
      <c r="J68" s="168"/>
    </row>
    <row r="69" spans="2:10" x14ac:dyDescent="0.2">
      <c r="B69" s="181">
        <v>46134</v>
      </c>
      <c r="C69" s="149">
        <v>6650000</v>
      </c>
      <c r="D69" s="150" t="s">
        <v>536</v>
      </c>
      <c r="E69" s="150" t="s">
        <v>537</v>
      </c>
      <c r="F69" s="150" t="s">
        <v>167</v>
      </c>
      <c r="G69" s="151" t="s">
        <v>4</v>
      </c>
      <c r="H69" s="150" t="s">
        <v>55</v>
      </c>
      <c r="I69" s="152" t="s">
        <v>174</v>
      </c>
      <c r="J69" s="168"/>
    </row>
    <row r="70" spans="2:10" x14ac:dyDescent="0.2">
      <c r="B70" s="181">
        <v>46134</v>
      </c>
      <c r="C70" s="149">
        <v>6645000</v>
      </c>
      <c r="D70" s="150" t="s">
        <v>536</v>
      </c>
      <c r="E70" s="150" t="s">
        <v>164</v>
      </c>
      <c r="F70" s="150" t="s">
        <v>167</v>
      </c>
      <c r="G70" s="151" t="s">
        <v>4</v>
      </c>
      <c r="H70" s="150" t="s">
        <v>55</v>
      </c>
      <c r="I70" s="152" t="s">
        <v>174</v>
      </c>
      <c r="J70" s="168"/>
    </row>
    <row r="71" spans="2:10" ht="15.75" x14ac:dyDescent="0.25">
      <c r="B71" s="186" t="s">
        <v>149</v>
      </c>
      <c r="C71" s="187">
        <f>SUM(C68:C70)</f>
        <v>19935000</v>
      </c>
      <c r="D71" s="188"/>
      <c r="E71" s="188"/>
      <c r="F71" s="188"/>
      <c r="G71" s="189"/>
      <c r="H71" s="188"/>
      <c r="I71" s="190"/>
      <c r="J71" s="191"/>
    </row>
  </sheetData>
  <mergeCells count="2">
    <mergeCell ref="B2:J3"/>
    <mergeCell ref="B65:J66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0996-5122-47FF-9141-3E119844C33E}">
  <sheetPr>
    <outlinePr summaryBelow="0" summaryRight="0"/>
    <pageSetUpPr fitToPage="1"/>
  </sheetPr>
  <dimension ref="A1:AD49"/>
  <sheetViews>
    <sheetView showGridLines="0" zoomScale="80" zoomScaleNormal="80" workbookViewId="0">
      <pane ySplit="3" topLeftCell="A4" activePane="bottomLeft" state="frozen"/>
      <selection pane="bottomLeft" activeCell="V1" sqref="A1:V39"/>
    </sheetView>
  </sheetViews>
  <sheetFormatPr baseColWidth="10" defaultColWidth="12.5703125" defaultRowHeight="15.75" customHeight="1" x14ac:dyDescent="0.2"/>
  <cols>
    <col min="1" max="1" width="12.28515625" customWidth="1"/>
    <col min="2" max="2" width="14.85546875" customWidth="1"/>
    <col min="3" max="3" width="11.140625" hidden="1" customWidth="1"/>
    <col min="4" max="4" width="11.140625" customWidth="1"/>
    <col min="5" max="5" width="17.42578125" bestFit="1" customWidth="1"/>
    <col min="6" max="6" width="13.5703125" customWidth="1"/>
    <col min="7" max="7" width="12.42578125" customWidth="1"/>
    <col min="8" max="9" width="13.28515625" hidden="1" customWidth="1"/>
    <col min="10" max="10" width="29.7109375" bestFit="1" customWidth="1"/>
    <col min="11" max="11" width="17.85546875" hidden="1" customWidth="1"/>
    <col min="12" max="12" width="29" bestFit="1" customWidth="1"/>
    <col min="13" max="13" width="27.140625" bestFit="1" customWidth="1"/>
    <col min="14" max="14" width="16" bestFit="1" customWidth="1"/>
    <col min="15" max="15" width="15.42578125" customWidth="1"/>
    <col min="16" max="16" width="18.85546875" bestFit="1" customWidth="1"/>
    <col min="17" max="17" width="18.5703125" hidden="1" customWidth="1"/>
    <col min="18" max="18" width="18.140625" hidden="1" customWidth="1"/>
    <col min="19" max="20" width="16.7109375" hidden="1" customWidth="1"/>
    <col min="21" max="22" width="16.7109375" customWidth="1"/>
    <col min="23" max="23" width="18" style="42" hidden="1" customWidth="1"/>
  </cols>
  <sheetData>
    <row r="1" spans="1:30" ht="34.5" x14ac:dyDescent="0.5">
      <c r="A1" s="201" t="s">
        <v>10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125"/>
      <c r="U1" s="125"/>
      <c r="V1" s="125"/>
      <c r="W1" s="126"/>
    </row>
    <row r="2" spans="1:30" ht="46.5" customHeight="1" x14ac:dyDescent="0.2">
      <c r="A2" s="120" t="s">
        <v>11</v>
      </c>
      <c r="B2" s="120" t="s">
        <v>12</v>
      </c>
      <c r="C2" s="121" t="s">
        <v>13</v>
      </c>
      <c r="D2" s="121" t="s">
        <v>14</v>
      </c>
      <c r="E2" s="120" t="s">
        <v>15</v>
      </c>
      <c r="F2" s="122" t="s">
        <v>16</v>
      </c>
      <c r="G2" s="122" t="s">
        <v>17</v>
      </c>
      <c r="H2" s="123" t="s">
        <v>18</v>
      </c>
      <c r="I2" s="123" t="s">
        <v>19</v>
      </c>
      <c r="J2" s="121" t="s">
        <v>20</v>
      </c>
      <c r="K2" s="121" t="s">
        <v>21</v>
      </c>
      <c r="L2" s="121" t="s">
        <v>22</v>
      </c>
      <c r="M2" s="121" t="s">
        <v>23</v>
      </c>
      <c r="N2" s="121" t="s">
        <v>24</v>
      </c>
      <c r="O2" s="124" t="s">
        <v>25</v>
      </c>
      <c r="P2" s="121" t="s">
        <v>26</v>
      </c>
      <c r="Q2" s="121" t="s">
        <v>27</v>
      </c>
      <c r="R2" s="121" t="s">
        <v>28</v>
      </c>
      <c r="S2" s="120" t="s">
        <v>29</v>
      </c>
      <c r="T2" s="120" t="s">
        <v>30</v>
      </c>
      <c r="U2" s="120" t="s">
        <v>31</v>
      </c>
      <c r="V2" s="120" t="s">
        <v>32</v>
      </c>
      <c r="W2" s="127" t="s">
        <v>33</v>
      </c>
    </row>
    <row r="3" spans="1:30" ht="12.75" x14ac:dyDescent="0.2">
      <c r="A3" s="92" t="s">
        <v>34</v>
      </c>
      <c r="B3" s="128">
        <v>46083</v>
      </c>
      <c r="C3" s="21">
        <v>37167</v>
      </c>
      <c r="D3" s="21">
        <v>1928</v>
      </c>
      <c r="E3" s="129">
        <v>31160</v>
      </c>
      <c r="F3" s="21">
        <v>600</v>
      </c>
      <c r="G3" s="21"/>
      <c r="H3" s="21"/>
      <c r="I3" s="21"/>
      <c r="J3" s="21" t="s">
        <v>35</v>
      </c>
      <c r="K3" s="21"/>
      <c r="L3" s="21" t="s">
        <v>36</v>
      </c>
      <c r="M3" s="21" t="s">
        <v>37</v>
      </c>
      <c r="N3" s="21">
        <v>7711435699</v>
      </c>
      <c r="O3" s="128">
        <v>46085</v>
      </c>
      <c r="P3" s="130">
        <v>515340</v>
      </c>
      <c r="Q3" s="130">
        <f>300000+50000+50000+53065</f>
        <v>453065</v>
      </c>
      <c r="R3" s="130">
        <f>+Tabla17[[#This Row],[TOTAL]]-Tabla17[[#This Row],[PAGO]]</f>
        <v>62275</v>
      </c>
      <c r="S3" s="21" t="s">
        <v>38</v>
      </c>
      <c r="T3" s="128"/>
      <c r="U3" s="131">
        <v>18</v>
      </c>
      <c r="V3" s="131"/>
      <c r="W3" s="131">
        <v>18</v>
      </c>
      <c r="X3" s="3"/>
      <c r="Y3" s="3"/>
      <c r="Z3" s="3"/>
      <c r="AA3" s="3"/>
      <c r="AB3" s="3"/>
      <c r="AC3" s="3"/>
      <c r="AD3" s="3"/>
    </row>
    <row r="4" spans="1:30" ht="12.75" x14ac:dyDescent="0.2">
      <c r="A4" s="92" t="s">
        <v>39</v>
      </c>
      <c r="B4" s="128">
        <v>46083</v>
      </c>
      <c r="C4" s="21"/>
      <c r="D4" s="21">
        <v>1928</v>
      </c>
      <c r="E4" s="129">
        <v>30510</v>
      </c>
      <c r="F4" s="21">
        <v>400</v>
      </c>
      <c r="G4" s="21">
        <v>200</v>
      </c>
      <c r="H4" s="21"/>
      <c r="I4" s="21"/>
      <c r="J4" s="21" t="s">
        <v>40</v>
      </c>
      <c r="K4" s="21"/>
      <c r="L4" s="21" t="s">
        <v>41</v>
      </c>
      <c r="M4" s="21" t="s">
        <v>42</v>
      </c>
      <c r="N4" s="21">
        <v>6442062694</v>
      </c>
      <c r="O4" s="128">
        <v>46085</v>
      </c>
      <c r="P4" s="130">
        <f>+(Tabla17[[#This Row],[PESO NETO KGS]]-2400)*(AVERAGE(Tabla17[[#This Row],[1rea]],Tabla17[[#This Row],[3ra]]))</f>
        <v>309210</v>
      </c>
      <c r="Q4" s="130"/>
      <c r="R4" s="130">
        <f>+Tabla17[[#This Row],[TOTAL]]-Tabla17[[#This Row],[PAGO]]</f>
        <v>309210</v>
      </c>
      <c r="S4" s="21"/>
      <c r="T4" s="128"/>
      <c r="U4" s="131">
        <v>13</v>
      </c>
      <c r="V4" s="131">
        <v>9</v>
      </c>
      <c r="W4" s="131">
        <v>22</v>
      </c>
      <c r="X4" s="3"/>
      <c r="Y4" s="3"/>
      <c r="Z4" s="3"/>
      <c r="AA4" s="3"/>
      <c r="AB4" s="3"/>
      <c r="AC4" s="3"/>
      <c r="AD4" s="3"/>
    </row>
    <row r="5" spans="1:30" ht="12.75" x14ac:dyDescent="0.2">
      <c r="A5" s="92" t="s">
        <v>43</v>
      </c>
      <c r="B5" s="128">
        <v>46084</v>
      </c>
      <c r="C5" s="21"/>
      <c r="D5" s="21">
        <v>1928</v>
      </c>
      <c r="E5" s="129">
        <v>30270</v>
      </c>
      <c r="F5" s="21">
        <v>600</v>
      </c>
      <c r="G5" s="21"/>
      <c r="H5" s="21"/>
      <c r="I5" s="21"/>
      <c r="J5" s="21" t="s">
        <v>44</v>
      </c>
      <c r="K5" s="21"/>
      <c r="L5" s="21" t="s">
        <v>45</v>
      </c>
      <c r="M5" s="21" t="s">
        <v>46</v>
      </c>
      <c r="N5" s="21">
        <v>5568874556</v>
      </c>
      <c r="O5" s="128">
        <v>46086</v>
      </c>
      <c r="P5" s="130">
        <f>+(Tabla17[[#This Row],[PESO NETO KGS]]-2400)*Tabla17[[#This Row],[1rea]]</f>
        <v>362310</v>
      </c>
      <c r="Q5" s="130">
        <v>60000</v>
      </c>
      <c r="R5" s="130">
        <f>+Tabla17[[#This Row],[TOTAL]]-Tabla17[[#This Row],[PAGO]]</f>
        <v>302310</v>
      </c>
      <c r="S5" s="21" t="s">
        <v>38</v>
      </c>
      <c r="T5" s="128"/>
      <c r="U5" s="131">
        <v>13</v>
      </c>
      <c r="V5" s="131"/>
      <c r="W5" s="131">
        <v>23</v>
      </c>
      <c r="X5" s="3"/>
      <c r="Y5" s="3"/>
      <c r="Z5" s="3"/>
      <c r="AA5" s="3"/>
      <c r="AB5" s="3"/>
      <c r="AC5" s="3"/>
      <c r="AD5" s="3"/>
    </row>
    <row r="6" spans="1:30" ht="12.75" x14ac:dyDescent="0.2">
      <c r="A6" s="92" t="s">
        <v>47</v>
      </c>
      <c r="B6" s="128">
        <v>46084</v>
      </c>
      <c r="C6" s="21"/>
      <c r="D6" s="21">
        <v>1928</v>
      </c>
      <c r="E6" s="129">
        <v>30570</v>
      </c>
      <c r="F6" s="21">
        <v>600</v>
      </c>
      <c r="G6" s="21"/>
      <c r="H6" s="21"/>
      <c r="I6" s="21"/>
      <c r="J6" s="21" t="s">
        <v>48</v>
      </c>
      <c r="K6" s="21"/>
      <c r="L6" s="21" t="s">
        <v>49</v>
      </c>
      <c r="M6" s="21" t="s">
        <v>50</v>
      </c>
      <c r="N6" s="21">
        <v>4492731814</v>
      </c>
      <c r="O6" s="128">
        <v>46086</v>
      </c>
      <c r="P6" s="130">
        <f>+(Tabla17[[#This Row],[PESO NETO KGS]]-2400)*Tabla17[[#This Row],[1rea]]</f>
        <v>366210</v>
      </c>
      <c r="Q6" s="130"/>
      <c r="R6" s="130">
        <f>+Tabla17[[#This Row],[TOTAL]]-Tabla17[[#This Row],[PAGO]]</f>
        <v>366210</v>
      </c>
      <c r="S6" s="21"/>
      <c r="T6" s="128"/>
      <c r="U6" s="131">
        <v>13</v>
      </c>
      <c r="V6" s="131"/>
      <c r="W6" s="131">
        <v>31</v>
      </c>
      <c r="X6" s="3"/>
      <c r="Y6" s="3"/>
      <c r="Z6" s="3"/>
      <c r="AA6" s="3"/>
      <c r="AB6" s="3"/>
      <c r="AC6" s="3"/>
      <c r="AD6" s="3"/>
    </row>
    <row r="7" spans="1:30" ht="12.75" x14ac:dyDescent="0.2">
      <c r="A7" s="92" t="s">
        <v>51</v>
      </c>
      <c r="B7" s="128">
        <v>46085</v>
      </c>
      <c r="C7" s="21"/>
      <c r="D7" s="21">
        <v>1928</v>
      </c>
      <c r="E7" s="129">
        <v>30450</v>
      </c>
      <c r="F7" s="21">
        <v>600</v>
      </c>
      <c r="G7" s="21"/>
      <c r="H7" s="21"/>
      <c r="I7" s="21"/>
      <c r="J7" s="21" t="s">
        <v>52</v>
      </c>
      <c r="K7" s="21"/>
      <c r="L7" s="21" t="s">
        <v>53</v>
      </c>
      <c r="M7" s="21" t="s">
        <v>54</v>
      </c>
      <c r="N7" s="21">
        <v>4491111634</v>
      </c>
      <c r="O7" s="128">
        <v>46087</v>
      </c>
      <c r="P7" s="130">
        <v>490500</v>
      </c>
      <c r="Q7" s="130">
        <v>490500</v>
      </c>
      <c r="R7" s="130">
        <f>+Tabla17[[#This Row],[TOTAL]]-Tabla17[[#This Row],[PAGO]]</f>
        <v>0</v>
      </c>
      <c r="S7" s="21" t="s">
        <v>55</v>
      </c>
      <c r="T7" s="128">
        <v>46085</v>
      </c>
      <c r="U7" s="131">
        <v>18</v>
      </c>
      <c r="V7" s="131"/>
      <c r="W7" s="131">
        <v>33</v>
      </c>
      <c r="X7" s="3"/>
      <c r="Y7" s="3"/>
      <c r="Z7" s="3"/>
      <c r="AA7" s="3"/>
      <c r="AB7" s="3"/>
      <c r="AC7" s="3"/>
      <c r="AD7" s="3"/>
    </row>
    <row r="8" spans="1:30" ht="12.75" x14ac:dyDescent="0.2">
      <c r="A8" s="92" t="s">
        <v>56</v>
      </c>
      <c r="B8" s="128">
        <v>46085</v>
      </c>
      <c r="C8" s="21"/>
      <c r="D8" s="21">
        <v>1928</v>
      </c>
      <c r="E8" s="129">
        <v>30610</v>
      </c>
      <c r="F8" s="21">
        <v>600</v>
      </c>
      <c r="G8" s="21"/>
      <c r="H8" s="21"/>
      <c r="I8" s="21"/>
      <c r="J8" s="21" t="s">
        <v>57</v>
      </c>
      <c r="K8" s="21"/>
      <c r="L8" s="21" t="s">
        <v>58</v>
      </c>
      <c r="M8" s="21" t="s">
        <v>59</v>
      </c>
      <c r="N8" s="21">
        <v>6442462077</v>
      </c>
      <c r="O8" s="128">
        <v>46087</v>
      </c>
      <c r="P8" s="130">
        <f>+(Tabla17[[#This Row],[PESO NETO KGS]]-2400)*Tabla17[[#This Row],[1rea]]</f>
        <v>366730</v>
      </c>
      <c r="Q8" s="130"/>
      <c r="R8" s="130">
        <f>+Tabla17[[#This Row],[TOTAL]]-Tabla17[[#This Row],[PAGO]]</f>
        <v>366730</v>
      </c>
      <c r="S8" s="21"/>
      <c r="T8" s="128"/>
      <c r="U8" s="131">
        <v>13</v>
      </c>
      <c r="V8" s="131"/>
      <c r="W8" s="131">
        <v>27</v>
      </c>
      <c r="X8" s="3"/>
      <c r="Y8" s="3"/>
      <c r="Z8" s="3"/>
      <c r="AA8" s="3"/>
      <c r="AB8" s="3"/>
      <c r="AC8" s="3"/>
      <c r="AD8" s="3"/>
    </row>
    <row r="9" spans="1:30" ht="12.75" x14ac:dyDescent="0.2">
      <c r="A9" s="92" t="s">
        <v>60</v>
      </c>
      <c r="B9" s="128">
        <v>46086</v>
      </c>
      <c r="C9" s="21"/>
      <c r="D9" s="21">
        <v>1928</v>
      </c>
      <c r="E9" s="129">
        <v>30330</v>
      </c>
      <c r="F9" s="21">
        <v>600</v>
      </c>
      <c r="G9" s="21"/>
      <c r="H9" s="21"/>
      <c r="I9" s="21"/>
      <c r="J9" s="21" t="s">
        <v>61</v>
      </c>
      <c r="K9" s="21"/>
      <c r="L9" s="21" t="s">
        <v>62</v>
      </c>
      <c r="M9" s="21" t="s">
        <v>63</v>
      </c>
      <c r="N9" s="21">
        <v>9981124764</v>
      </c>
      <c r="O9" s="128">
        <v>46088</v>
      </c>
      <c r="P9" s="130">
        <v>382520</v>
      </c>
      <c r="Q9" s="130">
        <v>382520</v>
      </c>
      <c r="R9" s="130">
        <f>+Tabla17[[#This Row],[TOTAL]]-Tabla17[[#This Row],[PAGO]]</f>
        <v>0</v>
      </c>
      <c r="S9" s="21" t="s">
        <v>55</v>
      </c>
      <c r="T9" s="128">
        <v>46086</v>
      </c>
      <c r="U9" s="131">
        <v>14.5</v>
      </c>
      <c r="V9" s="131">
        <v>11</v>
      </c>
      <c r="W9" s="131">
        <v>35.9</v>
      </c>
      <c r="X9" s="3"/>
      <c r="Y9" s="3"/>
      <c r="Z9" s="3"/>
      <c r="AA9" s="3"/>
      <c r="AB9" s="3"/>
      <c r="AC9" s="3"/>
      <c r="AD9" s="3"/>
    </row>
    <row r="10" spans="1:30" ht="12.75" x14ac:dyDescent="0.2">
      <c r="A10" s="92" t="s">
        <v>64</v>
      </c>
      <c r="B10" s="128">
        <v>46086</v>
      </c>
      <c r="C10" s="21"/>
      <c r="D10" s="21">
        <v>1928</v>
      </c>
      <c r="E10" s="129">
        <v>30320</v>
      </c>
      <c r="F10" s="21">
        <v>600</v>
      </c>
      <c r="G10" s="21"/>
      <c r="H10" s="21"/>
      <c r="I10" s="21"/>
      <c r="J10" s="21" t="s">
        <v>52</v>
      </c>
      <c r="K10" s="21"/>
      <c r="L10" s="21" t="s">
        <v>53</v>
      </c>
      <c r="M10" s="21" t="s">
        <v>65</v>
      </c>
      <c r="N10" s="21">
        <v>8113687191</v>
      </c>
      <c r="O10" s="128">
        <v>46088</v>
      </c>
      <c r="P10" s="130">
        <f>+(Tabla17[[#This Row],[PESO NETO KGS]]-2400)*Tabla17[[#This Row],[1rea]]</f>
        <v>362960</v>
      </c>
      <c r="Q10" s="130"/>
      <c r="R10" s="130">
        <f>+Tabla17[[#This Row],[TOTAL]]-Tabla17[[#This Row],[PAGO]]</f>
        <v>362960</v>
      </c>
      <c r="S10" s="21"/>
      <c r="T10" s="128"/>
      <c r="U10" s="131">
        <v>13</v>
      </c>
      <c r="V10" s="131"/>
      <c r="W10" s="131">
        <v>33</v>
      </c>
      <c r="X10" s="3"/>
      <c r="Y10" s="3"/>
      <c r="Z10" s="3"/>
      <c r="AA10" s="3"/>
      <c r="AB10" s="3"/>
      <c r="AC10" s="3"/>
      <c r="AD10" s="3"/>
    </row>
    <row r="11" spans="1:30" ht="12.75" x14ac:dyDescent="0.2">
      <c r="A11" s="92" t="s">
        <v>66</v>
      </c>
      <c r="B11" s="128">
        <v>46087</v>
      </c>
      <c r="C11" s="21"/>
      <c r="D11" s="21">
        <v>1928</v>
      </c>
      <c r="E11" s="129">
        <v>30540</v>
      </c>
      <c r="F11" s="21">
        <v>600</v>
      </c>
      <c r="G11" s="21"/>
      <c r="H11" s="21"/>
      <c r="I11" s="21"/>
      <c r="J11" s="21" t="s">
        <v>67</v>
      </c>
      <c r="K11" s="128"/>
      <c r="L11" s="21" t="s">
        <v>68</v>
      </c>
      <c r="M11" s="21" t="s">
        <v>69</v>
      </c>
      <c r="N11" s="21">
        <v>5525317818</v>
      </c>
      <c r="O11" s="128">
        <v>46089</v>
      </c>
      <c r="P11" s="130">
        <f>+(Tabla17[[#This Row],[PESO NETO KGS]]-2400)*Tabla17[[#This Row],[1rea]]</f>
        <v>365820</v>
      </c>
      <c r="Q11" s="130"/>
      <c r="R11" s="130">
        <f>+Tabla17[[#This Row],[TOTAL]]-Tabla17[[#This Row],[PAGO]]</f>
        <v>365820</v>
      </c>
      <c r="S11" s="21"/>
      <c r="T11" s="128"/>
      <c r="U11" s="131">
        <v>13</v>
      </c>
      <c r="V11" s="131"/>
      <c r="W11" s="131">
        <v>24</v>
      </c>
      <c r="X11" s="3"/>
      <c r="Y11" s="3"/>
      <c r="Z11" s="3"/>
      <c r="AA11" s="3"/>
      <c r="AB11" s="3"/>
      <c r="AC11" s="3"/>
      <c r="AD11" s="3"/>
    </row>
    <row r="12" spans="1:30" ht="12.75" x14ac:dyDescent="0.2">
      <c r="A12" s="92" t="s">
        <v>70</v>
      </c>
      <c r="B12" s="128">
        <v>46087</v>
      </c>
      <c r="C12" s="21"/>
      <c r="D12" s="21">
        <v>1928</v>
      </c>
      <c r="E12" s="129">
        <v>30480</v>
      </c>
      <c r="F12" s="21">
        <v>600</v>
      </c>
      <c r="G12" s="21"/>
      <c r="H12" s="21"/>
      <c r="I12" s="21"/>
      <c r="J12" s="21" t="s">
        <v>67</v>
      </c>
      <c r="K12" s="21"/>
      <c r="L12" s="21" t="s">
        <v>68</v>
      </c>
      <c r="M12" s="21" t="s">
        <v>71</v>
      </c>
      <c r="N12" s="21">
        <v>5531985876</v>
      </c>
      <c r="O12" s="128">
        <v>46089</v>
      </c>
      <c r="P12" s="130">
        <f>+(Tabla17[[#This Row],[PESO NETO KGS]]-2400)*Tabla17[[#This Row],[1rea]]</f>
        <v>365040</v>
      </c>
      <c r="Q12" s="130"/>
      <c r="R12" s="130">
        <f>+Tabla17[[#This Row],[TOTAL]]-Tabla17[[#This Row],[PAGO]]</f>
        <v>365040</v>
      </c>
      <c r="S12" s="21"/>
      <c r="T12" s="128"/>
      <c r="U12" s="131">
        <v>13</v>
      </c>
      <c r="V12" s="131"/>
      <c r="W12" s="131">
        <v>24</v>
      </c>
      <c r="X12" s="3"/>
      <c r="Y12" s="3"/>
      <c r="Z12" s="3"/>
      <c r="AA12" s="3"/>
      <c r="AB12" s="3"/>
      <c r="AC12" s="3"/>
      <c r="AD12" s="3"/>
    </row>
    <row r="13" spans="1:30" ht="12.75" x14ac:dyDescent="0.2">
      <c r="A13" s="92" t="s">
        <v>72</v>
      </c>
      <c r="B13" s="128">
        <v>46088</v>
      </c>
      <c r="C13" s="21"/>
      <c r="D13" s="21">
        <v>1928</v>
      </c>
      <c r="E13" s="129">
        <v>30640</v>
      </c>
      <c r="F13" s="21">
        <v>600</v>
      </c>
      <c r="G13" s="21"/>
      <c r="H13" s="21"/>
      <c r="I13" s="21"/>
      <c r="J13" s="21" t="s">
        <v>73</v>
      </c>
      <c r="K13" s="21"/>
      <c r="L13" s="21" t="s">
        <v>53</v>
      </c>
      <c r="M13" s="21" t="s">
        <v>74</v>
      </c>
      <c r="N13" s="21">
        <v>6251527952</v>
      </c>
      <c r="O13" s="128">
        <v>46090</v>
      </c>
      <c r="P13" s="130">
        <v>441120</v>
      </c>
      <c r="Q13" s="130">
        <f>91050+350000</f>
        <v>441050</v>
      </c>
      <c r="R13" s="130">
        <f>+Tabla17[[#This Row],[TOTAL]]-Tabla17[[#This Row],[PAGO]]</f>
        <v>70</v>
      </c>
      <c r="S13" s="21" t="s">
        <v>55</v>
      </c>
      <c r="T13" s="128">
        <v>46088</v>
      </c>
      <c r="U13" s="131">
        <v>16</v>
      </c>
      <c r="V13" s="131"/>
      <c r="W13" s="131">
        <v>33</v>
      </c>
      <c r="X13" s="3"/>
      <c r="Y13" s="3"/>
      <c r="Z13" s="3"/>
      <c r="AA13" s="3"/>
      <c r="AB13" s="3"/>
      <c r="AC13" s="3"/>
      <c r="AD13" s="3"/>
    </row>
    <row r="14" spans="1:30" ht="12.75" x14ac:dyDescent="0.2">
      <c r="A14" s="92" t="s">
        <v>75</v>
      </c>
      <c r="B14" s="128">
        <v>46088</v>
      </c>
      <c r="C14" s="21"/>
      <c r="D14" s="21">
        <v>1928</v>
      </c>
      <c r="E14" s="129">
        <v>30430</v>
      </c>
      <c r="F14" s="21">
        <v>600</v>
      </c>
      <c r="G14" s="21"/>
      <c r="H14" s="21"/>
      <c r="I14" s="21"/>
      <c r="J14" s="21" t="s">
        <v>48</v>
      </c>
      <c r="K14" s="21"/>
      <c r="L14" s="21" t="s">
        <v>76</v>
      </c>
      <c r="M14" s="21" t="s">
        <v>77</v>
      </c>
      <c r="N14" s="21">
        <v>4651078985</v>
      </c>
      <c r="O14" s="128">
        <v>46090</v>
      </c>
      <c r="P14" s="130">
        <f>+(Tabla17[[#This Row],[PESO NETO KGS]]-2400)*Tabla17[[#This Row],[1rea]]</f>
        <v>364390</v>
      </c>
      <c r="Q14" s="130"/>
      <c r="R14" s="130">
        <f>+Tabla17[[#This Row],[TOTAL]]-Tabla17[[#This Row],[PAGO]]</f>
        <v>364390</v>
      </c>
      <c r="S14" s="21"/>
      <c r="T14" s="128"/>
      <c r="U14" s="131">
        <v>13</v>
      </c>
      <c r="V14" s="131"/>
      <c r="W14" s="131">
        <v>27</v>
      </c>
      <c r="X14" s="3"/>
      <c r="Y14" s="3"/>
      <c r="Z14" s="3"/>
      <c r="AA14" s="3"/>
      <c r="AB14" s="3"/>
      <c r="AC14" s="3"/>
      <c r="AD14" s="3"/>
    </row>
    <row r="15" spans="1:30" ht="12.75" x14ac:dyDescent="0.2">
      <c r="A15" s="92" t="s">
        <v>78</v>
      </c>
      <c r="B15" s="128">
        <v>46090</v>
      </c>
      <c r="C15" s="21"/>
      <c r="D15" s="21">
        <v>1928</v>
      </c>
      <c r="E15" s="129">
        <v>15280</v>
      </c>
      <c r="F15" s="21">
        <v>300</v>
      </c>
      <c r="G15" s="21"/>
      <c r="H15" s="21"/>
      <c r="I15" s="21"/>
      <c r="J15" s="21" t="s">
        <v>79</v>
      </c>
      <c r="K15" s="21"/>
      <c r="L15" s="21" t="s">
        <v>53</v>
      </c>
      <c r="M15" s="21" t="s">
        <v>80</v>
      </c>
      <c r="N15" s="21">
        <v>8261707430</v>
      </c>
      <c r="O15" s="128">
        <v>46092</v>
      </c>
      <c r="P15" s="130">
        <f>+(Tabla17[[#This Row],[PESO NETO KGS]]-2400)*Tabla17[[#This Row],[1rea]]</f>
        <v>167440</v>
      </c>
      <c r="Q15" s="130">
        <v>200000</v>
      </c>
      <c r="R15" s="130">
        <f>+Tabla17[[#This Row],[TOTAL]]-Tabla17[[#This Row],[PAGO]]</f>
        <v>-32560</v>
      </c>
      <c r="S15" s="21" t="s">
        <v>38</v>
      </c>
      <c r="T15" s="128"/>
      <c r="U15" s="131">
        <v>13</v>
      </c>
      <c r="V15" s="131"/>
      <c r="W15" s="131">
        <v>33</v>
      </c>
      <c r="X15" s="3"/>
      <c r="Y15" s="3"/>
      <c r="Z15" s="3"/>
      <c r="AA15" s="3"/>
      <c r="AB15" s="3"/>
      <c r="AC15" s="3"/>
      <c r="AD15" s="3"/>
    </row>
    <row r="16" spans="1:30" ht="12.75" x14ac:dyDescent="0.2">
      <c r="A16" s="92" t="s">
        <v>81</v>
      </c>
      <c r="B16" s="128">
        <v>46090</v>
      </c>
      <c r="C16" s="21"/>
      <c r="D16" s="21">
        <v>1928</v>
      </c>
      <c r="E16" s="129">
        <v>30560</v>
      </c>
      <c r="F16" s="21">
        <v>600</v>
      </c>
      <c r="G16" s="21"/>
      <c r="H16" s="21"/>
      <c r="I16" s="21"/>
      <c r="J16" s="21" t="s">
        <v>79</v>
      </c>
      <c r="K16" s="21"/>
      <c r="L16" s="21" t="s">
        <v>82</v>
      </c>
      <c r="M16" s="21" t="s">
        <v>83</v>
      </c>
      <c r="N16" s="21">
        <v>3411620837</v>
      </c>
      <c r="O16" s="128">
        <v>46092</v>
      </c>
      <c r="P16" s="130">
        <f>+(Tabla17[[#This Row],[PESO NETO KGS]]-2400)*Tabla17[[#This Row],[1rea]]</f>
        <v>366080</v>
      </c>
      <c r="Q16" s="130">
        <v>300000</v>
      </c>
      <c r="R16" s="130">
        <f>+Tabla17[[#This Row],[TOTAL]]-Tabla17[[#This Row],[PAGO]]</f>
        <v>66080</v>
      </c>
      <c r="S16" s="21" t="s">
        <v>38</v>
      </c>
      <c r="T16" s="128"/>
      <c r="U16" s="131">
        <v>13</v>
      </c>
      <c r="V16" s="131"/>
      <c r="W16" s="131">
        <v>25</v>
      </c>
      <c r="X16" s="3"/>
      <c r="Y16" s="3"/>
      <c r="Z16" s="3"/>
      <c r="AA16" s="3"/>
      <c r="AB16" s="3"/>
      <c r="AC16" s="3"/>
      <c r="AD16" s="3"/>
    </row>
    <row r="17" spans="1:30" ht="12.75" x14ac:dyDescent="0.2">
      <c r="A17" s="92" t="s">
        <v>84</v>
      </c>
      <c r="B17" s="128">
        <v>46090</v>
      </c>
      <c r="C17" s="21"/>
      <c r="D17" s="21">
        <v>1928</v>
      </c>
      <c r="E17" s="129">
        <v>30790</v>
      </c>
      <c r="F17" s="21">
        <v>600</v>
      </c>
      <c r="G17" s="21"/>
      <c r="H17" s="21"/>
      <c r="I17" s="21"/>
      <c r="J17" s="21" t="s">
        <v>85</v>
      </c>
      <c r="K17" s="21"/>
      <c r="L17" s="21" t="s">
        <v>45</v>
      </c>
      <c r="M17" s="21" t="s">
        <v>86</v>
      </c>
      <c r="N17" s="21">
        <v>6694034337</v>
      </c>
      <c r="O17" s="128">
        <v>46092</v>
      </c>
      <c r="P17" s="130">
        <f>+(Tabla17[[#This Row],[PESO NETO KGS]]-2400)*Tabla17[[#This Row],[1rea]]</f>
        <v>369070</v>
      </c>
      <c r="Q17" s="130">
        <v>60000</v>
      </c>
      <c r="R17" s="130">
        <f>+Tabla17[[#This Row],[TOTAL]]-Tabla17[[#This Row],[PAGO]]</f>
        <v>309070</v>
      </c>
      <c r="S17" s="21" t="s">
        <v>38</v>
      </c>
      <c r="T17" s="128"/>
      <c r="U17" s="131">
        <v>13</v>
      </c>
      <c r="V17" s="131"/>
      <c r="W17" s="131">
        <v>23</v>
      </c>
      <c r="X17" s="3"/>
      <c r="Y17" s="3"/>
      <c r="Z17" s="3"/>
      <c r="AA17" s="3"/>
      <c r="AB17" s="3"/>
      <c r="AC17" s="3"/>
      <c r="AD17" s="3"/>
    </row>
    <row r="18" spans="1:30" ht="12.75" x14ac:dyDescent="0.2">
      <c r="A18" s="92" t="s">
        <v>87</v>
      </c>
      <c r="B18" s="128">
        <v>46091</v>
      </c>
      <c r="C18" s="21"/>
      <c r="D18" s="21">
        <v>1928</v>
      </c>
      <c r="E18" s="129">
        <v>30860</v>
      </c>
      <c r="F18" s="21">
        <v>600</v>
      </c>
      <c r="G18" s="21"/>
      <c r="H18" s="21"/>
      <c r="I18" s="21"/>
      <c r="J18" s="21" t="s">
        <v>88</v>
      </c>
      <c r="K18" s="21"/>
      <c r="L18" s="21" t="s">
        <v>89</v>
      </c>
      <c r="M18" s="21" t="s">
        <v>90</v>
      </c>
      <c r="N18" s="21">
        <v>4422372733</v>
      </c>
      <c r="O18" s="128">
        <v>46093</v>
      </c>
      <c r="P18" s="130">
        <v>417600</v>
      </c>
      <c r="Q18" s="130">
        <v>417600</v>
      </c>
      <c r="R18" s="130">
        <f>+Tabla17[[#This Row],[TOTAL]]-Tabla17[[#This Row],[PAGO]]</f>
        <v>0</v>
      </c>
      <c r="S18" s="21" t="s">
        <v>55</v>
      </c>
      <c r="T18" s="128">
        <v>46097</v>
      </c>
      <c r="U18" s="131">
        <v>15</v>
      </c>
      <c r="V18" s="131"/>
      <c r="W18" s="131">
        <v>20</v>
      </c>
      <c r="X18" s="3"/>
      <c r="Y18" s="3"/>
      <c r="Z18" s="3"/>
      <c r="AA18" s="3"/>
      <c r="AB18" s="3"/>
      <c r="AC18" s="3"/>
      <c r="AD18" s="3"/>
    </row>
    <row r="19" spans="1:30" ht="12.75" x14ac:dyDescent="0.2">
      <c r="A19" s="92" t="s">
        <v>91</v>
      </c>
      <c r="B19" s="128">
        <v>46091</v>
      </c>
      <c r="C19" s="21"/>
      <c r="D19" s="21">
        <v>1928</v>
      </c>
      <c r="E19" s="129">
        <v>30550</v>
      </c>
      <c r="F19" s="21">
        <v>400</v>
      </c>
      <c r="G19" s="21">
        <v>200</v>
      </c>
      <c r="H19" s="21"/>
      <c r="I19" s="21"/>
      <c r="J19" s="21" t="s">
        <v>92</v>
      </c>
      <c r="K19" s="21"/>
      <c r="L19" s="21" t="s">
        <v>93</v>
      </c>
      <c r="M19" s="21" t="s">
        <v>94</v>
      </c>
      <c r="N19" s="21">
        <v>4521003379</v>
      </c>
      <c r="O19" s="128">
        <v>46093</v>
      </c>
      <c r="P19" s="130">
        <v>369000</v>
      </c>
      <c r="Q19" s="130">
        <v>108886</v>
      </c>
      <c r="R19" s="130">
        <f>+Tabla17[[#This Row],[TOTAL]]-Tabla17[[#This Row],[PAGO]]</f>
        <v>260114</v>
      </c>
      <c r="S19" s="21" t="s">
        <v>38</v>
      </c>
      <c r="T19" s="128">
        <v>46091</v>
      </c>
      <c r="U19" s="131">
        <v>16</v>
      </c>
      <c r="V19" s="131">
        <v>10</v>
      </c>
      <c r="W19" s="131">
        <v>23</v>
      </c>
      <c r="X19" s="3"/>
      <c r="Y19" s="3"/>
      <c r="Z19" s="3"/>
      <c r="AA19" s="3"/>
      <c r="AB19" s="3"/>
      <c r="AC19" s="3"/>
      <c r="AD19" s="3"/>
    </row>
    <row r="20" spans="1:30" ht="12.75" x14ac:dyDescent="0.2">
      <c r="A20" s="92" t="s">
        <v>95</v>
      </c>
      <c r="B20" s="128">
        <v>46091</v>
      </c>
      <c r="C20" s="21"/>
      <c r="D20" s="21">
        <v>1928</v>
      </c>
      <c r="E20" s="129">
        <v>30600</v>
      </c>
      <c r="F20" s="21">
        <v>600</v>
      </c>
      <c r="G20" s="21"/>
      <c r="H20" s="21"/>
      <c r="I20" s="21"/>
      <c r="J20" s="21" t="s">
        <v>52</v>
      </c>
      <c r="K20" s="21"/>
      <c r="L20" s="21" t="s">
        <v>53</v>
      </c>
      <c r="M20" s="21" t="s">
        <v>96</v>
      </c>
      <c r="N20" s="21">
        <v>6251463217</v>
      </c>
      <c r="O20" s="128">
        <v>46093</v>
      </c>
      <c r="P20" s="130">
        <v>444160</v>
      </c>
      <c r="Q20" s="130">
        <v>444160</v>
      </c>
      <c r="R20" s="130">
        <f>+Tabla17[[#This Row],[TOTAL]]-Tabla17[[#This Row],[PAGO]]</f>
        <v>0</v>
      </c>
      <c r="S20" s="21" t="s">
        <v>55</v>
      </c>
      <c r="T20" s="128">
        <v>46091</v>
      </c>
      <c r="U20" s="131">
        <v>18</v>
      </c>
      <c r="V20" s="131"/>
      <c r="W20" s="131">
        <v>33</v>
      </c>
      <c r="X20" s="3"/>
      <c r="Y20" s="3"/>
      <c r="Z20" s="3"/>
      <c r="AA20" s="3"/>
      <c r="AB20" s="3"/>
      <c r="AC20" s="3"/>
      <c r="AD20" s="3"/>
    </row>
    <row r="21" spans="1:30" ht="12.75" x14ac:dyDescent="0.2">
      <c r="A21" s="92" t="s">
        <v>97</v>
      </c>
      <c r="B21" s="128">
        <v>46092</v>
      </c>
      <c r="C21" s="21"/>
      <c r="D21" s="21">
        <v>1928</v>
      </c>
      <c r="E21" s="129">
        <v>30900</v>
      </c>
      <c r="F21" s="21">
        <v>600</v>
      </c>
      <c r="G21" s="21"/>
      <c r="H21" s="21"/>
      <c r="I21" s="21"/>
      <c r="J21" s="21" t="s">
        <v>57</v>
      </c>
      <c r="K21" s="21"/>
      <c r="L21" s="21" t="s">
        <v>58</v>
      </c>
      <c r="M21" s="21" t="s">
        <v>98</v>
      </c>
      <c r="N21" s="21">
        <v>6142256686</v>
      </c>
      <c r="O21" s="128">
        <v>46093</v>
      </c>
      <c r="P21" s="130">
        <f>+(Tabla17[[#This Row],[PESO NETO KGS]]-2400)*Tabla17[[#This Row],[1rea]]</f>
        <v>370500</v>
      </c>
      <c r="Q21" s="130"/>
      <c r="R21" s="130">
        <f>+Tabla17[[#This Row],[TOTAL]]-Tabla17[[#This Row],[PAGO]]</f>
        <v>370500</v>
      </c>
      <c r="S21" s="21"/>
      <c r="T21" s="128"/>
      <c r="U21" s="131">
        <v>13</v>
      </c>
      <c r="V21" s="131"/>
      <c r="W21" s="131">
        <v>26</v>
      </c>
      <c r="X21" s="3"/>
      <c r="Y21" s="3"/>
      <c r="Z21" s="3"/>
      <c r="AA21" s="3"/>
      <c r="AB21" s="3"/>
      <c r="AC21" s="3"/>
      <c r="AD21" s="3"/>
    </row>
    <row r="22" spans="1:30" ht="12.75" x14ac:dyDescent="0.2">
      <c r="A22" s="92" t="s">
        <v>99</v>
      </c>
      <c r="B22" s="128">
        <v>46092</v>
      </c>
      <c r="C22" s="21"/>
      <c r="D22" s="21">
        <v>1928</v>
      </c>
      <c r="E22" s="129">
        <v>30680</v>
      </c>
      <c r="F22" s="21">
        <v>600</v>
      </c>
      <c r="G22" s="21"/>
      <c r="H22" s="21"/>
      <c r="I22" s="21"/>
      <c r="J22" s="21" t="s">
        <v>100</v>
      </c>
      <c r="K22" s="21"/>
      <c r="L22" s="21" t="s">
        <v>101</v>
      </c>
      <c r="M22" s="21" t="s">
        <v>42</v>
      </c>
      <c r="N22" s="21">
        <v>6442062694</v>
      </c>
      <c r="O22" s="128">
        <v>46094</v>
      </c>
      <c r="P22" s="130">
        <f>+(Tabla17[[#This Row],[PESO NETO KGS]]-2400)*Tabla17[[#This Row],[1rea]]</f>
        <v>367640</v>
      </c>
      <c r="Q22" s="130"/>
      <c r="R22" s="130">
        <f>+Tabla17[[#This Row],[TOTAL]]-Tabla17[[#This Row],[PAGO]]</f>
        <v>367640</v>
      </c>
      <c r="S22" s="21"/>
      <c r="T22" s="128"/>
      <c r="U22" s="131">
        <v>13</v>
      </c>
      <c r="V22" s="131"/>
      <c r="W22" s="131">
        <v>23.5</v>
      </c>
      <c r="X22" s="3"/>
      <c r="Y22" s="3"/>
      <c r="Z22" s="3"/>
      <c r="AA22" s="3"/>
      <c r="AB22" s="3"/>
      <c r="AC22" s="3"/>
      <c r="AD22" s="3"/>
    </row>
    <row r="23" spans="1:30" ht="12.75" x14ac:dyDescent="0.2">
      <c r="A23" s="92" t="s">
        <v>102</v>
      </c>
      <c r="B23" s="128">
        <v>46093</v>
      </c>
      <c r="C23" s="21"/>
      <c r="D23" s="21">
        <v>1928</v>
      </c>
      <c r="E23" s="129">
        <v>30590</v>
      </c>
      <c r="F23" s="21">
        <v>600</v>
      </c>
      <c r="G23" s="21"/>
      <c r="H23" s="21"/>
      <c r="I23" s="21"/>
      <c r="J23" s="21" t="s">
        <v>52</v>
      </c>
      <c r="K23" s="21"/>
      <c r="L23" s="21" t="s">
        <v>53</v>
      </c>
      <c r="M23" s="21" t="s">
        <v>103</v>
      </c>
      <c r="N23" s="21">
        <v>6141004131</v>
      </c>
      <c r="O23" s="128">
        <v>46095</v>
      </c>
      <c r="P23" s="130">
        <v>403500</v>
      </c>
      <c r="Q23" s="130">
        <v>403500</v>
      </c>
      <c r="R23" s="130">
        <f>+Tabla17[[#This Row],[TOTAL]]-Tabla17[[#This Row],[PAGO]]</f>
        <v>0</v>
      </c>
      <c r="S23" s="21" t="s">
        <v>55</v>
      </c>
      <c r="T23" s="128">
        <v>46093</v>
      </c>
      <c r="U23" s="131">
        <v>15</v>
      </c>
      <c r="V23" s="131"/>
      <c r="W23" s="131">
        <v>33</v>
      </c>
      <c r="X23" s="3"/>
      <c r="Y23" s="3"/>
      <c r="Z23" s="3"/>
      <c r="AA23" s="3"/>
      <c r="AB23" s="3"/>
      <c r="AC23" s="3"/>
      <c r="AD23" s="3"/>
    </row>
    <row r="24" spans="1:30" ht="12.75" x14ac:dyDescent="0.2">
      <c r="A24" s="92" t="s">
        <v>104</v>
      </c>
      <c r="B24" s="128">
        <v>46101</v>
      </c>
      <c r="C24" s="21"/>
      <c r="D24" s="21">
        <v>405</v>
      </c>
      <c r="E24" s="129">
        <v>30210</v>
      </c>
      <c r="F24" s="21">
        <v>600</v>
      </c>
      <c r="G24" s="21"/>
      <c r="H24" s="21"/>
      <c r="I24" s="21"/>
      <c r="J24" s="21" t="s">
        <v>105</v>
      </c>
      <c r="K24" s="21"/>
      <c r="L24" s="21" t="s">
        <v>106</v>
      </c>
      <c r="M24" s="21" t="s">
        <v>107</v>
      </c>
      <c r="N24" s="21">
        <v>7611038417</v>
      </c>
      <c r="O24" s="128">
        <v>46103</v>
      </c>
      <c r="P24" s="130">
        <f>+(Tabla17[[#This Row],[PESO NETO KGS]]-2400)*Tabla17[[#This Row],[1rea]]</f>
        <v>361530</v>
      </c>
      <c r="Q24" s="130">
        <v>400000</v>
      </c>
      <c r="R24" s="130">
        <f>+Tabla17[[#This Row],[TOTAL]]-Tabla17[[#This Row],[PAGO]]</f>
        <v>-38470</v>
      </c>
      <c r="S24" s="21" t="s">
        <v>38</v>
      </c>
      <c r="T24" s="128"/>
      <c r="U24" s="131">
        <v>13</v>
      </c>
      <c r="V24" s="131"/>
      <c r="W24" s="131">
        <v>20</v>
      </c>
      <c r="X24" s="3"/>
      <c r="Y24" s="3"/>
      <c r="Z24" s="3"/>
      <c r="AA24" s="3"/>
      <c r="AB24" s="3"/>
      <c r="AC24" s="3"/>
      <c r="AD24" s="3"/>
    </row>
    <row r="25" spans="1:30" ht="12.75" x14ac:dyDescent="0.2">
      <c r="A25" s="92" t="s">
        <v>108</v>
      </c>
      <c r="B25" s="128">
        <v>46101</v>
      </c>
      <c r="C25" s="21"/>
      <c r="D25" s="21">
        <v>405</v>
      </c>
      <c r="E25" s="129">
        <v>30050</v>
      </c>
      <c r="F25" s="21">
        <v>600</v>
      </c>
      <c r="G25" s="21"/>
      <c r="H25" s="21"/>
      <c r="I25" s="21"/>
      <c r="J25" s="21" t="s">
        <v>48</v>
      </c>
      <c r="K25" s="21"/>
      <c r="L25" s="21" t="s">
        <v>109</v>
      </c>
      <c r="M25" s="21" t="s">
        <v>110</v>
      </c>
      <c r="N25" s="21">
        <v>4441652219</v>
      </c>
      <c r="O25" s="128">
        <v>46104</v>
      </c>
      <c r="P25" s="130">
        <f>+(Tabla17[[#This Row],[PESO NETO KGS]]-2400)*Tabla17[[#This Row],[1rea]]</f>
        <v>359450</v>
      </c>
      <c r="Q25" s="130"/>
      <c r="R25" s="130">
        <f>+Tabla17[[#This Row],[TOTAL]]-Tabla17[[#This Row],[PAGO]]</f>
        <v>359450</v>
      </c>
      <c r="S25" s="21"/>
      <c r="T25" s="128"/>
      <c r="U25" s="131">
        <v>13</v>
      </c>
      <c r="V25" s="131"/>
      <c r="W25" s="131">
        <v>30</v>
      </c>
      <c r="X25" s="3"/>
      <c r="Y25" s="3"/>
      <c r="Z25" s="3"/>
      <c r="AA25" s="3"/>
      <c r="AB25" s="3"/>
      <c r="AC25" s="3"/>
      <c r="AD25" s="3"/>
    </row>
    <row r="26" spans="1:30" ht="12.75" x14ac:dyDescent="0.2">
      <c r="A26" s="92" t="s">
        <v>111</v>
      </c>
      <c r="B26" s="128">
        <v>46101</v>
      </c>
      <c r="C26" s="21"/>
      <c r="D26" s="21">
        <v>405</v>
      </c>
      <c r="E26" s="129">
        <v>30120</v>
      </c>
      <c r="F26" s="21">
        <v>600</v>
      </c>
      <c r="G26" s="21"/>
      <c r="H26" s="21"/>
      <c r="I26" s="21"/>
      <c r="J26" s="21" t="s">
        <v>88</v>
      </c>
      <c r="K26" s="21"/>
      <c r="L26" s="21" t="s">
        <v>89</v>
      </c>
      <c r="M26" s="21" t="s">
        <v>112</v>
      </c>
      <c r="N26" s="21">
        <v>6441720430</v>
      </c>
      <c r="O26" s="128">
        <v>46104</v>
      </c>
      <c r="P26" s="130">
        <v>412200</v>
      </c>
      <c r="Q26" s="130">
        <v>412200</v>
      </c>
      <c r="R26" s="130">
        <f>+Tabla17[[#This Row],[TOTAL]]-Tabla17[[#This Row],[PAGO]]</f>
        <v>0</v>
      </c>
      <c r="S26" s="21" t="s">
        <v>55</v>
      </c>
      <c r="T26" s="128">
        <v>46104</v>
      </c>
      <c r="U26" s="131">
        <v>15</v>
      </c>
      <c r="V26" s="131"/>
      <c r="W26" s="131">
        <v>20</v>
      </c>
      <c r="X26" s="3"/>
      <c r="Y26" s="3"/>
      <c r="Z26" s="3"/>
      <c r="AA26" s="3"/>
      <c r="AB26" s="3"/>
      <c r="AC26" s="3"/>
      <c r="AD26" s="3"/>
    </row>
    <row r="27" spans="1:30" ht="12.75" x14ac:dyDescent="0.2">
      <c r="A27" s="92" t="s">
        <v>113</v>
      </c>
      <c r="B27" s="128">
        <v>46101</v>
      </c>
      <c r="C27" s="21"/>
      <c r="D27" s="21">
        <v>405</v>
      </c>
      <c r="E27" s="129">
        <v>29920</v>
      </c>
      <c r="F27" s="21">
        <v>600</v>
      </c>
      <c r="G27" s="21"/>
      <c r="H27" s="21"/>
      <c r="I27" s="21"/>
      <c r="J27" s="21" t="s">
        <v>114</v>
      </c>
      <c r="K27" s="21"/>
      <c r="L27" s="21" t="s">
        <v>115</v>
      </c>
      <c r="M27" s="21" t="s">
        <v>116</v>
      </c>
      <c r="N27" s="21">
        <v>5662215067</v>
      </c>
      <c r="O27" s="128">
        <v>46104</v>
      </c>
      <c r="P27" s="130">
        <f>+(Tabla17[[#This Row],[PESO NETO KGS]]-2400)*Tabla17[[#This Row],[1rea]]</f>
        <v>357760</v>
      </c>
      <c r="Q27" s="130">
        <v>300000</v>
      </c>
      <c r="R27" s="130">
        <f>+Tabla17[[#This Row],[TOTAL]]-Tabla17[[#This Row],[PAGO]]</f>
        <v>57760</v>
      </c>
      <c r="S27" s="21" t="s">
        <v>38</v>
      </c>
      <c r="T27" s="128"/>
      <c r="U27" s="131">
        <v>13</v>
      </c>
      <c r="V27" s="131"/>
      <c r="W27" s="131">
        <v>18</v>
      </c>
      <c r="X27" s="3"/>
      <c r="Y27" s="3"/>
      <c r="Z27" s="3"/>
      <c r="AA27" s="3"/>
      <c r="AB27" s="3"/>
      <c r="AC27" s="3"/>
      <c r="AD27" s="3"/>
    </row>
    <row r="28" spans="1:30" ht="12.75" x14ac:dyDescent="0.2">
      <c r="A28" s="92" t="s">
        <v>108</v>
      </c>
      <c r="B28" s="128">
        <v>46101</v>
      </c>
      <c r="C28" s="21"/>
      <c r="D28" s="21">
        <v>405</v>
      </c>
      <c r="E28" s="129">
        <v>30050</v>
      </c>
      <c r="F28" s="21">
        <v>600</v>
      </c>
      <c r="G28" s="21"/>
      <c r="H28" s="21"/>
      <c r="I28" s="21"/>
      <c r="J28" s="21" t="s">
        <v>48</v>
      </c>
      <c r="K28" s="21"/>
      <c r="L28" s="21" t="s">
        <v>109</v>
      </c>
      <c r="M28" s="21" t="s">
        <v>117</v>
      </c>
      <c r="N28" s="21">
        <v>4772948609</v>
      </c>
      <c r="O28" s="128">
        <v>46104</v>
      </c>
      <c r="P28" s="130">
        <f>+(Tabla17[[#This Row],[PESO NETO KGS]]-2400)*Tabla17[[#This Row],[1rea]]</f>
        <v>359450</v>
      </c>
      <c r="Q28" s="130"/>
      <c r="R28" s="130">
        <f>+Tabla17[[#This Row],[TOTAL]]-Tabla17[[#This Row],[PAGO]]</f>
        <v>359450</v>
      </c>
      <c r="S28" s="21"/>
      <c r="T28" s="128"/>
      <c r="U28" s="131">
        <v>13</v>
      </c>
      <c r="V28" s="131"/>
      <c r="W28" s="131">
        <v>30</v>
      </c>
      <c r="X28" s="3"/>
      <c r="Y28" s="3"/>
      <c r="Z28" s="3"/>
      <c r="AA28" s="3"/>
      <c r="AB28" s="3"/>
      <c r="AC28" s="3"/>
      <c r="AD28" s="3"/>
    </row>
    <row r="29" spans="1:30" ht="12.75" x14ac:dyDescent="0.2">
      <c r="A29" s="92" t="s">
        <v>118</v>
      </c>
      <c r="B29" s="128">
        <v>46104</v>
      </c>
      <c r="C29" s="21"/>
      <c r="D29" s="21">
        <v>405</v>
      </c>
      <c r="E29" s="129">
        <v>31160</v>
      </c>
      <c r="F29" s="21">
        <v>500</v>
      </c>
      <c r="G29" s="21">
        <v>100</v>
      </c>
      <c r="H29" s="21"/>
      <c r="I29" s="21"/>
      <c r="J29" s="21" t="s">
        <v>40</v>
      </c>
      <c r="K29" s="21"/>
      <c r="L29" s="21" t="s">
        <v>41</v>
      </c>
      <c r="M29" s="21" t="s">
        <v>119</v>
      </c>
      <c r="N29" s="21">
        <v>3334703236</v>
      </c>
      <c r="O29" s="128">
        <f>+Tabla17[[#This Row],[FECHA SALIDA]]+2</f>
        <v>46106</v>
      </c>
      <c r="P29" s="130">
        <v>443744</v>
      </c>
      <c r="Q29" s="130"/>
      <c r="R29" s="130">
        <f>+Tabla17[[#This Row],[TOTAL]]-Tabla17[[#This Row],[PAGO]]</f>
        <v>443744</v>
      </c>
      <c r="S29" s="21" t="s">
        <v>120</v>
      </c>
      <c r="T29" s="128">
        <v>46107</v>
      </c>
      <c r="U29" s="131">
        <v>16</v>
      </c>
      <c r="V29" s="131">
        <v>12</v>
      </c>
      <c r="W29" s="131">
        <v>22</v>
      </c>
      <c r="X29" s="3"/>
      <c r="Y29" s="3"/>
      <c r="Z29" s="3"/>
      <c r="AA29" s="3"/>
      <c r="AB29" s="3"/>
      <c r="AC29" s="3"/>
      <c r="AD29" s="3"/>
    </row>
    <row r="30" spans="1:30" ht="12.75" x14ac:dyDescent="0.2">
      <c r="A30" s="92" t="s">
        <v>121</v>
      </c>
      <c r="B30" s="128">
        <v>46106</v>
      </c>
      <c r="C30" s="21"/>
      <c r="D30" s="21">
        <v>405</v>
      </c>
      <c r="E30" s="129">
        <v>31440</v>
      </c>
      <c r="F30" s="21">
        <v>600</v>
      </c>
      <c r="G30" s="21"/>
      <c r="H30" s="21"/>
      <c r="I30" s="21"/>
      <c r="J30" s="21" t="s">
        <v>48</v>
      </c>
      <c r="K30" s="21"/>
      <c r="L30" s="21" t="s">
        <v>49</v>
      </c>
      <c r="M30" s="21" t="s">
        <v>122</v>
      </c>
      <c r="N30" s="21">
        <v>8444934909</v>
      </c>
      <c r="O30" s="128">
        <v>46108</v>
      </c>
      <c r="P30" s="130">
        <f>+(Tabla17[[#This Row],[PESO NETO KGS]]-2400)*Tabla17[[#This Row],[1rea]]</f>
        <v>377520</v>
      </c>
      <c r="Q30" s="130"/>
      <c r="R30" s="130">
        <f>+Tabla17[[#This Row],[TOTAL]]-Tabla17[[#This Row],[PAGO]]</f>
        <v>377520</v>
      </c>
      <c r="S30" s="21"/>
      <c r="T30" s="128"/>
      <c r="U30" s="131">
        <v>13</v>
      </c>
      <c r="V30" s="131"/>
      <c r="W30" s="131">
        <v>25</v>
      </c>
      <c r="X30" s="3"/>
      <c r="Y30" s="3"/>
      <c r="Z30" s="3"/>
      <c r="AA30" s="3"/>
      <c r="AB30" s="3"/>
      <c r="AC30" s="3"/>
      <c r="AD30" s="3"/>
    </row>
    <row r="31" spans="1:30" ht="12.75" x14ac:dyDescent="0.2">
      <c r="A31" s="92" t="s">
        <v>123</v>
      </c>
      <c r="B31" s="128">
        <v>46106</v>
      </c>
      <c r="C31" s="21"/>
      <c r="D31" s="21">
        <v>405</v>
      </c>
      <c r="E31" s="129">
        <v>31000</v>
      </c>
      <c r="F31" s="21">
        <v>600</v>
      </c>
      <c r="G31" s="21"/>
      <c r="H31" s="21"/>
      <c r="I31" s="21"/>
      <c r="J31" s="21" t="s">
        <v>73</v>
      </c>
      <c r="K31" s="21"/>
      <c r="L31" s="21" t="s">
        <v>53</v>
      </c>
      <c r="M31" s="21" t="s">
        <v>124</v>
      </c>
      <c r="N31" s="21">
        <v>15092748188</v>
      </c>
      <c r="O31" s="128">
        <f>+Tabla17[[#This Row],[FECHA SALIDA]]+2</f>
        <v>46108</v>
      </c>
      <c r="P31" s="130">
        <f>+(Tabla17[[#This Row],[PESO NETO KGS]]-2400)*Tabla17[[#This Row],[1rea]]</f>
        <v>371800</v>
      </c>
      <c r="Q31" s="130">
        <v>200000</v>
      </c>
      <c r="R31" s="130">
        <f>+Tabla17[[#This Row],[TOTAL]]-Tabla17[[#This Row],[PAGO]]</f>
        <v>171800</v>
      </c>
      <c r="S31" s="21" t="s">
        <v>38</v>
      </c>
      <c r="T31" s="128"/>
      <c r="U31" s="131">
        <v>13</v>
      </c>
      <c r="V31" s="131"/>
      <c r="W31" s="131">
        <v>25</v>
      </c>
      <c r="X31" s="3"/>
      <c r="Y31" s="3"/>
      <c r="Z31" s="3"/>
      <c r="AA31" s="3"/>
      <c r="AB31" s="3"/>
      <c r="AC31" s="3"/>
      <c r="AD31" s="3"/>
    </row>
    <row r="32" spans="1:30" ht="12.75" x14ac:dyDescent="0.2">
      <c r="A32" s="92" t="s">
        <v>125</v>
      </c>
      <c r="B32" s="128">
        <v>46107</v>
      </c>
      <c r="C32" s="21"/>
      <c r="D32" s="21">
        <v>405</v>
      </c>
      <c r="E32" s="129">
        <v>30870</v>
      </c>
      <c r="F32" s="21">
        <v>300</v>
      </c>
      <c r="G32" s="21">
        <v>300</v>
      </c>
      <c r="H32" s="21"/>
      <c r="I32" s="21"/>
      <c r="J32" s="21" t="s">
        <v>35</v>
      </c>
      <c r="K32" s="21"/>
      <c r="L32" s="21" t="s">
        <v>36</v>
      </c>
      <c r="M32" s="21" t="s">
        <v>126</v>
      </c>
      <c r="N32" s="21">
        <v>5545389067</v>
      </c>
      <c r="O32" s="128">
        <v>46109</v>
      </c>
      <c r="P32" s="130">
        <f>+(Tabla17[[#This Row],[PESO NETO KGS]]-2400)*(AVERAGE(Tabla17[[#This Row],[1rea]],Tabla17[[#This Row],[3ra]]))</f>
        <v>313170</v>
      </c>
      <c r="Q32" s="130">
        <v>350000</v>
      </c>
      <c r="R32" s="130">
        <f>+Tabla17[[#This Row],[TOTAL]]-Tabla17[[#This Row],[PAGO]]</f>
        <v>-36830</v>
      </c>
      <c r="S32" s="21" t="s">
        <v>38</v>
      </c>
      <c r="T32" s="128"/>
      <c r="U32" s="131">
        <v>13</v>
      </c>
      <c r="V32" s="131">
        <v>9</v>
      </c>
      <c r="W32" s="131">
        <v>22</v>
      </c>
      <c r="X32" s="3"/>
      <c r="Y32" s="3"/>
      <c r="Z32" s="3"/>
      <c r="AA32" s="3"/>
      <c r="AB32" s="3"/>
      <c r="AC32" s="3"/>
      <c r="AD32" s="3"/>
    </row>
    <row r="33" spans="1:30" ht="12.75" x14ac:dyDescent="0.2">
      <c r="A33" s="92" t="s">
        <v>127</v>
      </c>
      <c r="B33" s="128">
        <v>46107</v>
      </c>
      <c r="C33" s="21"/>
      <c r="D33" s="21">
        <v>405</v>
      </c>
      <c r="E33" s="129">
        <v>31150</v>
      </c>
      <c r="F33" s="21"/>
      <c r="G33" s="21">
        <v>600</v>
      </c>
      <c r="H33" s="21"/>
      <c r="I33" s="21"/>
      <c r="J33" s="21" t="s">
        <v>128</v>
      </c>
      <c r="K33" s="21"/>
      <c r="L33" s="21" t="s">
        <v>129</v>
      </c>
      <c r="M33" s="21" t="s">
        <v>130</v>
      </c>
      <c r="N33" s="21">
        <v>6682258643</v>
      </c>
      <c r="O33" s="128">
        <v>46109</v>
      </c>
      <c r="P33" s="130">
        <f>+(Tabla17[[#This Row],[PESO NETO KGS]]-2400)*(AVERAGE(Tabla17[[#This Row],[1rea]],Tabla17[[#This Row],[3ra]]))</f>
        <v>316250</v>
      </c>
      <c r="Q33" s="130"/>
      <c r="R33" s="130">
        <f>+Tabla17[[#This Row],[TOTAL]]-Tabla17[[#This Row],[PAGO]]</f>
        <v>316250</v>
      </c>
      <c r="S33" s="21"/>
      <c r="T33" s="128"/>
      <c r="U33" s="131">
        <v>13</v>
      </c>
      <c r="V33" s="131">
        <v>9</v>
      </c>
      <c r="W33" s="131">
        <v>22</v>
      </c>
      <c r="X33" s="3"/>
      <c r="Y33" s="3"/>
      <c r="Z33" s="3"/>
      <c r="AA33" s="3"/>
      <c r="AB33" s="3"/>
      <c r="AC33" s="3"/>
      <c r="AD33" s="3"/>
    </row>
    <row r="34" spans="1:30" ht="12.75" x14ac:dyDescent="0.2">
      <c r="A34" s="92" t="s">
        <v>131</v>
      </c>
      <c r="B34" s="128">
        <v>46107</v>
      </c>
      <c r="C34" s="21"/>
      <c r="D34" s="21">
        <v>405</v>
      </c>
      <c r="E34" s="129">
        <v>31080</v>
      </c>
      <c r="F34" s="21">
        <v>600</v>
      </c>
      <c r="G34" s="21"/>
      <c r="H34" s="21"/>
      <c r="I34" s="21"/>
      <c r="J34" s="21" t="s">
        <v>132</v>
      </c>
      <c r="K34" s="21"/>
      <c r="L34" s="21" t="s">
        <v>53</v>
      </c>
      <c r="M34" s="21" t="s">
        <v>133</v>
      </c>
      <c r="N34" s="21">
        <v>6251037565</v>
      </c>
      <c r="O34" s="128">
        <v>46109</v>
      </c>
      <c r="P34" s="130">
        <f>+(Tabla17[[#This Row],[PESO NETO KGS]]-2400)*Tabla17[[#This Row],[1rea]]</f>
        <v>372840</v>
      </c>
      <c r="Q34" s="130"/>
      <c r="R34" s="130">
        <f>+Tabla17[[#This Row],[TOTAL]]-Tabla17[[#This Row],[PAGO]]</f>
        <v>372840</v>
      </c>
      <c r="S34" s="21"/>
      <c r="T34" s="128"/>
      <c r="U34" s="131">
        <v>13</v>
      </c>
      <c r="V34" s="131"/>
      <c r="W34" s="131">
        <v>25</v>
      </c>
      <c r="X34" s="3"/>
      <c r="Y34" s="3"/>
      <c r="Z34" s="3"/>
      <c r="AA34" s="3"/>
      <c r="AB34" s="3"/>
      <c r="AC34" s="3"/>
      <c r="AD34" s="3"/>
    </row>
    <row r="35" spans="1:30" ht="12.75" x14ac:dyDescent="0.2">
      <c r="A35" s="92" t="s">
        <v>134</v>
      </c>
      <c r="B35" s="128">
        <v>46107</v>
      </c>
      <c r="C35" s="21"/>
      <c r="D35" s="21">
        <v>405</v>
      </c>
      <c r="E35" s="129">
        <v>30670</v>
      </c>
      <c r="F35" s="21">
        <v>300</v>
      </c>
      <c r="G35" s="21">
        <v>300</v>
      </c>
      <c r="H35" s="21"/>
      <c r="I35" s="21"/>
      <c r="J35" s="21" t="s">
        <v>135</v>
      </c>
      <c r="K35" s="21"/>
      <c r="L35" s="21" t="s">
        <v>136</v>
      </c>
      <c r="M35" s="21" t="s">
        <v>137</v>
      </c>
      <c r="N35" s="21">
        <v>2411038710</v>
      </c>
      <c r="O35" s="128">
        <v>46109</v>
      </c>
      <c r="P35" s="130">
        <v>418950</v>
      </c>
      <c r="Q35" s="130">
        <f>68950+90000+90000+90000+80000</f>
        <v>418950</v>
      </c>
      <c r="R35" s="130">
        <f>+Tabla17[[#This Row],[TOTAL]]-Tabla17[[#This Row],[PAGO]]</f>
        <v>0</v>
      </c>
      <c r="S35" s="21" t="s">
        <v>55</v>
      </c>
      <c r="T35" s="128">
        <v>46107</v>
      </c>
      <c r="U35" s="131">
        <v>18</v>
      </c>
      <c r="V35" s="131">
        <v>13.5</v>
      </c>
      <c r="W35" s="131">
        <v>26</v>
      </c>
      <c r="X35" s="3"/>
      <c r="Y35" s="3"/>
      <c r="Z35" s="3"/>
      <c r="AA35" s="3"/>
      <c r="AB35" s="3"/>
      <c r="AC35" s="3"/>
      <c r="AD35" s="3"/>
    </row>
    <row r="36" spans="1:30" ht="12.75" x14ac:dyDescent="0.2">
      <c r="A36" s="92" t="s">
        <v>138</v>
      </c>
      <c r="B36" s="128">
        <v>46107</v>
      </c>
      <c r="C36" s="21"/>
      <c r="D36" s="21">
        <v>405</v>
      </c>
      <c r="E36" s="129">
        <v>30880</v>
      </c>
      <c r="F36" s="21"/>
      <c r="G36" s="21">
        <v>600</v>
      </c>
      <c r="H36" s="21"/>
      <c r="I36" s="21"/>
      <c r="J36" s="21" t="s">
        <v>139</v>
      </c>
      <c r="K36" s="21"/>
      <c r="L36" s="21" t="s">
        <v>140</v>
      </c>
      <c r="M36" s="21" t="s">
        <v>141</v>
      </c>
      <c r="N36" s="21">
        <v>5579658950</v>
      </c>
      <c r="O36" s="128">
        <v>46109</v>
      </c>
      <c r="P36" s="130">
        <f>+(Tabla17[[#This Row],[PESO NETO KGS]]-2400)*Tabla17[[#This Row],[3ra]]</f>
        <v>256320</v>
      </c>
      <c r="Q36" s="130"/>
      <c r="R36" s="130">
        <f>+Tabla17[[#This Row],[TOTAL]]-Tabla17[[#This Row],[PAGO]]</f>
        <v>256320</v>
      </c>
      <c r="S36" s="21"/>
      <c r="T36" s="128"/>
      <c r="U36" s="131"/>
      <c r="V36" s="131">
        <v>9</v>
      </c>
      <c r="W36" s="131">
        <v>20</v>
      </c>
      <c r="X36" s="3"/>
      <c r="Y36" s="3"/>
      <c r="Z36" s="3"/>
      <c r="AA36" s="3"/>
      <c r="AB36" s="3"/>
      <c r="AC36" s="3"/>
      <c r="AD36" s="3"/>
    </row>
    <row r="37" spans="1:30" ht="12.75" x14ac:dyDescent="0.2">
      <c r="A37" s="92" t="s">
        <v>142</v>
      </c>
      <c r="B37" s="128">
        <v>46111</v>
      </c>
      <c r="C37" s="21"/>
      <c r="D37" s="21" t="s">
        <v>143</v>
      </c>
      <c r="E37" s="129">
        <v>30310</v>
      </c>
      <c r="F37" s="21"/>
      <c r="G37" s="21">
        <v>600</v>
      </c>
      <c r="H37" s="21"/>
      <c r="I37" s="21"/>
      <c r="J37" s="21" t="s">
        <v>144</v>
      </c>
      <c r="K37" s="21"/>
      <c r="L37" s="21" t="s">
        <v>145</v>
      </c>
      <c r="M37" s="21" t="s">
        <v>146</v>
      </c>
      <c r="N37" s="21">
        <v>7260040279</v>
      </c>
      <c r="O37" s="128">
        <v>46113</v>
      </c>
      <c r="P37" s="130">
        <f>+(Tabla17[[#This Row],[PESO NETO KGS]]-2400)*Tabla17[[#This Row],[3ra]]</f>
        <v>251190</v>
      </c>
      <c r="Q37" s="130"/>
      <c r="R37" s="130">
        <f>+Tabla17[[#This Row],[TOTAL]]-Tabla17[[#This Row],[PAGO]]</f>
        <v>251190</v>
      </c>
      <c r="S37" s="21"/>
      <c r="T37" s="128"/>
      <c r="U37" s="131"/>
      <c r="V37" s="131">
        <v>9</v>
      </c>
      <c r="W37" s="131">
        <v>23</v>
      </c>
    </row>
    <row r="38" spans="1:30" ht="12.75" x14ac:dyDescent="0.2">
      <c r="A38" s="92" t="s">
        <v>147</v>
      </c>
      <c r="B38" s="128">
        <v>46112</v>
      </c>
      <c r="C38" s="21"/>
      <c r="D38" s="21" t="s">
        <v>143</v>
      </c>
      <c r="E38" s="129">
        <v>30030</v>
      </c>
      <c r="F38" s="21">
        <v>600</v>
      </c>
      <c r="G38" s="21"/>
      <c r="H38" s="21"/>
      <c r="I38" s="21"/>
      <c r="J38" s="21" t="s">
        <v>48</v>
      </c>
      <c r="K38" s="21"/>
      <c r="L38" s="21" t="s">
        <v>49</v>
      </c>
      <c r="M38" s="21" t="s">
        <v>148</v>
      </c>
      <c r="N38" s="21">
        <v>4721612703</v>
      </c>
      <c r="O38" s="132">
        <v>46118</v>
      </c>
      <c r="P38" s="130">
        <f>+(Tabla17[[#This Row],[PESO NETO KGS]]-2400)*Tabla17[[#This Row],[1rea]]</f>
        <v>359190</v>
      </c>
      <c r="Q38" s="130"/>
      <c r="R38" s="130">
        <f>+Tabla17[[#This Row],[TOTAL]]-Tabla17[[#This Row],[PAGO]]</f>
        <v>359190</v>
      </c>
      <c r="S38" s="21"/>
      <c r="T38" s="128"/>
      <c r="U38" s="131">
        <v>13</v>
      </c>
      <c r="V38" s="131"/>
      <c r="W38" s="131"/>
    </row>
    <row r="39" spans="1:30" ht="12.75" x14ac:dyDescent="0.2">
      <c r="A39" s="21" t="s">
        <v>149</v>
      </c>
      <c r="B39" s="21"/>
      <c r="C39" s="21"/>
      <c r="D39" s="21"/>
      <c r="E39" s="39">
        <f>SUBTOTAL(109,Tabla17[PESO NETO KGS])</f>
        <v>1086060</v>
      </c>
      <c r="F39" s="21">
        <f>SUBTOTAL(109,Tabla17[ARPILLAS 1ERAS Y 2DAS])</f>
        <v>18400</v>
      </c>
      <c r="G39" s="21">
        <f>SUBTOTAL(109,Tabla17[ARPILLAS 3RAS, 4TAS])</f>
        <v>2900</v>
      </c>
      <c r="H39" s="21">
        <f>SUBTOTAL(109,Tabla17[ARPILLAS 4TAS])</f>
        <v>0</v>
      </c>
      <c r="I39" s="21">
        <f>SUBTOTAL(109,Tabla17[ARPILLAS 5TAS])</f>
        <v>0</v>
      </c>
      <c r="J39" s="21"/>
      <c r="K39" s="21"/>
      <c r="L39" s="21"/>
      <c r="M39" s="21"/>
      <c r="N39" s="21"/>
      <c r="O39" s="21"/>
      <c r="P39" s="133">
        <f>SUBTOTAL(109,Tabla17[TOTAL])</f>
        <v>13298504</v>
      </c>
      <c r="Q39" s="40">
        <f>SUBTOTAL(109,Tabla17[PAGO])</f>
        <v>5842431</v>
      </c>
      <c r="R39" s="40">
        <f>SUBTOTAL(109,Tabla17[DIF POR PAGAR])</f>
        <v>7456073</v>
      </c>
      <c r="S39" s="21"/>
      <c r="T39" s="21"/>
      <c r="U39" s="21"/>
      <c r="V39" s="21"/>
      <c r="W39" s="40"/>
    </row>
    <row r="40" spans="1:30" ht="12.75" x14ac:dyDescent="0.2">
      <c r="E40" s="22"/>
      <c r="F40" s="22"/>
      <c r="G40" s="22"/>
      <c r="H40" s="38">
        <f>SUM(H3:H38)</f>
        <v>0</v>
      </c>
      <c r="I40" s="7"/>
      <c r="K40" s="2"/>
      <c r="L40" s="2"/>
      <c r="M40" s="2"/>
      <c r="N40" s="2"/>
      <c r="O40" s="2"/>
      <c r="P40" s="1"/>
      <c r="Q40" s="1"/>
      <c r="R40" s="1"/>
    </row>
    <row r="41" spans="1:30" ht="12.75" x14ac:dyDescent="0.2">
      <c r="Q41" s="18"/>
    </row>
    <row r="42" spans="1:30" ht="12.75" x14ac:dyDescent="0.2">
      <c r="E42" s="6"/>
      <c r="F42" s="6" t="s">
        <v>150</v>
      </c>
    </row>
    <row r="43" spans="1:30" ht="12.75" x14ac:dyDescent="0.2">
      <c r="J43" s="8"/>
      <c r="K43" s="2"/>
      <c r="L43" s="2"/>
      <c r="M43" s="2"/>
      <c r="N43" s="2"/>
      <c r="Q43" s="1"/>
    </row>
    <row r="44" spans="1:30" ht="12.75" x14ac:dyDescent="0.2">
      <c r="J44" s="8"/>
    </row>
    <row r="45" spans="1:30" ht="12.75" x14ac:dyDescent="0.2">
      <c r="J45" s="8"/>
    </row>
    <row r="46" spans="1:30" ht="12.75" x14ac:dyDescent="0.2">
      <c r="E46" s="8"/>
    </row>
    <row r="47" spans="1:30" ht="15.75" customHeight="1" x14ac:dyDescent="0.2">
      <c r="O47" s="8"/>
    </row>
    <row r="48" spans="1:30" ht="15.75" customHeight="1" x14ac:dyDescent="0.2">
      <c r="K48" s="1"/>
      <c r="O48" s="8"/>
    </row>
    <row r="49" spans="15:15" ht="15.75" customHeight="1" x14ac:dyDescent="0.2">
      <c r="O49" s="8"/>
    </row>
  </sheetData>
  <mergeCells count="1">
    <mergeCell ref="A1:S1"/>
  </mergeCells>
  <printOptions horizontalCentered="1" gridLines="1"/>
  <pageMargins left="0.7" right="0.7" top="0.75" bottom="0.75" header="0" footer="0"/>
  <pageSetup scale="38" fitToHeight="0" pageOrder="overThenDown" orientation="landscape" cellComments="atEnd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D50"/>
  <sheetViews>
    <sheetView showGridLines="0" tabSelected="1" zoomScaleNormal="100" workbookViewId="0">
      <pane ySplit="3" topLeftCell="A4" activePane="bottomLeft" state="frozen"/>
      <selection activeCell="D25" sqref="D25"/>
      <selection pane="bottomLeft" activeCell="S3" sqref="S3"/>
    </sheetView>
  </sheetViews>
  <sheetFormatPr baseColWidth="10" defaultColWidth="12.5703125" defaultRowHeight="15.75" customHeight="1" x14ac:dyDescent="0.2"/>
  <cols>
    <col min="1" max="1" width="12.28515625" customWidth="1"/>
    <col min="2" max="2" width="14.85546875" customWidth="1"/>
    <col min="3" max="4" width="11.140625" hidden="1" customWidth="1"/>
    <col min="5" max="5" width="17.42578125" bestFit="1" customWidth="1"/>
    <col min="6" max="6" width="13.5703125" hidden="1" customWidth="1"/>
    <col min="7" max="7" width="12.42578125" hidden="1" customWidth="1"/>
    <col min="8" max="9" width="13.28515625" hidden="1" customWidth="1"/>
    <col min="10" max="10" width="29.7109375" bestFit="1" customWidth="1"/>
    <col min="11" max="11" width="17.85546875" hidden="1" customWidth="1"/>
    <col min="12" max="12" width="29" bestFit="1" customWidth="1"/>
    <col min="13" max="13" width="27.140625" bestFit="1" customWidth="1"/>
    <col min="14" max="14" width="16" bestFit="1" customWidth="1"/>
    <col min="15" max="15" width="15.42578125" customWidth="1"/>
    <col min="16" max="16" width="17.28515625" bestFit="1" customWidth="1"/>
    <col min="17" max="17" width="18.5703125" bestFit="1" customWidth="1"/>
    <col min="18" max="18" width="18.140625" bestFit="1" customWidth="1"/>
    <col min="19" max="22" width="16.7109375" customWidth="1"/>
    <col min="23" max="23" width="18" style="42" customWidth="1"/>
  </cols>
  <sheetData>
    <row r="1" spans="1:30" ht="34.5" x14ac:dyDescent="0.5">
      <c r="A1" s="201" t="s">
        <v>10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125"/>
      <c r="U1" s="125"/>
      <c r="V1" s="125"/>
      <c r="W1" s="126"/>
    </row>
    <row r="2" spans="1:30" ht="46.5" customHeight="1" x14ac:dyDescent="0.2">
      <c r="A2" s="120" t="s">
        <v>11</v>
      </c>
      <c r="B2" s="120" t="s">
        <v>12</v>
      </c>
      <c r="C2" s="121" t="s">
        <v>13</v>
      </c>
      <c r="D2" s="121" t="s">
        <v>14</v>
      </c>
      <c r="E2" s="120" t="s">
        <v>15</v>
      </c>
      <c r="F2" s="122" t="s">
        <v>16</v>
      </c>
      <c r="G2" s="122" t="s">
        <v>17</v>
      </c>
      <c r="H2" s="123" t="s">
        <v>18</v>
      </c>
      <c r="I2" s="123" t="s">
        <v>19</v>
      </c>
      <c r="J2" s="121" t="s">
        <v>20</v>
      </c>
      <c r="K2" s="121" t="s">
        <v>21</v>
      </c>
      <c r="L2" s="121" t="s">
        <v>22</v>
      </c>
      <c r="M2" s="121" t="s">
        <v>23</v>
      </c>
      <c r="N2" s="121" t="s">
        <v>24</v>
      </c>
      <c r="O2" s="124" t="s">
        <v>25</v>
      </c>
      <c r="P2" s="121" t="s">
        <v>26</v>
      </c>
      <c r="Q2" s="121" t="s">
        <v>27</v>
      </c>
      <c r="R2" s="121" t="s">
        <v>28</v>
      </c>
      <c r="S2" s="120" t="s">
        <v>157</v>
      </c>
      <c r="T2" s="120" t="s">
        <v>647</v>
      </c>
      <c r="U2" s="120" t="s">
        <v>31</v>
      </c>
      <c r="V2" s="120" t="s">
        <v>32</v>
      </c>
      <c r="W2" s="127" t="s">
        <v>33</v>
      </c>
    </row>
    <row r="3" spans="1:30" ht="12.75" x14ac:dyDescent="0.2">
      <c r="A3" s="92" t="s">
        <v>34</v>
      </c>
      <c r="B3" s="128">
        <v>46083</v>
      </c>
      <c r="C3" s="21">
        <v>37167</v>
      </c>
      <c r="D3" s="21">
        <v>1928</v>
      </c>
      <c r="E3" s="129">
        <v>31160</v>
      </c>
      <c r="F3" s="21">
        <v>600</v>
      </c>
      <c r="G3" s="21"/>
      <c r="H3" s="21"/>
      <c r="I3" s="21"/>
      <c r="J3" s="21" t="s">
        <v>35</v>
      </c>
      <c r="K3" s="21"/>
      <c r="L3" s="21" t="s">
        <v>36</v>
      </c>
      <c r="M3" s="21" t="s">
        <v>37</v>
      </c>
      <c r="N3" s="21">
        <v>7711435699</v>
      </c>
      <c r="O3" s="128">
        <v>46085</v>
      </c>
      <c r="P3" s="130">
        <v>515340</v>
      </c>
      <c r="Q3" s="130">
        <f>300000+140000+75340</f>
        <v>515340</v>
      </c>
      <c r="R3" s="130">
        <f>+Tabla1[[#This Row],[TOTAL]]-Tabla1[[#This Row],[PAGO]]</f>
        <v>0</v>
      </c>
      <c r="S3" s="21" t="s">
        <v>151</v>
      </c>
      <c r="T3" s="128">
        <v>46091</v>
      </c>
      <c r="U3" s="131">
        <v>18</v>
      </c>
      <c r="V3" s="131"/>
      <c r="W3" s="131">
        <v>18</v>
      </c>
      <c r="X3" s="3"/>
      <c r="Y3" s="3"/>
      <c r="Z3" s="3"/>
      <c r="AA3" s="3"/>
      <c r="AB3" s="3"/>
      <c r="AC3" s="3"/>
      <c r="AD3" s="3"/>
    </row>
    <row r="4" spans="1:30" ht="12.75" x14ac:dyDescent="0.2">
      <c r="A4" s="92" t="s">
        <v>39</v>
      </c>
      <c r="B4" s="128">
        <v>46083</v>
      </c>
      <c r="C4" s="21"/>
      <c r="D4" s="21">
        <v>1928</v>
      </c>
      <c r="E4" s="129">
        <v>30510</v>
      </c>
      <c r="F4" s="21">
        <v>400</v>
      </c>
      <c r="G4" s="21">
        <v>200</v>
      </c>
      <c r="H4" s="21"/>
      <c r="I4" s="21"/>
      <c r="J4" s="21" t="s">
        <v>40</v>
      </c>
      <c r="K4" s="21"/>
      <c r="L4" s="21" t="s">
        <v>41</v>
      </c>
      <c r="M4" s="21" t="s">
        <v>42</v>
      </c>
      <c r="N4" s="21">
        <v>6442062694</v>
      </c>
      <c r="O4" s="128">
        <v>46085</v>
      </c>
      <c r="P4" s="130">
        <v>414920</v>
      </c>
      <c r="Q4" s="130">
        <v>414920</v>
      </c>
      <c r="R4" s="130">
        <f>+Tabla1[[#This Row],[TOTAL]]-Tabla1[[#This Row],[PAGO]]</f>
        <v>0</v>
      </c>
      <c r="S4" s="21" t="s">
        <v>151</v>
      </c>
      <c r="T4" s="128">
        <v>46092</v>
      </c>
      <c r="U4" s="131">
        <v>17</v>
      </c>
      <c r="V4" s="131">
        <v>12</v>
      </c>
      <c r="W4" s="131">
        <v>22</v>
      </c>
      <c r="X4" s="3"/>
      <c r="Y4" s="3"/>
      <c r="Z4" s="3"/>
      <c r="AA4" s="3"/>
      <c r="AB4" s="3"/>
      <c r="AC4" s="3"/>
      <c r="AD4" s="3"/>
    </row>
    <row r="5" spans="1:30" ht="12.75" x14ac:dyDescent="0.2">
      <c r="A5" s="92" t="s">
        <v>43</v>
      </c>
      <c r="B5" s="128">
        <v>46084</v>
      </c>
      <c r="C5" s="21"/>
      <c r="D5" s="21">
        <v>1928</v>
      </c>
      <c r="E5" s="129">
        <v>30270</v>
      </c>
      <c r="F5" s="21">
        <v>600</v>
      </c>
      <c r="G5" s="21"/>
      <c r="H5" s="21"/>
      <c r="I5" s="21"/>
      <c r="J5" s="21" t="s">
        <v>44</v>
      </c>
      <c r="K5" s="21"/>
      <c r="L5" s="21" t="s">
        <v>45</v>
      </c>
      <c r="M5" s="21" t="s">
        <v>46</v>
      </c>
      <c r="N5" s="21">
        <v>5568874556</v>
      </c>
      <c r="O5" s="128">
        <v>46086</v>
      </c>
      <c r="P5" s="130">
        <v>294888</v>
      </c>
      <c r="Q5" s="130">
        <v>294888</v>
      </c>
      <c r="R5" s="130">
        <f>+Tabla1[[#This Row],[TOTAL]]-Tabla1[[#This Row],[PAGO]]</f>
        <v>0</v>
      </c>
      <c r="S5" s="21" t="s">
        <v>151</v>
      </c>
      <c r="T5" s="128">
        <v>46120</v>
      </c>
      <c r="U5" s="131">
        <v>11</v>
      </c>
      <c r="V5" s="131"/>
      <c r="W5" s="131">
        <v>23</v>
      </c>
      <c r="X5" s="3"/>
      <c r="Y5" s="3"/>
      <c r="Z5" s="3"/>
      <c r="AA5" s="3"/>
      <c r="AB5" s="3"/>
      <c r="AC5" s="3"/>
      <c r="AD5" s="3"/>
    </row>
    <row r="6" spans="1:30" ht="12.75" x14ac:dyDescent="0.2">
      <c r="A6" s="92" t="s">
        <v>47</v>
      </c>
      <c r="B6" s="128">
        <v>46084</v>
      </c>
      <c r="C6" s="21"/>
      <c r="D6" s="21">
        <v>1928</v>
      </c>
      <c r="E6" s="129">
        <v>30570</v>
      </c>
      <c r="F6" s="21">
        <v>600</v>
      </c>
      <c r="G6" s="21"/>
      <c r="H6" s="21"/>
      <c r="I6" s="21"/>
      <c r="J6" s="21" t="s">
        <v>48</v>
      </c>
      <c r="K6" s="21"/>
      <c r="L6" s="21" t="s">
        <v>49</v>
      </c>
      <c r="M6" s="21" t="s">
        <v>50</v>
      </c>
      <c r="N6" s="21">
        <v>4492731814</v>
      </c>
      <c r="O6" s="128">
        <v>46086</v>
      </c>
      <c r="P6" s="130">
        <v>451840</v>
      </c>
      <c r="Q6" s="130">
        <v>451840</v>
      </c>
      <c r="R6" s="130">
        <f>+Tabla1[[#This Row],[TOTAL]]-Tabla1[[#This Row],[PAGO]]</f>
        <v>0</v>
      </c>
      <c r="S6" s="21" t="s">
        <v>151</v>
      </c>
      <c r="T6" s="128">
        <v>46135</v>
      </c>
      <c r="U6" s="131">
        <v>16</v>
      </c>
      <c r="V6" s="131"/>
      <c r="W6" s="131">
        <v>31</v>
      </c>
      <c r="X6" s="3"/>
      <c r="Y6" s="3"/>
      <c r="Z6" s="3"/>
      <c r="AA6" s="3"/>
      <c r="AB6" s="3"/>
      <c r="AC6" s="3"/>
      <c r="AD6" s="3"/>
    </row>
    <row r="7" spans="1:30" ht="12.75" x14ac:dyDescent="0.2">
      <c r="A7" s="92" t="s">
        <v>51</v>
      </c>
      <c r="B7" s="128">
        <v>46085</v>
      </c>
      <c r="C7" s="21"/>
      <c r="D7" s="21">
        <v>1928</v>
      </c>
      <c r="E7" s="129">
        <v>30450</v>
      </c>
      <c r="F7" s="21">
        <v>600</v>
      </c>
      <c r="G7" s="21"/>
      <c r="H7" s="21"/>
      <c r="I7" s="21"/>
      <c r="J7" s="21" t="s">
        <v>52</v>
      </c>
      <c r="K7" s="21"/>
      <c r="L7" s="21" t="s">
        <v>53</v>
      </c>
      <c r="M7" s="21" t="s">
        <v>54</v>
      </c>
      <c r="N7" s="21">
        <v>4491111634</v>
      </c>
      <c r="O7" s="128">
        <v>46087</v>
      </c>
      <c r="P7" s="130">
        <v>490500</v>
      </c>
      <c r="Q7" s="130">
        <v>490500</v>
      </c>
      <c r="R7" s="130">
        <f>+Tabla1[[#This Row],[TOTAL]]-Tabla1[[#This Row],[PAGO]]</f>
        <v>0</v>
      </c>
      <c r="S7" s="21" t="s">
        <v>55</v>
      </c>
      <c r="T7" s="128">
        <v>46104</v>
      </c>
      <c r="U7" s="131">
        <v>18</v>
      </c>
      <c r="V7" s="131"/>
      <c r="W7" s="131">
        <v>33</v>
      </c>
      <c r="X7" s="3"/>
      <c r="Y7" s="3"/>
      <c r="Z7" s="3"/>
      <c r="AA7" s="3"/>
      <c r="AB7" s="3"/>
      <c r="AC7" s="3"/>
      <c r="AD7" s="3"/>
    </row>
    <row r="8" spans="1:30" ht="12.75" x14ac:dyDescent="0.2">
      <c r="A8" s="92" t="s">
        <v>56</v>
      </c>
      <c r="B8" s="128">
        <v>46085</v>
      </c>
      <c r="C8" s="21"/>
      <c r="D8" s="21">
        <v>1928</v>
      </c>
      <c r="E8" s="129">
        <v>30610</v>
      </c>
      <c r="F8" s="21">
        <v>600</v>
      </c>
      <c r="G8" s="21"/>
      <c r="H8" s="21"/>
      <c r="I8" s="21"/>
      <c r="J8" s="175" t="s">
        <v>57</v>
      </c>
      <c r="K8" s="175"/>
      <c r="L8" s="175" t="s">
        <v>58</v>
      </c>
      <c r="M8" s="175" t="s">
        <v>59</v>
      </c>
      <c r="N8" s="175">
        <v>6442462077</v>
      </c>
      <c r="O8" s="176">
        <v>46087</v>
      </c>
      <c r="P8" s="177">
        <v>432960</v>
      </c>
      <c r="Q8" s="177"/>
      <c r="R8" s="130">
        <f>+Tabla1[[#This Row],[TOTAL]]-Tabla1[[#This Row],[PAGO]]</f>
        <v>432960</v>
      </c>
      <c r="S8" s="21" t="s">
        <v>120</v>
      </c>
      <c r="T8" s="128"/>
      <c r="U8" s="131"/>
      <c r="V8" s="131"/>
      <c r="W8" s="131">
        <v>27</v>
      </c>
      <c r="X8" s="3"/>
      <c r="Y8" s="3"/>
      <c r="Z8" s="3"/>
      <c r="AA8" s="3"/>
      <c r="AB8" s="3"/>
      <c r="AC8" s="3"/>
      <c r="AD8" s="3"/>
    </row>
    <row r="9" spans="1:30" s="147" customFormat="1" ht="12.75" x14ac:dyDescent="0.2">
      <c r="A9" s="92" t="s">
        <v>60</v>
      </c>
      <c r="B9" s="128">
        <v>46086</v>
      </c>
      <c r="C9" s="21"/>
      <c r="D9" s="21">
        <v>1928</v>
      </c>
      <c r="E9" s="129">
        <v>30330</v>
      </c>
      <c r="F9" s="21">
        <v>600</v>
      </c>
      <c r="G9" s="21"/>
      <c r="H9" s="21"/>
      <c r="I9" s="21"/>
      <c r="J9" s="21" t="s">
        <v>61</v>
      </c>
      <c r="K9" s="21"/>
      <c r="L9" s="21" t="s">
        <v>62</v>
      </c>
      <c r="M9" s="21" t="s">
        <v>63</v>
      </c>
      <c r="N9" s="21">
        <v>9981124764</v>
      </c>
      <c r="O9" s="128">
        <v>46088</v>
      </c>
      <c r="P9" s="130">
        <v>382520</v>
      </c>
      <c r="Q9" s="130">
        <v>382520</v>
      </c>
      <c r="R9" s="130">
        <f>+Tabla1[[#This Row],[TOTAL]]-Tabla1[[#This Row],[PAGO]]</f>
        <v>0</v>
      </c>
      <c r="S9" s="21" t="s">
        <v>55</v>
      </c>
      <c r="T9" s="128">
        <v>46112</v>
      </c>
      <c r="U9" s="131">
        <v>14.5</v>
      </c>
      <c r="V9" s="131">
        <v>11</v>
      </c>
      <c r="W9" s="131">
        <v>35.9</v>
      </c>
      <c r="X9" s="146"/>
      <c r="Y9" s="146"/>
      <c r="Z9" s="146"/>
      <c r="AA9" s="146"/>
      <c r="AB9" s="146"/>
      <c r="AC9" s="146"/>
      <c r="AD9" s="146"/>
    </row>
    <row r="10" spans="1:30" ht="12.75" x14ac:dyDescent="0.2">
      <c r="A10" s="92" t="s">
        <v>64</v>
      </c>
      <c r="B10" s="128">
        <v>46086</v>
      </c>
      <c r="C10" s="21"/>
      <c r="D10" s="21">
        <v>1928</v>
      </c>
      <c r="E10" s="129">
        <v>30320</v>
      </c>
      <c r="F10" s="21">
        <v>600</v>
      </c>
      <c r="G10" s="21"/>
      <c r="H10" s="21"/>
      <c r="I10" s="21"/>
      <c r="J10" s="175" t="s">
        <v>52</v>
      </c>
      <c r="K10" s="175"/>
      <c r="L10" s="175" t="s">
        <v>53</v>
      </c>
      <c r="M10" s="175" t="s">
        <v>65</v>
      </c>
      <c r="N10" s="175">
        <v>8113687191</v>
      </c>
      <c r="O10" s="176">
        <v>46088</v>
      </c>
      <c r="P10" s="179"/>
      <c r="Q10" s="177"/>
      <c r="R10" s="130">
        <f>+Tabla1[[#This Row],[TOTAL]]-Tabla1[[#This Row],[PAGO]]</f>
        <v>0</v>
      </c>
      <c r="S10" s="21"/>
      <c r="T10" s="128"/>
      <c r="U10" s="131"/>
      <c r="V10" s="131"/>
      <c r="W10" s="131">
        <v>33</v>
      </c>
      <c r="X10" s="3"/>
      <c r="Y10" s="3"/>
      <c r="Z10" s="3"/>
      <c r="AA10" s="3"/>
      <c r="AB10" s="3"/>
      <c r="AC10" s="3"/>
      <c r="AD10" s="3"/>
    </row>
    <row r="11" spans="1:30" ht="12.75" x14ac:dyDescent="0.2">
      <c r="A11" s="92" t="s">
        <v>66</v>
      </c>
      <c r="B11" s="128">
        <v>46087</v>
      </c>
      <c r="C11" s="21"/>
      <c r="D11" s="21">
        <v>1928</v>
      </c>
      <c r="E11" s="129">
        <v>30540</v>
      </c>
      <c r="F11" s="21">
        <v>600</v>
      </c>
      <c r="G11" s="21"/>
      <c r="H11" s="21"/>
      <c r="I11" s="21"/>
      <c r="J11" s="175" t="s">
        <v>67</v>
      </c>
      <c r="K11" s="176"/>
      <c r="L11" s="175" t="s">
        <v>68</v>
      </c>
      <c r="M11" s="175" t="s">
        <v>69</v>
      </c>
      <c r="N11" s="175">
        <v>5525317818</v>
      </c>
      <c r="O11" s="176">
        <v>46089</v>
      </c>
      <c r="P11" s="179"/>
      <c r="Q11" s="177"/>
      <c r="R11" s="130">
        <f>+Tabla1[[#This Row],[TOTAL]]-Tabla1[[#This Row],[PAGO]]</f>
        <v>0</v>
      </c>
      <c r="S11" s="21"/>
      <c r="T11" s="128"/>
      <c r="U11" s="131"/>
      <c r="V11" s="131"/>
      <c r="W11" s="131">
        <v>24</v>
      </c>
      <c r="X11" s="3"/>
      <c r="Y11" s="3"/>
      <c r="Z11" s="3"/>
      <c r="AA11" s="3"/>
      <c r="AB11" s="3"/>
      <c r="AC11" s="3"/>
      <c r="AD11" s="3"/>
    </row>
    <row r="12" spans="1:30" ht="12.75" x14ac:dyDescent="0.2">
      <c r="A12" s="92" t="s">
        <v>70</v>
      </c>
      <c r="B12" s="128">
        <v>46087</v>
      </c>
      <c r="C12" s="21"/>
      <c r="D12" s="21">
        <v>1928</v>
      </c>
      <c r="E12" s="129">
        <v>30480</v>
      </c>
      <c r="F12" s="21">
        <v>600</v>
      </c>
      <c r="G12" s="21"/>
      <c r="H12" s="21"/>
      <c r="I12" s="21"/>
      <c r="J12" s="175" t="s">
        <v>67</v>
      </c>
      <c r="K12" s="175"/>
      <c r="L12" s="175" t="s">
        <v>68</v>
      </c>
      <c r="M12" s="175" t="s">
        <v>71</v>
      </c>
      <c r="N12" s="175">
        <v>5531985876</v>
      </c>
      <c r="O12" s="176">
        <v>46089</v>
      </c>
      <c r="P12" s="179"/>
      <c r="Q12" s="177"/>
      <c r="R12" s="130">
        <f>+Tabla1[[#This Row],[TOTAL]]-Tabla1[[#This Row],[PAGO]]</f>
        <v>0</v>
      </c>
      <c r="S12" s="21"/>
      <c r="T12" s="128"/>
      <c r="U12" s="131"/>
      <c r="V12" s="131"/>
      <c r="W12" s="131">
        <v>24</v>
      </c>
      <c r="X12" s="3"/>
      <c r="Y12" s="3"/>
      <c r="Z12" s="3"/>
      <c r="AA12" s="3"/>
      <c r="AB12" s="3"/>
      <c r="AC12" s="3"/>
      <c r="AD12" s="3"/>
    </row>
    <row r="13" spans="1:30" ht="12.75" x14ac:dyDescent="0.2">
      <c r="A13" s="92" t="s">
        <v>72</v>
      </c>
      <c r="B13" s="128">
        <v>46088</v>
      </c>
      <c r="C13" s="21"/>
      <c r="D13" s="21">
        <v>1928</v>
      </c>
      <c r="E13" s="129">
        <v>30640</v>
      </c>
      <c r="F13" s="21">
        <v>600</v>
      </c>
      <c r="G13" s="21"/>
      <c r="H13" s="21"/>
      <c r="I13" s="21"/>
      <c r="J13" s="21" t="s">
        <v>73</v>
      </c>
      <c r="K13" s="21"/>
      <c r="L13" s="21" t="s">
        <v>53</v>
      </c>
      <c r="M13" s="21" t="s">
        <v>74</v>
      </c>
      <c r="N13" s="21">
        <v>6251527952</v>
      </c>
      <c r="O13" s="128">
        <v>46090</v>
      </c>
      <c r="P13" s="130">
        <v>441120</v>
      </c>
      <c r="Q13" s="130">
        <f>91050+350000</f>
        <v>441050</v>
      </c>
      <c r="R13" s="130"/>
      <c r="S13" s="21" t="s">
        <v>151</v>
      </c>
      <c r="T13" s="128">
        <v>46088</v>
      </c>
      <c r="U13" s="131">
        <v>16</v>
      </c>
      <c r="V13" s="131"/>
      <c r="W13" s="131">
        <v>33</v>
      </c>
      <c r="X13" s="3"/>
      <c r="Y13" s="3"/>
      <c r="Z13" s="3"/>
      <c r="AA13" s="3"/>
      <c r="AB13" s="3"/>
      <c r="AC13" s="3"/>
      <c r="AD13" s="3"/>
    </row>
    <row r="14" spans="1:30" ht="12.75" x14ac:dyDescent="0.2">
      <c r="A14" s="92" t="s">
        <v>75</v>
      </c>
      <c r="B14" s="128">
        <v>46088</v>
      </c>
      <c r="C14" s="21"/>
      <c r="D14" s="21">
        <v>1928</v>
      </c>
      <c r="E14" s="129">
        <v>30430</v>
      </c>
      <c r="F14" s="21">
        <v>600</v>
      </c>
      <c r="G14" s="21"/>
      <c r="H14" s="21"/>
      <c r="I14" s="21"/>
      <c r="J14" s="175" t="s">
        <v>48</v>
      </c>
      <c r="K14" s="175"/>
      <c r="L14" s="175" t="s">
        <v>76</v>
      </c>
      <c r="M14" s="175" t="s">
        <v>77</v>
      </c>
      <c r="N14" s="175">
        <v>4651078985</v>
      </c>
      <c r="O14" s="176">
        <v>46090</v>
      </c>
      <c r="P14" s="177">
        <v>431200</v>
      </c>
      <c r="Q14" s="177"/>
      <c r="R14" s="130">
        <f>+Tabla1[[#This Row],[TOTAL]]-Tabla1[[#This Row],[PAGO]]</f>
        <v>431200</v>
      </c>
      <c r="S14" s="21" t="s">
        <v>120</v>
      </c>
      <c r="T14" s="128"/>
      <c r="U14" s="131">
        <v>16</v>
      </c>
      <c r="V14" s="131"/>
      <c r="W14" s="131">
        <v>27</v>
      </c>
      <c r="X14" s="3"/>
      <c r="Y14" s="3"/>
      <c r="Z14" s="3"/>
      <c r="AA14" s="3"/>
      <c r="AB14" s="3"/>
      <c r="AC14" s="3"/>
      <c r="AD14" s="3"/>
    </row>
    <row r="15" spans="1:30" ht="12.75" x14ac:dyDescent="0.2">
      <c r="A15" s="92" t="s">
        <v>78</v>
      </c>
      <c r="B15" s="128">
        <v>46090</v>
      </c>
      <c r="C15" s="21"/>
      <c r="D15" s="21">
        <v>1928</v>
      </c>
      <c r="E15" s="129">
        <v>15280</v>
      </c>
      <c r="F15" s="21">
        <v>300</v>
      </c>
      <c r="G15" s="21"/>
      <c r="H15" s="21"/>
      <c r="I15" s="21"/>
      <c r="J15" s="175" t="s">
        <v>79</v>
      </c>
      <c r="K15" s="175"/>
      <c r="L15" s="175" t="s">
        <v>53</v>
      </c>
      <c r="M15" s="175" t="s">
        <v>80</v>
      </c>
      <c r="N15" s="175">
        <v>8261707430</v>
      </c>
      <c r="O15" s="176">
        <v>46092</v>
      </c>
      <c r="P15" s="179"/>
      <c r="Q15" s="177">
        <v>200000</v>
      </c>
      <c r="R15" s="130"/>
      <c r="S15" s="21" t="s">
        <v>38</v>
      </c>
      <c r="T15" s="128"/>
      <c r="U15" s="131"/>
      <c r="V15" s="131"/>
      <c r="W15" s="131">
        <v>33</v>
      </c>
      <c r="X15" s="3"/>
      <c r="Y15" s="3"/>
      <c r="Z15" s="3"/>
      <c r="AA15" s="3"/>
      <c r="AB15" s="3"/>
      <c r="AC15" s="3"/>
      <c r="AD15" s="3"/>
    </row>
    <row r="16" spans="1:30" ht="12.75" x14ac:dyDescent="0.2">
      <c r="A16" s="92" t="s">
        <v>81</v>
      </c>
      <c r="B16" s="128">
        <v>46090</v>
      </c>
      <c r="C16" s="21"/>
      <c r="D16" s="21">
        <v>1928</v>
      </c>
      <c r="E16" s="129">
        <v>30560</v>
      </c>
      <c r="F16" s="21">
        <v>600</v>
      </c>
      <c r="G16" s="21"/>
      <c r="H16" s="21"/>
      <c r="I16" s="21"/>
      <c r="J16" s="175" t="s">
        <v>79</v>
      </c>
      <c r="K16" s="175"/>
      <c r="L16" s="175" t="s">
        <v>82</v>
      </c>
      <c r="M16" s="175" t="s">
        <v>83</v>
      </c>
      <c r="N16" s="175">
        <v>3411620837</v>
      </c>
      <c r="O16" s="176">
        <v>46092</v>
      </c>
      <c r="P16" s="179"/>
      <c r="Q16" s="177">
        <v>300000</v>
      </c>
      <c r="R16" s="130"/>
      <c r="S16" s="21" t="s">
        <v>38</v>
      </c>
      <c r="T16" s="128"/>
      <c r="U16" s="131"/>
      <c r="V16" s="131"/>
      <c r="W16" s="131">
        <v>25</v>
      </c>
      <c r="X16" s="3"/>
      <c r="Y16" s="3"/>
      <c r="Z16" s="3"/>
      <c r="AA16" s="3"/>
      <c r="AB16" s="3"/>
      <c r="AC16" s="3"/>
      <c r="AD16" s="3"/>
    </row>
    <row r="17" spans="1:30" ht="12.75" x14ac:dyDescent="0.2">
      <c r="A17" s="92" t="s">
        <v>84</v>
      </c>
      <c r="B17" s="128">
        <v>46090</v>
      </c>
      <c r="C17" s="21"/>
      <c r="D17" s="21">
        <v>1928</v>
      </c>
      <c r="E17" s="129">
        <v>30790</v>
      </c>
      <c r="F17" s="21">
        <v>600</v>
      </c>
      <c r="G17" s="21"/>
      <c r="H17" s="21"/>
      <c r="I17" s="21"/>
      <c r="J17" s="21" t="s">
        <v>85</v>
      </c>
      <c r="K17" s="21"/>
      <c r="L17" s="21" t="s">
        <v>45</v>
      </c>
      <c r="M17" s="21" t="s">
        <v>86</v>
      </c>
      <c r="N17" s="21">
        <v>6694034337</v>
      </c>
      <c r="O17" s="128">
        <v>46092</v>
      </c>
      <c r="P17" s="130">
        <v>298100</v>
      </c>
      <c r="Q17" s="130">
        <f>120000+178100</f>
        <v>298100</v>
      </c>
      <c r="R17" s="130">
        <f>+Tabla1[[#This Row],[TOTAL]]-Tabla1[[#This Row],[PAGO]]</f>
        <v>0</v>
      </c>
      <c r="S17" s="21" t="s">
        <v>151</v>
      </c>
      <c r="T17" s="128">
        <v>46120</v>
      </c>
      <c r="U17" s="131">
        <v>11</v>
      </c>
      <c r="V17" s="131"/>
      <c r="W17" s="131">
        <v>23</v>
      </c>
      <c r="X17" s="3"/>
      <c r="Y17" s="3"/>
      <c r="Z17" s="3"/>
      <c r="AA17" s="3"/>
      <c r="AB17" s="3"/>
      <c r="AC17" s="3"/>
      <c r="AD17" s="3"/>
    </row>
    <row r="18" spans="1:30" ht="12.75" x14ac:dyDescent="0.2">
      <c r="A18" s="92" t="s">
        <v>87</v>
      </c>
      <c r="B18" s="128">
        <v>46091</v>
      </c>
      <c r="C18" s="21"/>
      <c r="D18" s="21">
        <v>1928</v>
      </c>
      <c r="E18" s="129">
        <v>30860</v>
      </c>
      <c r="F18" s="21">
        <v>600</v>
      </c>
      <c r="G18" s="21"/>
      <c r="H18" s="21"/>
      <c r="I18" s="21"/>
      <c r="J18" s="21" t="s">
        <v>88</v>
      </c>
      <c r="K18" s="21"/>
      <c r="L18" s="21" t="s">
        <v>89</v>
      </c>
      <c r="M18" s="21" t="s">
        <v>90</v>
      </c>
      <c r="N18" s="21">
        <v>4422372733</v>
      </c>
      <c r="O18" s="128">
        <v>46093</v>
      </c>
      <c r="P18" s="130">
        <v>417600</v>
      </c>
      <c r="Q18" s="130">
        <v>417600</v>
      </c>
      <c r="R18" s="130">
        <f>+Tabla1[[#This Row],[TOTAL]]-Tabla1[[#This Row],[PAGO]]</f>
        <v>0</v>
      </c>
      <c r="S18" s="21" t="s">
        <v>151</v>
      </c>
      <c r="T18" s="128">
        <v>46100</v>
      </c>
      <c r="U18" s="131">
        <v>15</v>
      </c>
      <c r="V18" s="131"/>
      <c r="W18" s="131">
        <v>20</v>
      </c>
      <c r="X18" s="3"/>
      <c r="Y18" s="3"/>
      <c r="Z18" s="3"/>
      <c r="AA18" s="3"/>
      <c r="AB18" s="3"/>
      <c r="AC18" s="3"/>
      <c r="AD18" s="3"/>
    </row>
    <row r="19" spans="1:30" ht="12.75" x14ac:dyDescent="0.2">
      <c r="A19" s="92" t="s">
        <v>91</v>
      </c>
      <c r="B19" s="128">
        <v>46091</v>
      </c>
      <c r="C19" s="21"/>
      <c r="D19" s="21">
        <v>1928</v>
      </c>
      <c r="E19" s="129">
        <v>30550</v>
      </c>
      <c r="F19" s="21">
        <v>400</v>
      </c>
      <c r="G19" s="21">
        <v>200</v>
      </c>
      <c r="H19" s="21"/>
      <c r="I19" s="21"/>
      <c r="J19" s="21" t="s">
        <v>92</v>
      </c>
      <c r="K19" s="21"/>
      <c r="L19" s="21" t="s">
        <v>93</v>
      </c>
      <c r="M19" s="21" t="s">
        <v>94</v>
      </c>
      <c r="N19" s="21">
        <v>4521003379</v>
      </c>
      <c r="O19" s="128">
        <v>46093</v>
      </c>
      <c r="P19" s="130">
        <v>369000</v>
      </c>
      <c r="Q19" s="130">
        <f>108886+240000+20714</f>
        <v>369600</v>
      </c>
      <c r="R19" s="130">
        <f>+Tabla1[[#This Row],[TOTAL]]-Tabla1[[#This Row],[PAGO]]</f>
        <v>-600</v>
      </c>
      <c r="S19" s="21" t="s">
        <v>151</v>
      </c>
      <c r="T19" s="128">
        <v>46140</v>
      </c>
      <c r="U19" s="131">
        <v>16</v>
      </c>
      <c r="V19" s="131">
        <v>10</v>
      </c>
      <c r="W19" s="131">
        <v>23</v>
      </c>
      <c r="X19" s="3"/>
      <c r="Y19" s="3"/>
      <c r="Z19" s="3"/>
      <c r="AA19" s="3"/>
      <c r="AB19" s="3"/>
      <c r="AC19" s="3"/>
      <c r="AD19" s="3"/>
    </row>
    <row r="20" spans="1:30" ht="12.75" x14ac:dyDescent="0.2">
      <c r="A20" s="92" t="s">
        <v>95</v>
      </c>
      <c r="B20" s="128">
        <v>46091</v>
      </c>
      <c r="C20" s="21"/>
      <c r="D20" s="21">
        <v>1928</v>
      </c>
      <c r="E20" s="129">
        <v>30600</v>
      </c>
      <c r="F20" s="21">
        <v>600</v>
      </c>
      <c r="G20" s="21"/>
      <c r="H20" s="21"/>
      <c r="I20" s="21"/>
      <c r="J20" s="21" t="s">
        <v>52</v>
      </c>
      <c r="K20" s="21"/>
      <c r="L20" s="21" t="s">
        <v>53</v>
      </c>
      <c r="M20" s="21" t="s">
        <v>96</v>
      </c>
      <c r="N20" s="21">
        <v>6251463217</v>
      </c>
      <c r="O20" s="128">
        <v>46093</v>
      </c>
      <c r="P20" s="130">
        <v>444160</v>
      </c>
      <c r="Q20" s="130">
        <v>444160</v>
      </c>
      <c r="R20" s="130">
        <f>+Tabla1[[#This Row],[TOTAL]]-Tabla1[[#This Row],[PAGO]]</f>
        <v>0</v>
      </c>
      <c r="S20" s="21" t="s">
        <v>151</v>
      </c>
      <c r="T20" s="128">
        <v>46108</v>
      </c>
      <c r="U20" s="131">
        <v>18</v>
      </c>
      <c r="V20" s="131"/>
      <c r="W20" s="131">
        <v>33</v>
      </c>
      <c r="X20" s="3"/>
      <c r="Y20" s="3"/>
      <c r="Z20" s="3"/>
      <c r="AA20" s="3"/>
      <c r="AB20" s="3"/>
      <c r="AC20" s="3"/>
      <c r="AD20" s="3"/>
    </row>
    <row r="21" spans="1:30" ht="12.75" x14ac:dyDescent="0.2">
      <c r="A21" s="92" t="s">
        <v>97</v>
      </c>
      <c r="B21" s="128">
        <v>46092</v>
      </c>
      <c r="C21" s="21"/>
      <c r="D21" s="21">
        <v>1928</v>
      </c>
      <c r="E21" s="129">
        <v>30900</v>
      </c>
      <c r="F21" s="21">
        <v>600</v>
      </c>
      <c r="G21" s="21"/>
      <c r="H21" s="21"/>
      <c r="I21" s="21"/>
      <c r="J21" s="175" t="s">
        <v>57</v>
      </c>
      <c r="K21" s="175"/>
      <c r="L21" s="175" t="s">
        <v>58</v>
      </c>
      <c r="M21" s="175" t="s">
        <v>98</v>
      </c>
      <c r="N21" s="175">
        <v>6142256686</v>
      </c>
      <c r="O21" s="176">
        <v>46093</v>
      </c>
      <c r="P21" s="180">
        <v>413250</v>
      </c>
      <c r="Q21" s="177"/>
      <c r="R21" s="130">
        <f>+Tabla1[[#This Row],[TOTAL]]-Tabla1[[#This Row],[PAGO]]</f>
        <v>413250</v>
      </c>
      <c r="S21" s="21"/>
      <c r="T21" s="128"/>
      <c r="U21" s="131"/>
      <c r="V21" s="131"/>
      <c r="W21" s="131">
        <v>26</v>
      </c>
      <c r="X21" s="3"/>
      <c r="Y21" s="3"/>
      <c r="Z21" s="3"/>
      <c r="AA21" s="3"/>
      <c r="AB21" s="3"/>
      <c r="AC21" s="3"/>
      <c r="AD21" s="3"/>
    </row>
    <row r="22" spans="1:30" ht="12.75" x14ac:dyDescent="0.2">
      <c r="A22" s="92" t="s">
        <v>99</v>
      </c>
      <c r="B22" s="128">
        <v>46092</v>
      </c>
      <c r="C22" s="21"/>
      <c r="D22" s="21">
        <v>1928</v>
      </c>
      <c r="E22" s="129">
        <v>30680</v>
      </c>
      <c r="F22" s="21">
        <v>600</v>
      </c>
      <c r="G22" s="21"/>
      <c r="H22" s="21"/>
      <c r="I22" s="21"/>
      <c r="J22" s="175" t="s">
        <v>100</v>
      </c>
      <c r="K22" s="175"/>
      <c r="L22" s="175" t="s">
        <v>101</v>
      </c>
      <c r="M22" s="175" t="s">
        <v>42</v>
      </c>
      <c r="N22" s="175">
        <v>6442062694</v>
      </c>
      <c r="O22" s="176">
        <v>46094</v>
      </c>
      <c r="P22" s="177">
        <v>412050</v>
      </c>
      <c r="Q22" s="177"/>
      <c r="R22" s="130">
        <f>+Tabla1[[#This Row],[TOTAL]]-Tabla1[[#This Row],[PAGO]]</f>
        <v>412050</v>
      </c>
      <c r="S22" s="21" t="s">
        <v>120</v>
      </c>
      <c r="T22" s="128"/>
      <c r="U22" s="131">
        <v>15</v>
      </c>
      <c r="V22" s="131"/>
      <c r="W22" s="131">
        <v>23.5</v>
      </c>
      <c r="X22" s="3"/>
      <c r="Y22" s="3"/>
      <c r="Z22" s="3"/>
      <c r="AA22" s="3"/>
      <c r="AB22" s="3"/>
      <c r="AC22" s="3"/>
      <c r="AD22" s="3"/>
    </row>
    <row r="23" spans="1:30" ht="12.75" x14ac:dyDescent="0.2">
      <c r="A23" s="92" t="s">
        <v>102</v>
      </c>
      <c r="B23" s="128">
        <v>46093</v>
      </c>
      <c r="C23" s="21"/>
      <c r="D23" s="21">
        <v>1928</v>
      </c>
      <c r="E23" s="129">
        <v>30590</v>
      </c>
      <c r="F23" s="21">
        <v>600</v>
      </c>
      <c r="G23" s="21"/>
      <c r="H23" s="21"/>
      <c r="I23" s="21"/>
      <c r="J23" s="21" t="s">
        <v>52</v>
      </c>
      <c r="K23" s="21"/>
      <c r="L23" s="21" t="s">
        <v>53</v>
      </c>
      <c r="M23" s="21" t="s">
        <v>103</v>
      </c>
      <c r="N23" s="21">
        <v>6141004131</v>
      </c>
      <c r="O23" s="128">
        <v>46095</v>
      </c>
      <c r="P23" s="130">
        <v>403500</v>
      </c>
      <c r="Q23" s="130">
        <v>403500</v>
      </c>
      <c r="R23" s="130">
        <f>+Tabla1[[#This Row],[TOTAL]]-Tabla1[[#This Row],[PAGO]]</f>
        <v>0</v>
      </c>
      <c r="S23" s="21" t="s">
        <v>151</v>
      </c>
      <c r="T23" s="128">
        <v>46093</v>
      </c>
      <c r="U23" s="131">
        <v>15</v>
      </c>
      <c r="V23" s="131"/>
      <c r="W23" s="131">
        <v>33</v>
      </c>
      <c r="X23" s="3"/>
      <c r="Y23" s="3"/>
      <c r="Z23" s="3"/>
      <c r="AA23" s="3"/>
      <c r="AB23" s="3"/>
      <c r="AC23" s="3"/>
      <c r="AD23" s="3"/>
    </row>
    <row r="24" spans="1:30" ht="12.75" x14ac:dyDescent="0.2">
      <c r="A24" s="92" t="s">
        <v>104</v>
      </c>
      <c r="B24" s="128">
        <v>46101</v>
      </c>
      <c r="C24" s="21"/>
      <c r="D24" s="21">
        <v>405</v>
      </c>
      <c r="E24" s="129">
        <v>30210</v>
      </c>
      <c r="F24" s="21">
        <v>600</v>
      </c>
      <c r="G24" s="21"/>
      <c r="H24" s="21"/>
      <c r="I24" s="21"/>
      <c r="J24" s="21" t="s">
        <v>105</v>
      </c>
      <c r="K24" s="21"/>
      <c r="L24" s="21" t="s">
        <v>106</v>
      </c>
      <c r="M24" s="21" t="s">
        <v>107</v>
      </c>
      <c r="N24" s="21">
        <v>7611038417</v>
      </c>
      <c r="O24" s="128">
        <v>46103</v>
      </c>
      <c r="P24" s="130">
        <v>390880</v>
      </c>
      <c r="Q24" s="130">
        <v>400000</v>
      </c>
      <c r="R24" s="130"/>
      <c r="S24" s="21" t="s">
        <v>151</v>
      </c>
      <c r="T24" s="128">
        <v>46102</v>
      </c>
      <c r="U24" s="131"/>
      <c r="V24" s="131"/>
      <c r="W24" s="131">
        <v>20</v>
      </c>
      <c r="X24" s="3"/>
      <c r="Y24" s="3"/>
      <c r="Z24" s="3"/>
      <c r="AA24" s="3"/>
      <c r="AB24" s="3"/>
      <c r="AC24" s="3"/>
      <c r="AD24" s="3"/>
    </row>
    <row r="25" spans="1:30" ht="12.75" x14ac:dyDescent="0.2">
      <c r="A25" s="92" t="s">
        <v>108</v>
      </c>
      <c r="B25" s="128">
        <v>46101</v>
      </c>
      <c r="C25" s="21"/>
      <c r="D25" s="21">
        <v>405</v>
      </c>
      <c r="E25" s="129">
        <v>30050</v>
      </c>
      <c r="F25" s="21">
        <v>600</v>
      </c>
      <c r="G25" s="21"/>
      <c r="H25" s="21"/>
      <c r="I25" s="21"/>
      <c r="J25" s="175" t="s">
        <v>48</v>
      </c>
      <c r="K25" s="175"/>
      <c r="L25" s="175" t="s">
        <v>109</v>
      </c>
      <c r="M25" s="175" t="s">
        <v>110</v>
      </c>
      <c r="N25" s="175">
        <v>4441652219</v>
      </c>
      <c r="O25" s="176">
        <v>46104</v>
      </c>
      <c r="P25" s="179"/>
      <c r="Q25" s="177"/>
      <c r="R25" s="130">
        <f>+Tabla1[[#This Row],[TOTAL]]-Tabla1[[#This Row],[PAGO]]</f>
        <v>0</v>
      </c>
      <c r="S25" s="21"/>
      <c r="T25" s="128"/>
      <c r="U25" s="131"/>
      <c r="V25" s="131"/>
      <c r="W25" s="131">
        <v>30</v>
      </c>
      <c r="X25" s="3"/>
      <c r="Y25" s="3"/>
      <c r="Z25" s="3"/>
      <c r="AA25" s="3"/>
      <c r="AB25" s="3"/>
      <c r="AC25" s="3"/>
      <c r="AD25" s="3"/>
    </row>
    <row r="26" spans="1:30" ht="12.75" x14ac:dyDescent="0.2">
      <c r="A26" s="92" t="s">
        <v>111</v>
      </c>
      <c r="B26" s="128">
        <v>46101</v>
      </c>
      <c r="C26" s="21"/>
      <c r="D26" s="21">
        <v>405</v>
      </c>
      <c r="E26" s="129">
        <v>30120</v>
      </c>
      <c r="F26" s="21">
        <v>600</v>
      </c>
      <c r="G26" s="21"/>
      <c r="H26" s="21"/>
      <c r="I26" s="21"/>
      <c r="J26" s="21" t="s">
        <v>88</v>
      </c>
      <c r="K26" s="21"/>
      <c r="L26" s="21" t="s">
        <v>89</v>
      </c>
      <c r="M26" s="21" t="s">
        <v>112</v>
      </c>
      <c r="N26" s="21">
        <v>6441720430</v>
      </c>
      <c r="O26" s="128">
        <v>46104</v>
      </c>
      <c r="P26" s="130">
        <v>412200</v>
      </c>
      <c r="Q26" s="130">
        <v>412200</v>
      </c>
      <c r="R26" s="130">
        <f>+Tabla1[[#This Row],[TOTAL]]-Tabla1[[#This Row],[PAGO]]</f>
        <v>0</v>
      </c>
      <c r="S26" s="21" t="s">
        <v>151</v>
      </c>
      <c r="T26" s="128">
        <v>46104</v>
      </c>
      <c r="U26" s="131">
        <v>15</v>
      </c>
      <c r="V26" s="131"/>
      <c r="W26" s="131">
        <v>20</v>
      </c>
      <c r="X26" s="3"/>
      <c r="Y26" s="3"/>
      <c r="Z26" s="3"/>
      <c r="AA26" s="3"/>
      <c r="AB26" s="3"/>
      <c r="AC26" s="3"/>
      <c r="AD26" s="3"/>
    </row>
    <row r="27" spans="1:30" ht="12.75" x14ac:dyDescent="0.2">
      <c r="A27" s="92" t="s">
        <v>113</v>
      </c>
      <c r="B27" s="128">
        <v>46101</v>
      </c>
      <c r="C27" s="21"/>
      <c r="D27" s="21">
        <v>405</v>
      </c>
      <c r="E27" s="129">
        <v>29920</v>
      </c>
      <c r="F27" s="21">
        <v>600</v>
      </c>
      <c r="G27" s="21"/>
      <c r="H27" s="21"/>
      <c r="I27" s="21"/>
      <c r="J27" s="21" t="s">
        <v>114</v>
      </c>
      <c r="K27" s="21"/>
      <c r="L27" s="21" t="s">
        <v>115</v>
      </c>
      <c r="M27" s="21" t="s">
        <v>116</v>
      </c>
      <c r="N27" s="21">
        <v>5662215067</v>
      </c>
      <c r="O27" s="128">
        <v>46104</v>
      </c>
      <c r="P27" s="130">
        <v>375200</v>
      </c>
      <c r="Q27" s="130">
        <v>375200</v>
      </c>
      <c r="R27" s="130">
        <f>+Tabla1[[#This Row],[TOTAL]]-Tabla1[[#This Row],[PAGO]]</f>
        <v>0</v>
      </c>
      <c r="S27" s="21" t="s">
        <v>151</v>
      </c>
      <c r="T27" s="128">
        <v>46128</v>
      </c>
      <c r="U27" s="131">
        <v>14</v>
      </c>
      <c r="V27" s="131"/>
      <c r="W27" s="131">
        <v>18</v>
      </c>
      <c r="X27" s="3"/>
      <c r="Y27" s="3"/>
      <c r="Z27" s="3"/>
      <c r="AA27" s="3"/>
      <c r="AB27" s="3"/>
      <c r="AC27" s="3"/>
      <c r="AD27" s="3"/>
    </row>
    <row r="28" spans="1:30" ht="12.75" x14ac:dyDescent="0.2">
      <c r="A28" s="92" t="s">
        <v>108</v>
      </c>
      <c r="B28" s="128">
        <v>46101</v>
      </c>
      <c r="C28" s="21"/>
      <c r="D28" s="21">
        <v>405</v>
      </c>
      <c r="E28" s="129">
        <v>30050</v>
      </c>
      <c r="F28" s="21">
        <v>600</v>
      </c>
      <c r="G28" s="21"/>
      <c r="H28" s="21"/>
      <c r="I28" s="21"/>
      <c r="J28" s="175" t="s">
        <v>48</v>
      </c>
      <c r="K28" s="175"/>
      <c r="L28" s="175" t="s">
        <v>109</v>
      </c>
      <c r="M28" s="175" t="s">
        <v>117</v>
      </c>
      <c r="N28" s="175">
        <v>4772948609</v>
      </c>
      <c r="O28" s="176">
        <v>46104</v>
      </c>
      <c r="P28" s="179"/>
      <c r="Q28" s="177"/>
      <c r="R28" s="130">
        <f>+Tabla1[[#This Row],[TOTAL]]-Tabla1[[#This Row],[PAGO]]</f>
        <v>0</v>
      </c>
      <c r="S28" s="21"/>
      <c r="T28" s="128"/>
      <c r="U28" s="131"/>
      <c r="V28" s="131"/>
      <c r="W28" s="131">
        <v>30</v>
      </c>
      <c r="X28" s="3"/>
      <c r="Y28" s="3"/>
      <c r="Z28" s="3"/>
      <c r="AA28" s="3"/>
      <c r="AB28" s="3"/>
      <c r="AC28" s="3"/>
      <c r="AD28" s="3"/>
    </row>
    <row r="29" spans="1:30" ht="12.75" x14ac:dyDescent="0.2">
      <c r="A29" s="92" t="s">
        <v>118</v>
      </c>
      <c r="B29" s="128">
        <v>46104</v>
      </c>
      <c r="C29" s="21"/>
      <c r="D29" s="21">
        <v>405</v>
      </c>
      <c r="E29" s="129">
        <v>31160</v>
      </c>
      <c r="F29" s="21">
        <v>500</v>
      </c>
      <c r="G29" s="21">
        <v>100</v>
      </c>
      <c r="H29" s="21"/>
      <c r="I29" s="21"/>
      <c r="J29" s="21" t="s">
        <v>40</v>
      </c>
      <c r="K29" s="21"/>
      <c r="L29" s="21" t="s">
        <v>41</v>
      </c>
      <c r="M29" s="21" t="s">
        <v>119</v>
      </c>
      <c r="N29" s="21">
        <v>3334703236</v>
      </c>
      <c r="O29" s="128">
        <f>+Tabla1[[#This Row],[FECHA SALIDA]]+2</f>
        <v>46106</v>
      </c>
      <c r="P29" s="130">
        <v>443744</v>
      </c>
      <c r="Q29" s="130">
        <v>443744</v>
      </c>
      <c r="R29" s="130">
        <f>+Tabla1[[#This Row],[TOTAL]]-Tabla1[[#This Row],[PAGO]]</f>
        <v>0</v>
      </c>
      <c r="S29" s="21" t="s">
        <v>151</v>
      </c>
      <c r="T29" s="128">
        <v>46107</v>
      </c>
      <c r="U29" s="131">
        <v>16</v>
      </c>
      <c r="V29" s="131">
        <v>12</v>
      </c>
      <c r="W29" s="131">
        <v>22</v>
      </c>
      <c r="X29" s="3"/>
      <c r="Y29" s="3"/>
      <c r="Z29" s="3"/>
      <c r="AA29" s="3"/>
      <c r="AB29" s="3"/>
      <c r="AC29" s="3"/>
      <c r="AD29" s="3"/>
    </row>
    <row r="30" spans="1:30" ht="12.75" x14ac:dyDescent="0.2">
      <c r="A30" s="92" t="s">
        <v>121</v>
      </c>
      <c r="B30" s="128">
        <v>46106</v>
      </c>
      <c r="C30" s="21"/>
      <c r="D30" s="21">
        <v>405</v>
      </c>
      <c r="E30" s="129">
        <v>31440</v>
      </c>
      <c r="F30" s="21">
        <v>600</v>
      </c>
      <c r="G30" s="21"/>
      <c r="H30" s="21"/>
      <c r="I30" s="21"/>
      <c r="J30" s="175" t="s">
        <v>48</v>
      </c>
      <c r="K30" s="175"/>
      <c r="L30" s="175" t="s">
        <v>49</v>
      </c>
      <c r="M30" s="175" t="s">
        <v>122</v>
      </c>
      <c r="N30" s="175">
        <v>8444934909</v>
      </c>
      <c r="O30" s="176">
        <v>46108</v>
      </c>
      <c r="P30" s="179"/>
      <c r="Q30" s="177"/>
      <c r="R30" s="130">
        <f>+Tabla1[[#This Row],[TOTAL]]-Tabla1[[#This Row],[PAGO]]</f>
        <v>0</v>
      </c>
      <c r="S30" s="21"/>
      <c r="T30" s="128"/>
      <c r="U30" s="131"/>
      <c r="V30" s="131"/>
      <c r="W30" s="131">
        <v>25</v>
      </c>
      <c r="X30" s="3"/>
      <c r="Y30" s="3"/>
      <c r="Z30" s="3"/>
      <c r="AA30" s="3"/>
      <c r="AB30" s="3"/>
      <c r="AC30" s="3"/>
      <c r="AD30" s="3"/>
    </row>
    <row r="31" spans="1:30" ht="12.75" x14ac:dyDescent="0.2">
      <c r="A31" s="92" t="s">
        <v>123</v>
      </c>
      <c r="B31" s="128">
        <v>46106</v>
      </c>
      <c r="C31" s="21"/>
      <c r="D31" s="21">
        <v>405</v>
      </c>
      <c r="E31" s="129">
        <v>31000</v>
      </c>
      <c r="F31" s="21">
        <v>600</v>
      </c>
      <c r="G31" s="21"/>
      <c r="H31" s="21"/>
      <c r="I31" s="21"/>
      <c r="J31" s="21" t="s">
        <v>73</v>
      </c>
      <c r="K31" s="21"/>
      <c r="L31" s="21" t="s">
        <v>53</v>
      </c>
      <c r="M31" s="21" t="s">
        <v>124</v>
      </c>
      <c r="N31" s="21">
        <v>15092748188</v>
      </c>
      <c r="O31" s="128">
        <f>+Tabla1[[#This Row],[FECHA SALIDA]]+2</f>
        <v>46108</v>
      </c>
      <c r="P31" s="130">
        <v>490968</v>
      </c>
      <c r="Q31" s="130">
        <f>200000+287600+3368</f>
        <v>490968</v>
      </c>
      <c r="R31" s="130">
        <f>+Tabla1[[#This Row],[TOTAL]]-Tabla1[[#This Row],[PAGO]]</f>
        <v>0</v>
      </c>
      <c r="S31" s="21" t="s">
        <v>151</v>
      </c>
      <c r="T31" s="128">
        <v>46121</v>
      </c>
      <c r="U31" s="131">
        <v>18</v>
      </c>
      <c r="V31" s="131"/>
      <c r="W31" s="131">
        <v>25</v>
      </c>
      <c r="X31" s="3"/>
      <c r="Y31" s="3"/>
      <c r="Z31" s="3"/>
      <c r="AA31" s="3"/>
      <c r="AB31" s="3"/>
      <c r="AC31" s="3"/>
      <c r="AD31" s="3"/>
    </row>
    <row r="32" spans="1:30" ht="12.75" x14ac:dyDescent="0.2">
      <c r="A32" s="92" t="s">
        <v>125</v>
      </c>
      <c r="B32" s="128">
        <v>46107</v>
      </c>
      <c r="C32" s="21"/>
      <c r="D32" s="21">
        <v>405</v>
      </c>
      <c r="E32" s="129">
        <v>30870</v>
      </c>
      <c r="F32" s="21">
        <v>300</v>
      </c>
      <c r="G32" s="21">
        <v>300</v>
      </c>
      <c r="H32" s="21"/>
      <c r="I32" s="21"/>
      <c r="J32" s="175" t="s">
        <v>35</v>
      </c>
      <c r="K32" s="175"/>
      <c r="L32" s="175" t="s">
        <v>36</v>
      </c>
      <c r="M32" s="175" t="s">
        <v>126</v>
      </c>
      <c r="N32" s="175">
        <v>5545389067</v>
      </c>
      <c r="O32" s="176">
        <v>46109</v>
      </c>
      <c r="P32" s="177">
        <v>382050</v>
      </c>
      <c r="Q32" s="177">
        <f>100000+53065</f>
        <v>153065</v>
      </c>
      <c r="R32" s="130">
        <f>+Tabla1[[#This Row],[TOTAL]]-Tabla1[[#This Row],[PAGO]]</f>
        <v>228985</v>
      </c>
      <c r="S32" s="21" t="s">
        <v>120</v>
      </c>
      <c r="T32" s="128"/>
      <c r="U32" s="131"/>
      <c r="V32" s="131"/>
      <c r="W32" s="131">
        <v>22</v>
      </c>
      <c r="X32" s="3"/>
      <c r="Y32" s="3"/>
      <c r="Z32" s="3"/>
      <c r="AA32" s="3"/>
      <c r="AB32" s="3"/>
      <c r="AC32" s="3"/>
      <c r="AD32" s="3"/>
    </row>
    <row r="33" spans="1:30" ht="12.75" x14ac:dyDescent="0.2">
      <c r="A33" s="92" t="s">
        <v>127</v>
      </c>
      <c r="B33" s="128">
        <v>46107</v>
      </c>
      <c r="C33" s="21"/>
      <c r="D33" s="21">
        <v>405</v>
      </c>
      <c r="E33" s="129">
        <v>31150</v>
      </c>
      <c r="F33" s="21"/>
      <c r="G33" s="21">
        <v>600</v>
      </c>
      <c r="H33" s="21"/>
      <c r="I33" s="21"/>
      <c r="J33" s="21" t="s">
        <v>128</v>
      </c>
      <c r="K33" s="21"/>
      <c r="L33" s="21" t="s">
        <v>129</v>
      </c>
      <c r="M33" s="21" t="s">
        <v>130</v>
      </c>
      <c r="N33" s="21">
        <v>6682258643</v>
      </c>
      <c r="O33" s="128">
        <v>46109</v>
      </c>
      <c r="P33" s="130">
        <v>381510</v>
      </c>
      <c r="Q33" s="130">
        <f>300000+82050</f>
        <v>382050</v>
      </c>
      <c r="R33" s="130"/>
      <c r="S33" s="21" t="s">
        <v>151</v>
      </c>
      <c r="T33" s="128">
        <v>46128</v>
      </c>
      <c r="U33" s="131"/>
      <c r="V33" s="131">
        <v>13.5</v>
      </c>
      <c r="W33" s="131">
        <v>22</v>
      </c>
      <c r="X33" s="3"/>
      <c r="Y33" s="3"/>
      <c r="Z33" s="3"/>
      <c r="AA33" s="3"/>
      <c r="AB33" s="3"/>
      <c r="AC33" s="3"/>
      <c r="AD33" s="3"/>
    </row>
    <row r="34" spans="1:30" ht="12.75" x14ac:dyDescent="0.2">
      <c r="A34" s="92" t="s">
        <v>131</v>
      </c>
      <c r="B34" s="128">
        <v>46107</v>
      </c>
      <c r="C34" s="21"/>
      <c r="D34" s="21">
        <v>405</v>
      </c>
      <c r="E34" s="129">
        <v>31080</v>
      </c>
      <c r="F34" s="21">
        <v>600</v>
      </c>
      <c r="G34" s="21"/>
      <c r="H34" s="21"/>
      <c r="I34" s="21"/>
      <c r="J34" s="21" t="s">
        <v>132</v>
      </c>
      <c r="K34" s="21"/>
      <c r="L34" s="21" t="s">
        <v>53</v>
      </c>
      <c r="M34" s="21" t="s">
        <v>133</v>
      </c>
      <c r="N34" s="21">
        <v>6251037565</v>
      </c>
      <c r="O34" s="128">
        <v>46109</v>
      </c>
      <c r="P34" s="130">
        <v>473040</v>
      </c>
      <c r="Q34" s="130">
        <v>473040</v>
      </c>
      <c r="R34" s="130">
        <f>+Tabla1[[#This Row],[TOTAL]]-Tabla1[[#This Row],[PAGO]]</f>
        <v>0</v>
      </c>
      <c r="S34" s="21" t="s">
        <v>151</v>
      </c>
      <c r="T34" s="128">
        <v>46125</v>
      </c>
      <c r="U34" s="131"/>
      <c r="V34" s="131"/>
      <c r="W34" s="131">
        <v>25</v>
      </c>
      <c r="X34" s="3"/>
      <c r="Y34" s="3"/>
      <c r="Z34" s="3"/>
      <c r="AA34" s="3"/>
      <c r="AB34" s="3"/>
      <c r="AC34" s="3"/>
      <c r="AD34" s="3"/>
    </row>
    <row r="35" spans="1:30" s="147" customFormat="1" ht="12.75" x14ac:dyDescent="0.2">
      <c r="A35" s="92" t="s">
        <v>134</v>
      </c>
      <c r="B35" s="128">
        <v>46107</v>
      </c>
      <c r="C35" s="21"/>
      <c r="D35" s="21">
        <v>405</v>
      </c>
      <c r="E35" s="129">
        <v>30670</v>
      </c>
      <c r="F35" s="21">
        <v>300</v>
      </c>
      <c r="G35" s="21">
        <v>300</v>
      </c>
      <c r="H35" s="21"/>
      <c r="I35" s="21"/>
      <c r="J35" s="21" t="s">
        <v>135</v>
      </c>
      <c r="K35" s="21"/>
      <c r="L35" s="21" t="s">
        <v>136</v>
      </c>
      <c r="M35" s="21" t="s">
        <v>137</v>
      </c>
      <c r="N35" s="21">
        <v>2411038710</v>
      </c>
      <c r="O35" s="128">
        <v>46109</v>
      </c>
      <c r="P35" s="130">
        <v>418950</v>
      </c>
      <c r="Q35" s="130">
        <f>68950+90000+90000+90000+80000</f>
        <v>418950</v>
      </c>
      <c r="R35" s="130">
        <f>+Tabla1[[#This Row],[TOTAL]]-Tabla1[[#This Row],[PAGO]]</f>
        <v>0</v>
      </c>
      <c r="S35" s="21" t="s">
        <v>151</v>
      </c>
      <c r="T35" s="128">
        <v>46107</v>
      </c>
      <c r="U35" s="131">
        <v>18</v>
      </c>
      <c r="V35" s="131">
        <v>13.5</v>
      </c>
      <c r="W35" s="131">
        <v>26</v>
      </c>
      <c r="X35" s="146"/>
      <c r="Y35" s="146"/>
      <c r="Z35" s="146"/>
      <c r="AA35" s="146"/>
      <c r="AB35" s="146"/>
      <c r="AC35" s="146"/>
      <c r="AD35" s="146"/>
    </row>
    <row r="36" spans="1:30" ht="12.75" x14ac:dyDescent="0.2">
      <c r="A36" s="92" t="s">
        <v>138</v>
      </c>
      <c r="B36" s="128">
        <v>46107</v>
      </c>
      <c r="C36" s="21"/>
      <c r="D36" s="21">
        <v>405</v>
      </c>
      <c r="E36" s="129">
        <v>30880</v>
      </c>
      <c r="F36" s="21"/>
      <c r="G36" s="21">
        <v>600</v>
      </c>
      <c r="H36" s="21"/>
      <c r="I36" s="21"/>
      <c r="J36" s="21" t="s">
        <v>139</v>
      </c>
      <c r="K36" s="21"/>
      <c r="L36" s="21" t="s">
        <v>140</v>
      </c>
      <c r="M36" s="21" t="s">
        <v>141</v>
      </c>
      <c r="N36" s="21">
        <v>5579658950</v>
      </c>
      <c r="O36" s="128">
        <v>46109</v>
      </c>
      <c r="P36" s="130">
        <v>411320</v>
      </c>
      <c r="Q36" s="130">
        <f>+Tabla1[[#This Row],[TOTAL]]</f>
        <v>411320</v>
      </c>
      <c r="R36" s="130">
        <f>+Tabla1[[#This Row],[TOTAL]]-Tabla1[[#This Row],[PAGO]]</f>
        <v>0</v>
      </c>
      <c r="S36" s="21" t="s">
        <v>151</v>
      </c>
      <c r="T36" s="128">
        <v>46119</v>
      </c>
      <c r="U36" s="131"/>
      <c r="V36" s="131">
        <v>14</v>
      </c>
      <c r="W36" s="131">
        <v>20</v>
      </c>
      <c r="X36" s="3"/>
      <c r="Y36" s="3"/>
      <c r="Z36" s="3"/>
      <c r="AA36" s="3"/>
      <c r="AB36" s="3"/>
      <c r="AC36" s="3"/>
      <c r="AD36" s="3"/>
    </row>
    <row r="37" spans="1:30" ht="12.75" x14ac:dyDescent="0.2">
      <c r="A37" s="92" t="s">
        <v>142</v>
      </c>
      <c r="B37" s="128">
        <v>46111</v>
      </c>
      <c r="C37" s="21"/>
      <c r="D37" s="21" t="s">
        <v>143</v>
      </c>
      <c r="E37" s="129">
        <v>30310</v>
      </c>
      <c r="F37" s="21"/>
      <c r="G37" s="21">
        <v>600</v>
      </c>
      <c r="H37" s="21"/>
      <c r="I37" s="21"/>
      <c r="J37" s="175" t="s">
        <v>144</v>
      </c>
      <c r="K37" s="175"/>
      <c r="L37" s="175" t="s">
        <v>145</v>
      </c>
      <c r="M37" s="175" t="s">
        <v>146</v>
      </c>
      <c r="N37" s="175">
        <v>7260040279</v>
      </c>
      <c r="O37" s="176">
        <v>46113</v>
      </c>
      <c r="P37" s="179"/>
      <c r="Q37" s="177">
        <v>370000</v>
      </c>
      <c r="R37" s="130"/>
      <c r="S37" s="21"/>
      <c r="T37" s="128"/>
      <c r="U37" s="131"/>
      <c r="V37" s="131"/>
      <c r="W37" s="131">
        <v>23</v>
      </c>
    </row>
    <row r="38" spans="1:30" ht="12.75" x14ac:dyDescent="0.2">
      <c r="A38" s="92" t="s">
        <v>147</v>
      </c>
      <c r="B38" s="128">
        <v>46112</v>
      </c>
      <c r="C38" s="21"/>
      <c r="D38" s="21" t="s">
        <v>143</v>
      </c>
      <c r="E38" s="129">
        <v>30030</v>
      </c>
      <c r="F38" s="21">
        <v>600</v>
      </c>
      <c r="G38" s="21"/>
      <c r="H38" s="21"/>
      <c r="I38" s="21"/>
      <c r="J38" s="175" t="s">
        <v>48</v>
      </c>
      <c r="K38" s="175"/>
      <c r="L38" s="175" t="s">
        <v>49</v>
      </c>
      <c r="M38" s="175" t="s">
        <v>148</v>
      </c>
      <c r="N38" s="175">
        <v>4721612703</v>
      </c>
      <c r="O38" s="178">
        <v>46118</v>
      </c>
      <c r="P38" s="179"/>
      <c r="Q38" s="177"/>
      <c r="R38" s="130">
        <f>+Tabla1[[#This Row],[TOTAL]]-Tabla1[[#This Row],[PAGO]]</f>
        <v>0</v>
      </c>
      <c r="S38" s="21"/>
      <c r="T38" s="128"/>
      <c r="U38" s="131"/>
      <c r="V38" s="131"/>
      <c r="W38" s="131"/>
    </row>
    <row r="39" spans="1:30" ht="12.75" x14ac:dyDescent="0.2">
      <c r="A39" s="92" t="s">
        <v>533</v>
      </c>
      <c r="B39" s="128">
        <v>46135</v>
      </c>
      <c r="C39" s="21"/>
      <c r="D39" s="21"/>
      <c r="E39" s="129">
        <v>29990</v>
      </c>
      <c r="F39" s="21"/>
      <c r="G39" s="21"/>
      <c r="H39" s="21"/>
      <c r="I39" s="21"/>
      <c r="J39" s="21" t="s">
        <v>139</v>
      </c>
      <c r="K39" s="21"/>
      <c r="L39" s="21" t="s">
        <v>140</v>
      </c>
      <c r="M39" s="21" t="s">
        <v>534</v>
      </c>
      <c r="N39" s="21">
        <v>6688609045</v>
      </c>
      <c r="O39" s="128"/>
      <c r="P39" s="130"/>
      <c r="Q39" s="130"/>
      <c r="R39" s="130">
        <f>+Tabla1[[#This Row],[TOTAL]]-Tabla1[[#This Row],[PAGO]]</f>
        <v>0</v>
      </c>
      <c r="S39" s="21"/>
      <c r="T39" s="128"/>
      <c r="U39" s="131"/>
      <c r="V39" s="131"/>
      <c r="W39" s="131"/>
    </row>
    <row r="40" spans="1:30" ht="12.75" x14ac:dyDescent="0.2">
      <c r="A40" s="21" t="s">
        <v>149</v>
      </c>
      <c r="B40" s="21"/>
      <c r="C40" s="21"/>
      <c r="D40" s="21"/>
      <c r="E40" s="39">
        <f>SUBTOTAL(109,Tabla1[PESO NETO KGS])</f>
        <v>1116050</v>
      </c>
      <c r="F40" s="21">
        <f>SUBTOTAL(109,Tabla1[ARPILLAS 1ERAS Y 2DAS])</f>
        <v>18400</v>
      </c>
      <c r="G40" s="21">
        <f>SUBTOTAL(109,Tabla1[ARPILLAS 3RAS, 4TAS])</f>
        <v>2900</v>
      </c>
      <c r="H40" s="21">
        <f>SUBTOTAL(109,Tabla1[ARPILLAS 4TAS])</f>
        <v>0</v>
      </c>
      <c r="I40" s="21">
        <f>SUBTOTAL(109,Tabla1[ARPILLAS 5TAS])</f>
        <v>0</v>
      </c>
      <c r="J40" s="21"/>
      <c r="K40" s="21"/>
      <c r="L40" s="21"/>
      <c r="M40" s="21"/>
      <c r="N40" s="21"/>
      <c r="O40" s="21"/>
      <c r="P40" s="40">
        <f>SUBTOTAL(109,Tabla1[TOTAL])</f>
        <v>10792810</v>
      </c>
      <c r="Q40" s="40">
        <f>SUBTOTAL(109,Tabla1[PAGO])</f>
        <v>9754555</v>
      </c>
      <c r="R40" s="40">
        <f>SUBTOTAL(109,Tabla1[DIF POR PAGAR])</f>
        <v>1917845</v>
      </c>
      <c r="S40" s="21"/>
      <c r="T40" s="21"/>
      <c r="U40" s="21"/>
      <c r="V40" s="21"/>
      <c r="W40" s="40"/>
    </row>
    <row r="41" spans="1:30" ht="12.75" x14ac:dyDescent="0.2">
      <c r="E41" s="22"/>
      <c r="F41" s="22"/>
      <c r="G41" s="22"/>
      <c r="H41" s="38">
        <f>SUM(H3:H39)</f>
        <v>0</v>
      </c>
      <c r="I41" s="7"/>
      <c r="K41" s="2"/>
      <c r="L41" s="2"/>
      <c r="M41" s="2"/>
      <c r="N41" s="2"/>
      <c r="O41" s="2"/>
      <c r="P41" s="1"/>
      <c r="Q41" s="1"/>
      <c r="R41" s="1"/>
    </row>
    <row r="42" spans="1:30" ht="12.75" x14ac:dyDescent="0.2">
      <c r="Q42" s="18"/>
    </row>
    <row r="43" spans="1:30" ht="12.75" x14ac:dyDescent="0.2">
      <c r="E43" s="6"/>
      <c r="F43" s="6" t="s">
        <v>150</v>
      </c>
    </row>
    <row r="44" spans="1:30" ht="12.75" x14ac:dyDescent="0.2">
      <c r="J44" s="8"/>
      <c r="K44" s="2"/>
      <c r="L44" s="2"/>
      <c r="M44" s="2"/>
      <c r="N44" s="2"/>
      <c r="Q44" s="1"/>
    </row>
    <row r="45" spans="1:30" ht="12.75" x14ac:dyDescent="0.2">
      <c r="J45" s="8"/>
    </row>
    <row r="46" spans="1:30" ht="12.75" x14ac:dyDescent="0.2">
      <c r="J46" s="8"/>
    </row>
    <row r="47" spans="1:30" ht="12.75" x14ac:dyDescent="0.2">
      <c r="E47" s="8"/>
    </row>
    <row r="48" spans="1:30" ht="15.75" customHeight="1" x14ac:dyDescent="0.2">
      <c r="O48" s="8"/>
    </row>
    <row r="49" spans="11:15" ht="15.75" customHeight="1" x14ac:dyDescent="0.2">
      <c r="K49" s="1"/>
      <c r="O49" s="8"/>
    </row>
    <row r="50" spans="11:15" ht="15.75" customHeight="1" x14ac:dyDescent="0.2">
      <c r="O50" s="8"/>
    </row>
  </sheetData>
  <mergeCells count="1">
    <mergeCell ref="A1:S1"/>
  </mergeCells>
  <phoneticPr fontId="23" type="noConversion"/>
  <printOptions horizontalCentered="1" gridLines="1"/>
  <pageMargins left="0.7" right="0.7" top="0.75" bottom="0.75" header="0" footer="0"/>
  <pageSetup scale="38" fitToHeight="0" pageOrder="overThenDown" orientation="landscape" cellComments="atEnd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86AB-4960-4C42-933A-8FB88D8EFC1A}">
  <dimension ref="A1:H89"/>
  <sheetViews>
    <sheetView topLeftCell="A58" workbookViewId="0">
      <selection activeCell="F86" sqref="F86"/>
    </sheetView>
  </sheetViews>
  <sheetFormatPr baseColWidth="10" defaultRowHeight="12.75" x14ac:dyDescent="0.2"/>
  <cols>
    <col min="1" max="1" width="23.28515625" bestFit="1" customWidth="1"/>
    <col min="2" max="2" width="12.7109375" bestFit="1" customWidth="1"/>
    <col min="3" max="3" width="9.140625" bestFit="1" customWidth="1"/>
    <col min="4" max="4" width="8.5703125" bestFit="1" customWidth="1"/>
    <col min="5" max="5" width="6" bestFit="1" customWidth="1"/>
    <col min="6" max="6" width="11.7109375" bestFit="1" customWidth="1"/>
    <col min="7" max="7" width="10.7109375" bestFit="1" customWidth="1"/>
    <col min="8" max="8" width="12" customWidth="1"/>
    <col min="9" max="11" width="9.140625"/>
  </cols>
  <sheetData>
    <row r="1" spans="1:8" ht="18.75" x14ac:dyDescent="0.3">
      <c r="A1" s="192" t="s">
        <v>539</v>
      </c>
    </row>
    <row r="2" spans="1:8" ht="15.75" x14ac:dyDescent="0.25">
      <c r="A2" s="193" t="s">
        <v>540</v>
      </c>
    </row>
    <row r="3" spans="1:8" ht="15" x14ac:dyDescent="0.25">
      <c r="A3" s="194" t="s">
        <v>541</v>
      </c>
    </row>
    <row r="4" spans="1:8" x14ac:dyDescent="0.2">
      <c r="A4" t="s">
        <v>542</v>
      </c>
    </row>
    <row r="6" spans="1:8" ht="15" x14ac:dyDescent="0.2">
      <c r="A6" s="195" t="s">
        <v>152</v>
      </c>
      <c r="B6" s="195" t="s">
        <v>645</v>
      </c>
      <c r="C6" s="195" t="s">
        <v>22</v>
      </c>
      <c r="D6" s="195" t="s">
        <v>543</v>
      </c>
      <c r="E6" s="195" t="s">
        <v>544</v>
      </c>
      <c r="F6" s="195" t="s">
        <v>646</v>
      </c>
      <c r="G6" s="195" t="s">
        <v>545</v>
      </c>
      <c r="H6" s="195" t="s">
        <v>546</v>
      </c>
    </row>
    <row r="7" spans="1:8" x14ac:dyDescent="0.2">
      <c r="A7" s="196" t="s">
        <v>547</v>
      </c>
      <c r="B7" s="196" t="s">
        <v>548</v>
      </c>
      <c r="C7" s="196" t="s">
        <v>482</v>
      </c>
      <c r="D7" s="196">
        <v>1</v>
      </c>
      <c r="E7" s="196">
        <v>600</v>
      </c>
      <c r="F7" s="197">
        <v>30320</v>
      </c>
      <c r="G7" s="197">
        <v>942.91</v>
      </c>
      <c r="H7" s="197">
        <v>29377</v>
      </c>
    </row>
    <row r="8" spans="1:8" x14ac:dyDescent="0.2">
      <c r="A8" s="196" t="s">
        <v>547</v>
      </c>
      <c r="B8" s="196" t="s">
        <v>549</v>
      </c>
      <c r="C8" s="196" t="s">
        <v>482</v>
      </c>
      <c r="D8" s="196">
        <v>1</v>
      </c>
      <c r="E8" s="196">
        <v>504</v>
      </c>
      <c r="F8" s="197">
        <v>25470</v>
      </c>
      <c r="G8" s="197">
        <v>1309.0999999999999</v>
      </c>
      <c r="H8" s="197">
        <v>24161</v>
      </c>
    </row>
    <row r="9" spans="1:8" x14ac:dyDescent="0.2">
      <c r="A9" s="196" t="s">
        <v>550</v>
      </c>
      <c r="B9" s="196" t="s">
        <v>551</v>
      </c>
      <c r="C9" s="196" t="s">
        <v>482</v>
      </c>
      <c r="D9" s="196">
        <v>1</v>
      </c>
      <c r="E9" s="196">
        <v>600</v>
      </c>
      <c r="F9" s="197">
        <v>30190</v>
      </c>
      <c r="G9" s="197">
        <v>1301.1500000000001</v>
      </c>
      <c r="H9" s="197">
        <v>28889</v>
      </c>
    </row>
    <row r="10" spans="1:8" x14ac:dyDescent="0.2">
      <c r="A10" s="196" t="s">
        <v>550</v>
      </c>
      <c r="B10" s="196" t="s">
        <v>552</v>
      </c>
      <c r="C10" s="196" t="s">
        <v>482</v>
      </c>
      <c r="D10" s="196">
        <v>1</v>
      </c>
      <c r="E10" s="196">
        <v>600</v>
      </c>
      <c r="F10" s="197">
        <v>30230</v>
      </c>
      <c r="G10" s="197">
        <v>876.63</v>
      </c>
      <c r="H10" s="197">
        <v>29353</v>
      </c>
    </row>
    <row r="11" spans="1:8" x14ac:dyDescent="0.2">
      <c r="A11" s="196" t="s">
        <v>550</v>
      </c>
      <c r="B11" s="196" t="s">
        <v>553</v>
      </c>
      <c r="C11" s="196" t="s">
        <v>482</v>
      </c>
      <c r="D11" s="196">
        <v>1</v>
      </c>
      <c r="E11" s="196">
        <v>300</v>
      </c>
      <c r="F11" s="197">
        <v>15170</v>
      </c>
      <c r="G11" s="197">
        <v>782.74</v>
      </c>
      <c r="H11" s="197">
        <v>14387</v>
      </c>
    </row>
    <row r="12" spans="1:8" x14ac:dyDescent="0.2">
      <c r="A12" s="196" t="s">
        <v>554</v>
      </c>
      <c r="B12" s="196" t="s">
        <v>555</v>
      </c>
      <c r="C12" s="196" t="s">
        <v>482</v>
      </c>
      <c r="D12" s="196">
        <v>1</v>
      </c>
      <c r="E12" s="196">
        <v>600</v>
      </c>
      <c r="F12" s="197">
        <v>29970</v>
      </c>
      <c r="G12" s="197">
        <v>857.14</v>
      </c>
      <c r="H12" s="197">
        <v>29113</v>
      </c>
    </row>
    <row r="13" spans="1:8" x14ac:dyDescent="0.2">
      <c r="A13" s="196" t="s">
        <v>554</v>
      </c>
      <c r="B13" s="196" t="s">
        <v>556</v>
      </c>
      <c r="C13" s="196" t="s">
        <v>482</v>
      </c>
      <c r="D13" s="196">
        <v>1</v>
      </c>
      <c r="E13" s="196">
        <v>600</v>
      </c>
      <c r="F13" s="197">
        <v>30040</v>
      </c>
      <c r="G13" s="197">
        <v>420.52</v>
      </c>
      <c r="H13" s="197">
        <v>29619</v>
      </c>
    </row>
    <row r="14" spans="1:8" x14ac:dyDescent="0.2">
      <c r="A14" s="196" t="s">
        <v>554</v>
      </c>
      <c r="B14" s="196" t="s">
        <v>557</v>
      </c>
      <c r="C14" s="196" t="s">
        <v>482</v>
      </c>
      <c r="D14" s="196">
        <v>1</v>
      </c>
      <c r="E14" s="196">
        <v>600</v>
      </c>
      <c r="F14" s="197">
        <v>30460</v>
      </c>
      <c r="G14" s="197">
        <v>590.88</v>
      </c>
      <c r="H14" s="197">
        <v>29869</v>
      </c>
    </row>
    <row r="15" spans="1:8" x14ac:dyDescent="0.2">
      <c r="A15" s="196" t="s">
        <v>558</v>
      </c>
      <c r="B15" s="196" t="s">
        <v>559</v>
      </c>
      <c r="C15" s="196" t="s">
        <v>482</v>
      </c>
      <c r="D15" s="196">
        <v>1</v>
      </c>
      <c r="E15" s="196">
        <v>600</v>
      </c>
      <c r="F15" s="197">
        <v>29850</v>
      </c>
      <c r="G15" s="197">
        <v>2334.2399999999998</v>
      </c>
      <c r="H15" s="197">
        <v>27516</v>
      </c>
    </row>
    <row r="16" spans="1:8" x14ac:dyDescent="0.2">
      <c r="A16" s="196" t="s">
        <v>558</v>
      </c>
      <c r="B16" s="196" t="s">
        <v>560</v>
      </c>
      <c r="C16" s="196" t="s">
        <v>482</v>
      </c>
      <c r="D16" s="196">
        <v>1</v>
      </c>
      <c r="E16" s="196">
        <v>600</v>
      </c>
      <c r="F16" s="197">
        <v>30480</v>
      </c>
      <c r="G16" s="197">
        <v>746.72</v>
      </c>
      <c r="H16" s="197">
        <v>29733</v>
      </c>
    </row>
    <row r="17" spans="1:8" x14ac:dyDescent="0.2">
      <c r="A17" s="196" t="s">
        <v>558</v>
      </c>
      <c r="B17" s="196" t="s">
        <v>561</v>
      </c>
      <c r="C17" s="196" t="s">
        <v>482</v>
      </c>
      <c r="D17" s="196">
        <v>1</v>
      </c>
      <c r="E17" s="196">
        <v>600</v>
      </c>
      <c r="F17" s="197">
        <v>30220</v>
      </c>
      <c r="G17" s="197">
        <v>1680.26</v>
      </c>
      <c r="H17" s="197">
        <v>28540</v>
      </c>
    </row>
    <row r="18" spans="1:8" x14ac:dyDescent="0.2">
      <c r="A18" s="196" t="s">
        <v>562</v>
      </c>
      <c r="B18" s="196" t="s">
        <v>563</v>
      </c>
      <c r="C18" s="196" t="s">
        <v>482</v>
      </c>
      <c r="D18" s="196">
        <v>1</v>
      </c>
      <c r="E18" s="196">
        <v>600</v>
      </c>
      <c r="F18" s="197">
        <v>30570</v>
      </c>
      <c r="G18" s="197">
        <v>388.23</v>
      </c>
      <c r="H18" s="197">
        <v>30182</v>
      </c>
    </row>
    <row r="19" spans="1:8" x14ac:dyDescent="0.2">
      <c r="A19" s="196" t="s">
        <v>562</v>
      </c>
      <c r="B19" s="196" t="s">
        <v>564</v>
      </c>
      <c r="C19" s="196" t="s">
        <v>482</v>
      </c>
      <c r="D19" s="196">
        <v>1</v>
      </c>
      <c r="E19" s="196">
        <v>600</v>
      </c>
      <c r="F19" s="197">
        <v>30470</v>
      </c>
      <c r="G19" s="197">
        <v>1197.42</v>
      </c>
      <c r="H19" s="197">
        <v>29273</v>
      </c>
    </row>
    <row r="20" spans="1:8" x14ac:dyDescent="0.2">
      <c r="A20" s="196" t="s">
        <v>562</v>
      </c>
      <c r="B20" s="196" t="s">
        <v>565</v>
      </c>
      <c r="C20" s="196" t="s">
        <v>482</v>
      </c>
      <c r="D20" s="196">
        <v>1</v>
      </c>
      <c r="E20" s="196">
        <v>600</v>
      </c>
      <c r="F20" s="197">
        <v>30380</v>
      </c>
      <c r="G20" s="197">
        <v>941.76</v>
      </c>
      <c r="H20" s="197">
        <v>29438</v>
      </c>
    </row>
    <row r="21" spans="1:8" x14ac:dyDescent="0.2">
      <c r="A21" s="196" t="s">
        <v>566</v>
      </c>
      <c r="B21" s="196" t="s">
        <v>567</v>
      </c>
      <c r="C21" s="196" t="s">
        <v>482</v>
      </c>
      <c r="D21" s="196">
        <v>1</v>
      </c>
      <c r="E21" s="196">
        <v>600</v>
      </c>
      <c r="F21" s="197">
        <v>30270</v>
      </c>
      <c r="G21" s="197">
        <v>1713.26</v>
      </c>
      <c r="H21" s="197">
        <v>28557</v>
      </c>
    </row>
    <row r="22" spans="1:8" x14ac:dyDescent="0.2">
      <c r="A22" s="196" t="s">
        <v>566</v>
      </c>
      <c r="B22" s="196" t="s">
        <v>568</v>
      </c>
      <c r="C22" s="196" t="s">
        <v>482</v>
      </c>
      <c r="D22" s="196">
        <v>1</v>
      </c>
      <c r="E22" s="196">
        <v>600</v>
      </c>
      <c r="F22" s="197">
        <v>30020</v>
      </c>
      <c r="G22" s="197">
        <v>1230.79</v>
      </c>
      <c r="H22" s="197">
        <v>28789</v>
      </c>
    </row>
    <row r="23" spans="1:8" x14ac:dyDescent="0.2">
      <c r="A23" s="196" t="s">
        <v>566</v>
      </c>
      <c r="B23" s="196" t="s">
        <v>569</v>
      </c>
      <c r="C23" s="196" t="s">
        <v>482</v>
      </c>
      <c r="D23" s="196">
        <v>1</v>
      </c>
      <c r="E23" s="196">
        <v>600</v>
      </c>
      <c r="F23" s="197">
        <v>30250</v>
      </c>
      <c r="G23" s="197">
        <v>807.69</v>
      </c>
      <c r="H23" s="197">
        <v>29442</v>
      </c>
    </row>
    <row r="24" spans="1:8" x14ac:dyDescent="0.2">
      <c r="A24" s="196" t="s">
        <v>570</v>
      </c>
      <c r="B24" s="196" t="s">
        <v>571</v>
      </c>
      <c r="C24" s="196" t="s">
        <v>482</v>
      </c>
      <c r="D24" s="196">
        <v>1</v>
      </c>
      <c r="E24" s="196">
        <v>163</v>
      </c>
      <c r="F24" s="197">
        <v>8280</v>
      </c>
      <c r="G24" s="197">
        <v>380.08</v>
      </c>
      <c r="H24" s="197">
        <v>7900</v>
      </c>
    </row>
    <row r="25" spans="1:8" x14ac:dyDescent="0.2">
      <c r="A25" s="196" t="s">
        <v>570</v>
      </c>
      <c r="B25" s="196" t="s">
        <v>572</v>
      </c>
      <c r="C25" s="196" t="s">
        <v>482</v>
      </c>
      <c r="D25" s="196">
        <v>1</v>
      </c>
      <c r="E25" s="196">
        <v>600</v>
      </c>
      <c r="F25" s="197">
        <v>30220</v>
      </c>
      <c r="G25" s="197">
        <v>876.35</v>
      </c>
      <c r="H25" s="197">
        <v>29344</v>
      </c>
    </row>
    <row r="26" spans="1:8" x14ac:dyDescent="0.2">
      <c r="A26" s="196" t="s">
        <v>570</v>
      </c>
      <c r="B26" s="196" t="s">
        <v>573</v>
      </c>
      <c r="C26" s="196" t="s">
        <v>482</v>
      </c>
      <c r="D26" s="196">
        <v>1</v>
      </c>
      <c r="E26" s="196">
        <v>288</v>
      </c>
      <c r="F26" s="197">
        <v>13950</v>
      </c>
      <c r="G26" s="197">
        <v>525.91999999999996</v>
      </c>
      <c r="H26" s="197">
        <v>13424</v>
      </c>
    </row>
    <row r="27" spans="1:8" x14ac:dyDescent="0.2">
      <c r="A27" s="196" t="s">
        <v>574</v>
      </c>
      <c r="B27" s="196" t="s">
        <v>575</v>
      </c>
      <c r="C27" s="196" t="s">
        <v>482</v>
      </c>
      <c r="D27" s="196">
        <v>1</v>
      </c>
      <c r="E27" s="196">
        <v>600</v>
      </c>
      <c r="F27" s="197">
        <v>30920</v>
      </c>
      <c r="G27" s="197">
        <v>1372.82</v>
      </c>
      <c r="H27" s="197">
        <v>29547</v>
      </c>
    </row>
    <row r="28" spans="1:8" x14ac:dyDescent="0.2">
      <c r="A28" s="196" t="s">
        <v>574</v>
      </c>
      <c r="B28" s="196" t="s">
        <v>576</v>
      </c>
      <c r="C28" s="196" t="s">
        <v>482</v>
      </c>
      <c r="D28" s="196">
        <v>1</v>
      </c>
      <c r="E28" s="196">
        <v>615</v>
      </c>
      <c r="F28" s="197">
        <v>30940</v>
      </c>
      <c r="G28" s="197">
        <v>1113.8</v>
      </c>
      <c r="H28" s="197">
        <v>29826</v>
      </c>
    </row>
    <row r="29" spans="1:8" x14ac:dyDescent="0.2">
      <c r="A29" s="196" t="s">
        <v>577</v>
      </c>
      <c r="B29" s="196" t="s">
        <v>578</v>
      </c>
      <c r="C29" s="196" t="s">
        <v>482</v>
      </c>
      <c r="D29" s="196">
        <v>1</v>
      </c>
      <c r="E29" s="196">
        <v>600</v>
      </c>
      <c r="F29" s="197">
        <v>31030</v>
      </c>
      <c r="G29" s="197">
        <v>1272.2</v>
      </c>
      <c r="H29" s="197">
        <v>29758</v>
      </c>
    </row>
    <row r="30" spans="1:8" x14ac:dyDescent="0.2">
      <c r="A30" s="196" t="s">
        <v>577</v>
      </c>
      <c r="B30" s="196" t="s">
        <v>579</v>
      </c>
      <c r="C30" s="196" t="s">
        <v>482</v>
      </c>
      <c r="D30" s="196">
        <v>1</v>
      </c>
      <c r="E30" s="196">
        <v>600</v>
      </c>
      <c r="F30" s="197">
        <v>31500</v>
      </c>
      <c r="G30" s="197">
        <v>1165.47</v>
      </c>
      <c r="H30" s="197">
        <v>30335</v>
      </c>
    </row>
    <row r="31" spans="1:8" x14ac:dyDescent="0.2">
      <c r="A31" s="196" t="s">
        <v>577</v>
      </c>
      <c r="B31" s="196" t="s">
        <v>580</v>
      </c>
      <c r="C31" s="196" t="s">
        <v>482</v>
      </c>
      <c r="D31" s="196">
        <v>1</v>
      </c>
      <c r="E31" s="196">
        <v>600</v>
      </c>
      <c r="F31" s="197">
        <v>30240</v>
      </c>
      <c r="G31" s="197">
        <v>1179.3599999999999</v>
      </c>
      <c r="H31" s="197">
        <v>29061</v>
      </c>
    </row>
    <row r="32" spans="1:8" x14ac:dyDescent="0.2">
      <c r="A32" s="196" t="s">
        <v>577</v>
      </c>
      <c r="B32" s="196" t="s">
        <v>581</v>
      </c>
      <c r="C32" s="196" t="s">
        <v>482</v>
      </c>
      <c r="D32" s="196">
        <v>1</v>
      </c>
      <c r="E32" s="196">
        <v>600</v>
      </c>
      <c r="F32" s="197">
        <v>30870</v>
      </c>
      <c r="G32" s="197">
        <v>1219.3699999999999</v>
      </c>
      <c r="H32" s="197">
        <v>29651</v>
      </c>
    </row>
    <row r="33" spans="1:8" x14ac:dyDescent="0.2">
      <c r="A33" s="196" t="s">
        <v>577</v>
      </c>
      <c r="B33" s="196" t="s">
        <v>582</v>
      </c>
      <c r="C33" s="196" t="s">
        <v>482</v>
      </c>
      <c r="D33" s="196">
        <v>1</v>
      </c>
      <c r="E33" s="196">
        <v>600</v>
      </c>
      <c r="F33" s="197">
        <v>30040</v>
      </c>
      <c r="G33" s="197">
        <v>1216.6199999999999</v>
      </c>
      <c r="H33" s="197">
        <v>28823</v>
      </c>
    </row>
    <row r="34" spans="1:8" x14ac:dyDescent="0.2">
      <c r="A34" s="196" t="s">
        <v>577</v>
      </c>
      <c r="B34" s="196" t="s">
        <v>583</v>
      </c>
      <c r="C34" s="196" t="s">
        <v>482</v>
      </c>
      <c r="D34" s="196">
        <v>1</v>
      </c>
      <c r="E34" s="196">
        <v>356</v>
      </c>
      <c r="F34" s="197">
        <v>28040</v>
      </c>
      <c r="G34" s="197">
        <v>1065.48</v>
      </c>
      <c r="H34" s="197">
        <v>26975</v>
      </c>
    </row>
    <row r="35" spans="1:8" x14ac:dyDescent="0.2">
      <c r="A35" s="196" t="s">
        <v>584</v>
      </c>
      <c r="B35" s="196" t="s">
        <v>585</v>
      </c>
      <c r="C35" s="196" t="s">
        <v>482</v>
      </c>
      <c r="D35" s="196">
        <v>1</v>
      </c>
      <c r="E35" s="196">
        <v>600</v>
      </c>
      <c r="F35" s="197">
        <v>32110</v>
      </c>
      <c r="G35" s="197">
        <v>1139.9100000000001</v>
      </c>
      <c r="H35" s="197">
        <v>30970</v>
      </c>
    </row>
    <row r="36" spans="1:8" x14ac:dyDescent="0.2">
      <c r="A36" s="196" t="s">
        <v>584</v>
      </c>
      <c r="B36" s="196" t="s">
        <v>586</v>
      </c>
      <c r="C36" s="196" t="s">
        <v>482</v>
      </c>
      <c r="D36" s="196">
        <v>1</v>
      </c>
      <c r="E36" s="196">
        <v>600</v>
      </c>
      <c r="F36" s="197">
        <v>30410</v>
      </c>
      <c r="G36" s="197">
        <v>842.36</v>
      </c>
      <c r="H36" s="197">
        <v>29568</v>
      </c>
    </row>
    <row r="37" spans="1:8" x14ac:dyDescent="0.2">
      <c r="A37" s="196" t="s">
        <v>584</v>
      </c>
      <c r="B37" s="196" t="s">
        <v>587</v>
      </c>
      <c r="C37" s="196" t="s">
        <v>482</v>
      </c>
      <c r="D37" s="196">
        <v>1</v>
      </c>
      <c r="E37" s="196">
        <v>600</v>
      </c>
      <c r="F37" s="197">
        <v>30550</v>
      </c>
      <c r="G37" s="197">
        <v>1108.93</v>
      </c>
      <c r="H37" s="197">
        <v>29441</v>
      </c>
    </row>
    <row r="38" spans="1:8" x14ac:dyDescent="0.2">
      <c r="A38" s="196" t="s">
        <v>588</v>
      </c>
      <c r="B38" s="196" t="s">
        <v>589</v>
      </c>
      <c r="C38" s="196" t="s">
        <v>482</v>
      </c>
      <c r="D38" s="196">
        <v>1</v>
      </c>
      <c r="E38" s="196">
        <v>168</v>
      </c>
      <c r="F38" s="197">
        <v>8320</v>
      </c>
      <c r="G38" s="197">
        <v>332.8</v>
      </c>
      <c r="H38" s="197">
        <v>7987</v>
      </c>
    </row>
    <row r="39" spans="1:8" x14ac:dyDescent="0.2">
      <c r="A39" s="196" t="s">
        <v>590</v>
      </c>
      <c r="B39" s="196" t="s">
        <v>591</v>
      </c>
      <c r="C39" s="196" t="s">
        <v>482</v>
      </c>
      <c r="D39" s="196">
        <v>1</v>
      </c>
      <c r="E39" s="196">
        <v>300</v>
      </c>
      <c r="F39" s="197">
        <v>15270</v>
      </c>
      <c r="G39" s="197">
        <v>442.83</v>
      </c>
      <c r="H39" s="197">
        <v>14827</v>
      </c>
    </row>
    <row r="40" spans="1:8" x14ac:dyDescent="0.2">
      <c r="A40" s="196" t="s">
        <v>590</v>
      </c>
      <c r="B40" s="196" t="s">
        <v>592</v>
      </c>
      <c r="C40" s="196" t="s">
        <v>482</v>
      </c>
      <c r="D40" s="196">
        <v>1</v>
      </c>
      <c r="E40" s="196">
        <v>600</v>
      </c>
      <c r="F40" s="197">
        <v>30610</v>
      </c>
      <c r="G40" s="197">
        <v>1255.01</v>
      </c>
      <c r="H40" s="197">
        <v>29355</v>
      </c>
    </row>
    <row r="41" spans="1:8" x14ac:dyDescent="0.2">
      <c r="A41" s="196" t="s">
        <v>593</v>
      </c>
      <c r="B41" s="196" t="s">
        <v>594</v>
      </c>
      <c r="C41" s="196" t="s">
        <v>482</v>
      </c>
      <c r="D41" s="196">
        <v>1</v>
      </c>
      <c r="E41" s="196">
        <v>354</v>
      </c>
      <c r="F41" s="197">
        <v>17790</v>
      </c>
      <c r="G41" s="197">
        <v>640.44000000000005</v>
      </c>
      <c r="H41" s="197">
        <v>17150</v>
      </c>
    </row>
    <row r="42" spans="1:8" x14ac:dyDescent="0.2">
      <c r="A42" s="196" t="s">
        <v>593</v>
      </c>
      <c r="B42" s="196" t="s">
        <v>595</v>
      </c>
      <c r="C42" s="196" t="s">
        <v>482</v>
      </c>
      <c r="D42" s="196">
        <v>1</v>
      </c>
      <c r="E42" s="196">
        <v>595</v>
      </c>
      <c r="F42" s="197">
        <v>30920</v>
      </c>
      <c r="G42" s="197">
        <v>1595.47</v>
      </c>
      <c r="H42" s="197">
        <v>29325</v>
      </c>
    </row>
    <row r="43" spans="1:8" x14ac:dyDescent="0.2">
      <c r="A43" s="196" t="s">
        <v>593</v>
      </c>
      <c r="B43" s="196" t="s">
        <v>596</v>
      </c>
      <c r="C43" s="196" t="s">
        <v>482</v>
      </c>
      <c r="D43" s="196">
        <v>1</v>
      </c>
      <c r="E43" s="196">
        <v>600</v>
      </c>
      <c r="F43" s="197">
        <v>29760</v>
      </c>
      <c r="G43" s="197">
        <v>925.56</v>
      </c>
      <c r="H43" s="197">
        <v>28834</v>
      </c>
    </row>
    <row r="44" spans="1:8" x14ac:dyDescent="0.2">
      <c r="A44" s="196" t="s">
        <v>593</v>
      </c>
      <c r="B44" s="196" t="s">
        <v>597</v>
      </c>
      <c r="C44" s="196" t="s">
        <v>482</v>
      </c>
      <c r="D44" s="196">
        <v>1</v>
      </c>
      <c r="E44" s="196">
        <v>600</v>
      </c>
      <c r="F44" s="197">
        <v>30430</v>
      </c>
      <c r="G44" s="197">
        <v>1351.05</v>
      </c>
      <c r="H44" s="197">
        <v>29079</v>
      </c>
    </row>
    <row r="45" spans="1:8" x14ac:dyDescent="0.2">
      <c r="A45" s="196" t="s">
        <v>593</v>
      </c>
      <c r="B45" s="196" t="s">
        <v>598</v>
      </c>
      <c r="C45" s="196" t="s">
        <v>482</v>
      </c>
      <c r="D45" s="196">
        <v>1</v>
      </c>
      <c r="E45" s="196">
        <v>272</v>
      </c>
      <c r="F45" s="197">
        <v>12800</v>
      </c>
      <c r="G45" s="197">
        <v>587.52</v>
      </c>
      <c r="H45" s="197">
        <v>12212</v>
      </c>
    </row>
    <row r="46" spans="1:8" x14ac:dyDescent="0.2">
      <c r="A46" s="196" t="s">
        <v>599</v>
      </c>
      <c r="B46" s="196" t="s">
        <v>600</v>
      </c>
      <c r="C46" s="196" t="s">
        <v>482</v>
      </c>
      <c r="D46" s="196">
        <v>1</v>
      </c>
      <c r="E46" s="196">
        <v>538</v>
      </c>
      <c r="F46" s="197">
        <v>27440</v>
      </c>
      <c r="G46" s="197">
        <v>532.29999999999995</v>
      </c>
      <c r="H46" s="197">
        <v>26908</v>
      </c>
    </row>
    <row r="47" spans="1:8" x14ac:dyDescent="0.2">
      <c r="A47" s="196" t="s">
        <v>599</v>
      </c>
      <c r="B47" s="196" t="s">
        <v>601</v>
      </c>
      <c r="C47" s="196" t="s">
        <v>482</v>
      </c>
      <c r="D47" s="196">
        <v>1</v>
      </c>
      <c r="E47" s="196">
        <v>600</v>
      </c>
      <c r="F47" s="197">
        <v>30990</v>
      </c>
      <c r="G47" s="197">
        <v>1723</v>
      </c>
      <c r="H47" s="197">
        <v>29267</v>
      </c>
    </row>
    <row r="48" spans="1:8" x14ac:dyDescent="0.2">
      <c r="A48" s="196" t="s">
        <v>599</v>
      </c>
      <c r="B48" s="196" t="s">
        <v>602</v>
      </c>
      <c r="C48" s="196" t="s">
        <v>482</v>
      </c>
      <c r="D48" s="196">
        <v>1</v>
      </c>
      <c r="E48" s="196">
        <v>600</v>
      </c>
      <c r="F48" s="197">
        <v>30690</v>
      </c>
      <c r="G48" s="197">
        <v>1212.2</v>
      </c>
      <c r="H48" s="197">
        <v>29478</v>
      </c>
    </row>
    <row r="49" spans="1:8" x14ac:dyDescent="0.2">
      <c r="A49" s="196" t="s">
        <v>599</v>
      </c>
      <c r="B49" s="196" t="s">
        <v>603</v>
      </c>
      <c r="C49" s="196" t="s">
        <v>482</v>
      </c>
      <c r="D49" s="196">
        <v>1</v>
      </c>
      <c r="E49" s="196">
        <v>600</v>
      </c>
      <c r="F49" s="197">
        <v>30470</v>
      </c>
      <c r="G49" s="197">
        <v>1249.28</v>
      </c>
      <c r="H49" s="197">
        <v>29221</v>
      </c>
    </row>
    <row r="50" spans="1:8" x14ac:dyDescent="0.2">
      <c r="A50" s="196" t="s">
        <v>604</v>
      </c>
      <c r="B50" s="196" t="s">
        <v>605</v>
      </c>
      <c r="C50" s="196" t="s">
        <v>482</v>
      </c>
      <c r="D50" s="196">
        <v>1</v>
      </c>
      <c r="E50" s="196">
        <v>600</v>
      </c>
      <c r="F50" s="197">
        <v>30590</v>
      </c>
      <c r="G50" s="197">
        <v>428.22</v>
      </c>
      <c r="H50" s="197">
        <v>30162</v>
      </c>
    </row>
    <row r="51" spans="1:8" x14ac:dyDescent="0.2">
      <c r="A51" s="196" t="s">
        <v>604</v>
      </c>
      <c r="B51" s="196" t="s">
        <v>606</v>
      </c>
      <c r="C51" s="196" t="s">
        <v>482</v>
      </c>
      <c r="D51" s="196">
        <v>1</v>
      </c>
      <c r="E51" s="196">
        <v>600</v>
      </c>
      <c r="F51" s="197">
        <v>31000</v>
      </c>
      <c r="G51" s="197">
        <v>759.45</v>
      </c>
      <c r="H51" s="197">
        <v>30241</v>
      </c>
    </row>
    <row r="52" spans="1:8" x14ac:dyDescent="0.2">
      <c r="A52" s="196" t="s">
        <v>604</v>
      </c>
      <c r="B52" s="196" t="s">
        <v>607</v>
      </c>
      <c r="C52" s="196" t="s">
        <v>482</v>
      </c>
      <c r="D52" s="196">
        <v>1</v>
      </c>
      <c r="E52" s="196">
        <v>600</v>
      </c>
      <c r="F52" s="197">
        <v>30950</v>
      </c>
      <c r="G52" s="197">
        <v>433.27</v>
      </c>
      <c r="H52" s="197">
        <v>30517</v>
      </c>
    </row>
    <row r="53" spans="1:8" x14ac:dyDescent="0.2">
      <c r="A53" s="196" t="s">
        <v>604</v>
      </c>
      <c r="B53" s="196" t="s">
        <v>608</v>
      </c>
      <c r="C53" s="196" t="s">
        <v>482</v>
      </c>
      <c r="D53" s="196">
        <v>1</v>
      </c>
      <c r="E53" s="196">
        <v>186</v>
      </c>
      <c r="F53" s="197">
        <v>9482</v>
      </c>
      <c r="G53" s="197">
        <v>379.15</v>
      </c>
      <c r="H53" s="197">
        <v>9103</v>
      </c>
    </row>
    <row r="54" spans="1:8" x14ac:dyDescent="0.2">
      <c r="A54" s="196" t="s">
        <v>604</v>
      </c>
      <c r="B54" s="196" t="s">
        <v>608</v>
      </c>
      <c r="C54" s="196" t="s">
        <v>482</v>
      </c>
      <c r="D54" s="196">
        <v>3</v>
      </c>
      <c r="E54" s="196">
        <v>414</v>
      </c>
      <c r="F54" s="197">
        <v>21108</v>
      </c>
      <c r="G54" s="197">
        <v>844.37</v>
      </c>
      <c r="H54" s="197">
        <v>20264</v>
      </c>
    </row>
    <row r="55" spans="1:8" x14ac:dyDescent="0.2">
      <c r="A55" s="196" t="s">
        <v>604</v>
      </c>
      <c r="B55" s="196" t="s">
        <v>609</v>
      </c>
      <c r="C55" s="196" t="s">
        <v>482</v>
      </c>
      <c r="D55" s="196">
        <v>3</v>
      </c>
      <c r="E55" s="196">
        <v>601</v>
      </c>
      <c r="F55" s="197">
        <v>30590</v>
      </c>
      <c r="G55" s="197">
        <v>847.34</v>
      </c>
      <c r="H55" s="197">
        <v>29743</v>
      </c>
    </row>
    <row r="56" spans="1:8" x14ac:dyDescent="0.2">
      <c r="A56" s="196" t="s">
        <v>604</v>
      </c>
      <c r="B56" s="196" t="s">
        <v>610</v>
      </c>
      <c r="C56" s="196" t="s">
        <v>482</v>
      </c>
      <c r="D56" s="196">
        <v>3</v>
      </c>
      <c r="E56" s="196">
        <v>523</v>
      </c>
      <c r="F56" s="197">
        <v>27220</v>
      </c>
      <c r="G56" s="197">
        <v>843.8</v>
      </c>
      <c r="H56" s="197">
        <v>26376</v>
      </c>
    </row>
    <row r="57" spans="1:8" x14ac:dyDescent="0.2">
      <c r="A57" s="196" t="s">
        <v>611</v>
      </c>
      <c r="B57" s="196" t="s">
        <v>612</v>
      </c>
      <c r="C57" s="196" t="s">
        <v>482</v>
      </c>
      <c r="D57" s="196">
        <v>3</v>
      </c>
      <c r="E57" s="196">
        <v>600</v>
      </c>
      <c r="F57" s="197">
        <v>31260</v>
      </c>
      <c r="G57" s="197">
        <v>1406.7</v>
      </c>
      <c r="H57" s="197">
        <v>29853</v>
      </c>
    </row>
    <row r="58" spans="1:8" x14ac:dyDescent="0.2">
      <c r="A58" s="196" t="s">
        <v>611</v>
      </c>
      <c r="B58" s="196" t="s">
        <v>613</v>
      </c>
      <c r="C58" s="196" t="s">
        <v>482</v>
      </c>
      <c r="D58" s="196">
        <v>3</v>
      </c>
      <c r="E58" s="196">
        <v>600</v>
      </c>
      <c r="F58" s="197">
        <v>31080</v>
      </c>
      <c r="G58" s="197">
        <v>248.64</v>
      </c>
      <c r="H58" s="197">
        <v>30831</v>
      </c>
    </row>
    <row r="59" spans="1:8" x14ac:dyDescent="0.2">
      <c r="A59" s="196" t="s">
        <v>611</v>
      </c>
      <c r="B59" s="196" t="s">
        <v>614</v>
      </c>
      <c r="C59" s="196" t="s">
        <v>482</v>
      </c>
      <c r="D59" s="196">
        <v>3</v>
      </c>
      <c r="E59" s="196">
        <v>569</v>
      </c>
      <c r="F59" s="197">
        <v>28920</v>
      </c>
      <c r="G59" s="197">
        <v>838.65</v>
      </c>
      <c r="H59" s="197">
        <v>28081</v>
      </c>
    </row>
    <row r="60" spans="1:8" x14ac:dyDescent="0.2">
      <c r="A60" s="196" t="s">
        <v>615</v>
      </c>
      <c r="B60" s="196" t="s">
        <v>616</v>
      </c>
      <c r="C60" s="196" t="s">
        <v>482</v>
      </c>
      <c r="D60" s="196">
        <v>3</v>
      </c>
      <c r="E60" s="196">
        <v>600</v>
      </c>
      <c r="F60" s="197">
        <v>31200</v>
      </c>
      <c r="G60" s="197">
        <v>842.38</v>
      </c>
      <c r="H60" s="197">
        <v>30358</v>
      </c>
    </row>
    <row r="61" spans="1:8" x14ac:dyDescent="0.2">
      <c r="A61" s="196" t="s">
        <v>615</v>
      </c>
      <c r="B61" s="196" t="s">
        <v>617</v>
      </c>
      <c r="C61" s="196" t="s">
        <v>482</v>
      </c>
      <c r="D61" s="196">
        <v>3</v>
      </c>
      <c r="E61" s="196">
        <v>600</v>
      </c>
      <c r="F61" s="197">
        <v>30800</v>
      </c>
      <c r="G61" s="197">
        <v>770</v>
      </c>
      <c r="H61" s="197">
        <v>30030</v>
      </c>
    </row>
    <row r="62" spans="1:8" x14ac:dyDescent="0.2">
      <c r="A62" s="196" t="s">
        <v>615</v>
      </c>
      <c r="B62" s="196" t="s">
        <v>618</v>
      </c>
      <c r="C62" s="196" t="s">
        <v>482</v>
      </c>
      <c r="D62" s="196">
        <v>3</v>
      </c>
      <c r="E62" s="196">
        <v>540</v>
      </c>
      <c r="F62" s="197">
        <v>27580</v>
      </c>
      <c r="G62" s="197">
        <v>1075.5999999999999</v>
      </c>
      <c r="H62" s="197">
        <v>26504</v>
      </c>
    </row>
    <row r="63" spans="1:8" x14ac:dyDescent="0.2">
      <c r="A63" s="196" t="s">
        <v>615</v>
      </c>
      <c r="B63" s="196" t="s">
        <v>619</v>
      </c>
      <c r="C63" s="196" t="s">
        <v>482</v>
      </c>
      <c r="D63" s="196">
        <v>3</v>
      </c>
      <c r="E63" s="196">
        <v>172</v>
      </c>
      <c r="F63" s="197">
        <v>8780</v>
      </c>
      <c r="G63" s="197">
        <v>359.98</v>
      </c>
      <c r="H63" s="197">
        <v>8420</v>
      </c>
    </row>
    <row r="64" spans="1:8" x14ac:dyDescent="0.2">
      <c r="A64" s="196" t="s">
        <v>620</v>
      </c>
      <c r="B64" s="196" t="s">
        <v>621</v>
      </c>
      <c r="C64" s="196" t="s">
        <v>482</v>
      </c>
      <c r="D64" s="196">
        <v>3</v>
      </c>
      <c r="E64" s="196">
        <v>603</v>
      </c>
      <c r="F64" s="197">
        <v>31300</v>
      </c>
      <c r="G64" s="197">
        <v>948.39</v>
      </c>
      <c r="H64" s="197">
        <v>30352</v>
      </c>
    </row>
    <row r="65" spans="1:8" x14ac:dyDescent="0.2">
      <c r="A65" s="196" t="s">
        <v>620</v>
      </c>
      <c r="B65" s="196" t="s">
        <v>622</v>
      </c>
      <c r="C65" s="196" t="s">
        <v>482</v>
      </c>
      <c r="D65" s="196">
        <v>3</v>
      </c>
      <c r="E65" s="196">
        <v>600</v>
      </c>
      <c r="F65" s="197">
        <v>30920</v>
      </c>
      <c r="G65" s="197">
        <v>578.20000000000005</v>
      </c>
      <c r="H65" s="197">
        <v>30342</v>
      </c>
    </row>
    <row r="66" spans="1:8" x14ac:dyDescent="0.2">
      <c r="A66" s="196" t="s">
        <v>620</v>
      </c>
      <c r="B66" s="196" t="s">
        <v>623</v>
      </c>
      <c r="C66" s="196" t="s">
        <v>482</v>
      </c>
      <c r="D66" s="196">
        <v>3</v>
      </c>
      <c r="E66" s="196">
        <v>600</v>
      </c>
      <c r="F66" s="197">
        <v>31380</v>
      </c>
      <c r="G66" s="197">
        <v>837.85</v>
      </c>
      <c r="H66" s="197">
        <v>30542</v>
      </c>
    </row>
    <row r="67" spans="1:8" x14ac:dyDescent="0.2">
      <c r="A67" s="196" t="s">
        <v>620</v>
      </c>
      <c r="B67" s="196" t="s">
        <v>624</v>
      </c>
      <c r="C67" s="196" t="s">
        <v>482</v>
      </c>
      <c r="D67" s="196">
        <v>3</v>
      </c>
      <c r="E67" s="196">
        <v>600</v>
      </c>
      <c r="F67" s="197">
        <v>31040</v>
      </c>
      <c r="G67" s="197">
        <v>512.12</v>
      </c>
      <c r="H67" s="197">
        <v>30528</v>
      </c>
    </row>
    <row r="68" spans="1:8" x14ac:dyDescent="0.2">
      <c r="A68" s="196" t="s">
        <v>620</v>
      </c>
      <c r="B68" s="196" t="s">
        <v>625</v>
      </c>
      <c r="C68" s="196" t="s">
        <v>482</v>
      </c>
      <c r="D68" s="196">
        <v>3</v>
      </c>
      <c r="E68" s="196">
        <v>604</v>
      </c>
      <c r="F68" s="197">
        <v>31270</v>
      </c>
      <c r="G68" s="197">
        <v>422.12</v>
      </c>
      <c r="H68" s="197">
        <v>30848</v>
      </c>
    </row>
    <row r="69" spans="1:8" x14ac:dyDescent="0.2">
      <c r="A69" s="196" t="s">
        <v>626</v>
      </c>
      <c r="B69" s="196" t="s">
        <v>627</v>
      </c>
      <c r="C69" s="196" t="s">
        <v>482</v>
      </c>
      <c r="D69" s="196">
        <v>3</v>
      </c>
      <c r="E69" s="196">
        <v>568</v>
      </c>
      <c r="F69" s="197">
        <v>29730</v>
      </c>
      <c r="G69" s="197">
        <v>481.58</v>
      </c>
      <c r="H69" s="197">
        <v>29248</v>
      </c>
    </row>
    <row r="70" spans="1:8" x14ac:dyDescent="0.2">
      <c r="A70" s="196" t="s">
        <v>626</v>
      </c>
      <c r="B70" s="196" t="s">
        <v>628</v>
      </c>
      <c r="C70" s="196" t="s">
        <v>482</v>
      </c>
      <c r="D70" s="196">
        <v>3</v>
      </c>
      <c r="E70" s="196">
        <v>600</v>
      </c>
      <c r="F70" s="197">
        <v>30820</v>
      </c>
      <c r="G70" s="197">
        <v>554.76</v>
      </c>
      <c r="H70" s="197">
        <v>30265</v>
      </c>
    </row>
    <row r="71" spans="1:8" x14ac:dyDescent="0.2">
      <c r="A71" s="196" t="s">
        <v>626</v>
      </c>
      <c r="B71" s="196" t="s">
        <v>629</v>
      </c>
      <c r="C71" s="196" t="s">
        <v>482</v>
      </c>
      <c r="D71" s="196">
        <v>3</v>
      </c>
      <c r="E71" s="196">
        <v>600</v>
      </c>
      <c r="F71" s="197">
        <v>31290</v>
      </c>
      <c r="G71" s="197">
        <v>528.75</v>
      </c>
      <c r="H71" s="197">
        <v>30761</v>
      </c>
    </row>
    <row r="72" spans="1:8" x14ac:dyDescent="0.2">
      <c r="A72" s="196" t="s">
        <v>626</v>
      </c>
      <c r="B72" s="196" t="s">
        <v>630</v>
      </c>
      <c r="C72" s="196" t="s">
        <v>482</v>
      </c>
      <c r="D72" s="196">
        <v>3</v>
      </c>
      <c r="E72" s="196">
        <v>600</v>
      </c>
      <c r="F72" s="197">
        <v>31160</v>
      </c>
      <c r="G72" s="197">
        <v>785.2</v>
      </c>
      <c r="H72" s="197">
        <v>30375</v>
      </c>
    </row>
    <row r="73" spans="1:8" x14ac:dyDescent="0.2">
      <c r="A73" s="196" t="s">
        <v>626</v>
      </c>
      <c r="B73" s="196" t="s">
        <v>631</v>
      </c>
      <c r="C73" s="196" t="s">
        <v>482</v>
      </c>
      <c r="D73" s="196">
        <v>3</v>
      </c>
      <c r="E73" s="196">
        <v>600</v>
      </c>
      <c r="F73" s="197">
        <v>31240</v>
      </c>
      <c r="G73" s="197">
        <v>218.66</v>
      </c>
      <c r="H73" s="197">
        <v>31021</v>
      </c>
    </row>
    <row r="74" spans="1:8" x14ac:dyDescent="0.2">
      <c r="A74" s="196" t="s">
        <v>626</v>
      </c>
      <c r="B74" s="196" t="s">
        <v>632</v>
      </c>
      <c r="C74" s="196" t="s">
        <v>482</v>
      </c>
      <c r="D74" s="196">
        <v>3</v>
      </c>
      <c r="E74" s="196">
        <v>600</v>
      </c>
      <c r="F74" s="197">
        <v>30790</v>
      </c>
      <c r="G74" s="197">
        <v>794.38</v>
      </c>
      <c r="H74" s="197">
        <v>29996</v>
      </c>
    </row>
    <row r="75" spans="1:8" x14ac:dyDescent="0.2">
      <c r="A75" s="196" t="s">
        <v>626</v>
      </c>
      <c r="B75" s="196" t="s">
        <v>633</v>
      </c>
      <c r="C75" s="196" t="s">
        <v>482</v>
      </c>
      <c r="D75" s="196">
        <v>3</v>
      </c>
      <c r="E75" s="196">
        <v>594</v>
      </c>
      <c r="F75" s="197">
        <v>30530</v>
      </c>
      <c r="G75" s="197">
        <v>222.82</v>
      </c>
      <c r="H75" s="197">
        <v>30307</v>
      </c>
    </row>
    <row r="76" spans="1:8" x14ac:dyDescent="0.2">
      <c r="A76" s="196" t="s">
        <v>634</v>
      </c>
      <c r="B76" s="196" t="s">
        <v>635</v>
      </c>
      <c r="C76" s="196" t="s">
        <v>482</v>
      </c>
      <c r="D76" s="196">
        <v>3</v>
      </c>
      <c r="E76" s="196">
        <v>587</v>
      </c>
      <c r="F76" s="197">
        <v>30030</v>
      </c>
      <c r="G76" s="197">
        <v>684.68</v>
      </c>
      <c r="H76" s="197">
        <v>29345</v>
      </c>
    </row>
    <row r="77" spans="1:8" x14ac:dyDescent="0.2">
      <c r="A77" s="196" t="s">
        <v>634</v>
      </c>
      <c r="B77" s="196" t="s">
        <v>636</v>
      </c>
      <c r="C77" s="196" t="s">
        <v>482</v>
      </c>
      <c r="D77" s="196">
        <v>3</v>
      </c>
      <c r="E77" s="196">
        <v>600</v>
      </c>
      <c r="F77" s="197">
        <v>30740</v>
      </c>
      <c r="G77" s="197">
        <v>1586.18</v>
      </c>
      <c r="H77" s="197">
        <v>29154</v>
      </c>
    </row>
    <row r="78" spans="1:8" x14ac:dyDescent="0.2">
      <c r="A78" s="196" t="s">
        <v>634</v>
      </c>
      <c r="B78" s="196" t="s">
        <v>637</v>
      </c>
      <c r="C78" s="196" t="s">
        <v>482</v>
      </c>
      <c r="D78" s="196">
        <v>3</v>
      </c>
      <c r="E78" s="196">
        <v>600</v>
      </c>
      <c r="F78" s="197">
        <v>30560</v>
      </c>
      <c r="G78" s="197">
        <v>2389.79</v>
      </c>
      <c r="H78" s="197">
        <v>28170</v>
      </c>
    </row>
    <row r="79" spans="1:8" x14ac:dyDescent="0.2">
      <c r="A79" s="196" t="s">
        <v>634</v>
      </c>
      <c r="B79" s="196" t="s">
        <v>638</v>
      </c>
      <c r="C79" s="196" t="s">
        <v>482</v>
      </c>
      <c r="D79" s="196">
        <v>3</v>
      </c>
      <c r="E79" s="196">
        <v>602</v>
      </c>
      <c r="F79" s="197">
        <v>30890</v>
      </c>
      <c r="G79" s="197">
        <v>1266.44</v>
      </c>
      <c r="H79" s="197">
        <v>29624</v>
      </c>
    </row>
    <row r="80" spans="1:8" x14ac:dyDescent="0.2">
      <c r="A80" s="196" t="s">
        <v>634</v>
      </c>
      <c r="B80" s="196" t="s">
        <v>639</v>
      </c>
      <c r="C80" s="196" t="s">
        <v>482</v>
      </c>
      <c r="D80" s="196">
        <v>3</v>
      </c>
      <c r="E80" s="196">
        <v>117</v>
      </c>
      <c r="F80" s="197">
        <v>6170</v>
      </c>
      <c r="G80" s="197">
        <v>193.08</v>
      </c>
      <c r="H80" s="197">
        <v>5977</v>
      </c>
    </row>
    <row r="81" spans="1:8" x14ac:dyDescent="0.2">
      <c r="A81" s="196" t="s">
        <v>634</v>
      </c>
      <c r="B81" s="196" t="s">
        <v>640</v>
      </c>
      <c r="C81" s="196" t="s">
        <v>482</v>
      </c>
      <c r="D81" s="196">
        <v>3</v>
      </c>
      <c r="E81" s="196">
        <v>167</v>
      </c>
      <c r="F81" s="197">
        <v>8480</v>
      </c>
      <c r="G81" s="197">
        <v>207.76</v>
      </c>
      <c r="H81" s="197">
        <v>8272</v>
      </c>
    </row>
    <row r="82" spans="1:8" ht="15" x14ac:dyDescent="0.25">
      <c r="A82" s="198" t="s">
        <v>8</v>
      </c>
      <c r="B82" s="198"/>
      <c r="C82" s="198"/>
      <c r="D82" s="198"/>
      <c r="E82" s="198">
        <f>SUM(E7:E81)</f>
        <v>40100</v>
      </c>
      <c r="F82" s="199">
        <f>SUM(F7:F81)</f>
        <v>2057850</v>
      </c>
      <c r="G82" s="199">
        <f>SUM(G7:G81)</f>
        <v>67737.87999999999</v>
      </c>
      <c r="H82" s="199">
        <f>SUM(H7:H81)</f>
        <v>1990114</v>
      </c>
    </row>
    <row r="85" spans="1:8" ht="15" x14ac:dyDescent="0.25">
      <c r="A85" s="194" t="s">
        <v>641</v>
      </c>
      <c r="B85" s="142">
        <f>+H82</f>
        <v>1990114</v>
      </c>
    </row>
    <row r="86" spans="1:8" ht="15" x14ac:dyDescent="0.25">
      <c r="A86" s="194" t="s">
        <v>642</v>
      </c>
      <c r="B86" s="142">
        <v>11.13</v>
      </c>
    </row>
    <row r="87" spans="1:8" ht="15" x14ac:dyDescent="0.25">
      <c r="A87" s="194" t="s">
        <v>205</v>
      </c>
      <c r="B87" s="142">
        <f>B85*B86</f>
        <v>22149968.82</v>
      </c>
    </row>
    <row r="88" spans="1:8" ht="15" x14ac:dyDescent="0.25">
      <c r="A88" s="194" t="s">
        <v>643</v>
      </c>
      <c r="B88" s="142">
        <f>B87*0.1</f>
        <v>2214996.8820000002</v>
      </c>
    </row>
    <row r="89" spans="1:8" ht="15" x14ac:dyDescent="0.25">
      <c r="A89" s="194" t="s">
        <v>644</v>
      </c>
      <c r="B89" s="200">
        <f>B87-B88</f>
        <v>19934971.938000001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DFC2-FF88-4603-A56F-F574F88915EB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5466-C11B-4E90-88FA-0B0D36C3A446}">
  <sheetPr>
    <outlinePr summaryBelow="0" summaryRight="0"/>
  </sheetPr>
  <dimension ref="A1:L1031"/>
  <sheetViews>
    <sheetView zoomScale="85" zoomScaleNormal="85" workbookViewId="0">
      <selection activeCell="M21" sqref="M21"/>
    </sheetView>
  </sheetViews>
  <sheetFormatPr baseColWidth="10" defaultColWidth="12.5703125" defaultRowHeight="15.75" customHeight="1" x14ac:dyDescent="0.2"/>
  <cols>
    <col min="1" max="1" width="15.7109375" bestFit="1" customWidth="1"/>
    <col min="2" max="2" width="19.5703125" bestFit="1" customWidth="1"/>
    <col min="3" max="3" width="17.5703125" bestFit="1" customWidth="1"/>
    <col min="4" max="5" width="16" bestFit="1" customWidth="1"/>
    <col min="6" max="6" width="13.85546875" bestFit="1" customWidth="1"/>
    <col min="7" max="7" width="18.28515625" bestFit="1" customWidth="1"/>
    <col min="8" max="8" width="14.140625" bestFit="1" customWidth="1"/>
    <col min="9" max="9" width="20.5703125" bestFit="1" customWidth="1"/>
    <col min="10" max="10" width="13.5703125" bestFit="1" customWidth="1"/>
  </cols>
  <sheetData>
    <row r="1" spans="1:12" ht="12.75" customHeight="1" x14ac:dyDescent="0.2">
      <c r="A1" s="207" t="s">
        <v>206</v>
      </c>
      <c r="B1" s="207"/>
      <c r="C1" s="207"/>
      <c r="D1" s="207"/>
      <c r="E1" s="207"/>
      <c r="F1" s="207"/>
      <c r="G1" s="207"/>
      <c r="H1" s="207"/>
      <c r="I1" s="207"/>
      <c r="J1" s="207"/>
      <c r="K1" s="5"/>
      <c r="L1" s="5"/>
    </row>
    <row r="2" spans="1:12" ht="12.75" x14ac:dyDescent="0.2">
      <c r="A2" s="207"/>
      <c r="B2" s="207"/>
      <c r="C2" s="207"/>
      <c r="D2" s="207"/>
      <c r="E2" s="207"/>
      <c r="F2" s="207"/>
      <c r="G2" s="207"/>
      <c r="H2" s="207"/>
      <c r="I2" s="207"/>
      <c r="J2" s="207"/>
      <c r="K2" s="5"/>
      <c r="L2" s="5"/>
    </row>
    <row r="3" spans="1:12" ht="12.75" x14ac:dyDescent="0.2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5"/>
      <c r="L3" s="5"/>
    </row>
    <row r="4" spans="1:12" ht="12.75" x14ac:dyDescent="0.2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5"/>
      <c r="L4" s="5"/>
    </row>
    <row r="5" spans="1:12" ht="12.75" x14ac:dyDescent="0.2">
      <c r="A5" s="207"/>
      <c r="B5" s="207"/>
      <c r="C5" s="207"/>
      <c r="D5" s="207"/>
      <c r="E5" s="207"/>
      <c r="F5" s="207"/>
      <c r="G5" s="207"/>
      <c r="H5" s="207"/>
      <c r="I5" s="207"/>
      <c r="J5" s="207"/>
      <c r="K5" s="5"/>
      <c r="L5" s="5"/>
    </row>
    <row r="6" spans="1:12" ht="25.5" customHeight="1" x14ac:dyDescent="0.2">
      <c r="A6" s="26" t="s">
        <v>11</v>
      </c>
      <c r="B6" s="27" t="s">
        <v>12</v>
      </c>
      <c r="C6" s="28" t="s">
        <v>15</v>
      </c>
      <c r="D6" s="29" t="s">
        <v>207</v>
      </c>
      <c r="E6" s="29" t="s">
        <v>208</v>
      </c>
      <c r="F6" s="30" t="s">
        <v>20</v>
      </c>
      <c r="G6" s="30" t="s">
        <v>21</v>
      </c>
      <c r="H6" s="30" t="s">
        <v>22</v>
      </c>
      <c r="I6" s="30" t="s">
        <v>23</v>
      </c>
      <c r="J6" s="32" t="s">
        <v>209</v>
      </c>
      <c r="K6" s="5"/>
      <c r="L6" s="5"/>
    </row>
    <row r="7" spans="1:12" ht="12.75" x14ac:dyDescent="0.2">
      <c r="A7" s="24" t="s">
        <v>210</v>
      </c>
      <c r="B7" s="89">
        <v>46084</v>
      </c>
      <c r="C7" s="10">
        <v>30320</v>
      </c>
      <c r="D7" s="9"/>
      <c r="E7" s="9">
        <v>600</v>
      </c>
      <c r="F7" s="9" t="s">
        <v>4</v>
      </c>
      <c r="G7" s="9"/>
      <c r="H7" s="9" t="s">
        <v>143</v>
      </c>
      <c r="I7" s="9" t="s">
        <v>211</v>
      </c>
      <c r="J7" s="59">
        <v>1928</v>
      </c>
      <c r="K7" s="5"/>
      <c r="L7" s="5"/>
    </row>
    <row r="8" spans="1:12" ht="12.75" x14ac:dyDescent="0.2">
      <c r="A8" s="24" t="s">
        <v>212</v>
      </c>
      <c r="B8" s="89">
        <v>46084</v>
      </c>
      <c r="C8" s="10">
        <v>25470</v>
      </c>
      <c r="D8" s="9"/>
      <c r="E8" s="9">
        <v>504</v>
      </c>
      <c r="F8" s="9" t="s">
        <v>4</v>
      </c>
      <c r="G8" s="9"/>
      <c r="H8" s="9" t="s">
        <v>143</v>
      </c>
      <c r="I8" s="9" t="s">
        <v>213</v>
      </c>
      <c r="J8" s="59">
        <v>1928</v>
      </c>
      <c r="K8" s="5"/>
      <c r="L8" s="5"/>
    </row>
    <row r="9" spans="1:12" ht="12.75" x14ac:dyDescent="0.2">
      <c r="A9" s="24" t="s">
        <v>214</v>
      </c>
      <c r="B9" s="89">
        <v>46085</v>
      </c>
      <c r="C9" s="10">
        <v>30190</v>
      </c>
      <c r="D9" s="9"/>
      <c r="E9" s="9">
        <v>600</v>
      </c>
      <c r="F9" s="9" t="s">
        <v>4</v>
      </c>
      <c r="G9" s="9"/>
      <c r="H9" s="9" t="s">
        <v>143</v>
      </c>
      <c r="I9" s="9" t="s">
        <v>215</v>
      </c>
      <c r="J9" s="59">
        <v>1928</v>
      </c>
      <c r="K9" s="5"/>
      <c r="L9" s="5"/>
    </row>
    <row r="10" spans="1:12" ht="12.75" x14ac:dyDescent="0.2">
      <c r="A10" s="24" t="s">
        <v>216</v>
      </c>
      <c r="B10" s="89">
        <v>46085</v>
      </c>
      <c r="C10" s="10">
        <v>30230</v>
      </c>
      <c r="D10" s="9"/>
      <c r="E10" s="9">
        <v>600</v>
      </c>
      <c r="F10" s="9" t="s">
        <v>4</v>
      </c>
      <c r="G10" s="9"/>
      <c r="H10" s="9" t="s">
        <v>143</v>
      </c>
      <c r="I10" s="9" t="s">
        <v>217</v>
      </c>
      <c r="J10" s="59">
        <v>1928</v>
      </c>
      <c r="K10" s="5"/>
      <c r="L10" s="5"/>
    </row>
    <row r="11" spans="1:12" ht="12.75" x14ac:dyDescent="0.2">
      <c r="A11" s="24" t="s">
        <v>218</v>
      </c>
      <c r="B11" s="89">
        <v>46086</v>
      </c>
      <c r="C11" s="10">
        <v>29970</v>
      </c>
      <c r="D11" s="9"/>
      <c r="E11" s="9">
        <v>600</v>
      </c>
      <c r="F11" s="9" t="s">
        <v>4</v>
      </c>
      <c r="G11" s="9"/>
      <c r="H11" s="9" t="s">
        <v>143</v>
      </c>
      <c r="I11" s="9" t="s">
        <v>211</v>
      </c>
      <c r="J11" s="59">
        <v>1928</v>
      </c>
      <c r="K11" s="5"/>
      <c r="L11" s="5"/>
    </row>
    <row r="12" spans="1:12" ht="12.75" x14ac:dyDescent="0.2">
      <c r="A12" s="24" t="s">
        <v>219</v>
      </c>
      <c r="B12" s="89">
        <v>46086</v>
      </c>
      <c r="C12" s="10">
        <v>30040</v>
      </c>
      <c r="D12" s="9"/>
      <c r="E12" s="9">
        <v>600</v>
      </c>
      <c r="F12" s="9" t="s">
        <v>4</v>
      </c>
      <c r="G12" s="9"/>
      <c r="H12" s="9" t="s">
        <v>143</v>
      </c>
      <c r="I12" s="9" t="s">
        <v>215</v>
      </c>
      <c r="J12" s="59">
        <v>1928</v>
      </c>
      <c r="K12" s="5"/>
      <c r="L12" s="5"/>
    </row>
    <row r="13" spans="1:12" ht="12.75" x14ac:dyDescent="0.2">
      <c r="A13" s="24" t="s">
        <v>220</v>
      </c>
      <c r="B13" s="89">
        <v>46086</v>
      </c>
      <c r="C13" s="10">
        <v>30460</v>
      </c>
      <c r="D13" s="9"/>
      <c r="E13" s="9">
        <v>600</v>
      </c>
      <c r="F13" s="9" t="s">
        <v>4</v>
      </c>
      <c r="G13" s="9"/>
      <c r="H13" s="9" t="s">
        <v>143</v>
      </c>
      <c r="I13" s="9" t="s">
        <v>213</v>
      </c>
      <c r="J13" s="59">
        <v>1928</v>
      </c>
      <c r="K13" s="5"/>
      <c r="L13" s="5"/>
    </row>
    <row r="14" spans="1:12" ht="12.75" x14ac:dyDescent="0.2">
      <c r="A14" s="24" t="s">
        <v>221</v>
      </c>
      <c r="B14" s="89">
        <v>46087</v>
      </c>
      <c r="C14" s="10">
        <v>29850</v>
      </c>
      <c r="D14" s="9"/>
      <c r="E14" s="9">
        <v>600</v>
      </c>
      <c r="F14" s="9" t="s">
        <v>4</v>
      </c>
      <c r="G14" s="9"/>
      <c r="H14" s="9" t="s">
        <v>143</v>
      </c>
      <c r="I14" s="9" t="s">
        <v>217</v>
      </c>
      <c r="J14" s="59">
        <v>1928</v>
      </c>
      <c r="K14" s="5"/>
      <c r="L14" s="5"/>
    </row>
    <row r="15" spans="1:12" ht="12.75" x14ac:dyDescent="0.2">
      <c r="A15" s="24" t="s">
        <v>222</v>
      </c>
      <c r="B15" s="89">
        <v>46087</v>
      </c>
      <c r="C15" s="10">
        <v>30480</v>
      </c>
      <c r="D15" s="9"/>
      <c r="E15" s="9">
        <v>600</v>
      </c>
      <c r="F15" s="9" t="s">
        <v>4</v>
      </c>
      <c r="G15" s="9"/>
      <c r="H15" s="9" t="s">
        <v>143</v>
      </c>
      <c r="I15" s="9" t="s">
        <v>211</v>
      </c>
      <c r="J15" s="59">
        <v>1928</v>
      </c>
      <c r="K15" s="5"/>
      <c r="L15" s="5"/>
    </row>
    <row r="16" spans="1:12" ht="12.75" x14ac:dyDescent="0.2">
      <c r="A16" s="24" t="s">
        <v>223</v>
      </c>
      <c r="B16" s="89">
        <v>46087</v>
      </c>
      <c r="C16" s="10">
        <v>30220</v>
      </c>
      <c r="D16" s="9"/>
      <c r="E16" s="9">
        <v>600</v>
      </c>
      <c r="F16" s="9" t="s">
        <v>4</v>
      </c>
      <c r="G16" s="9"/>
      <c r="H16" s="9" t="s">
        <v>143</v>
      </c>
      <c r="I16" s="9" t="s">
        <v>215</v>
      </c>
      <c r="J16" s="59">
        <v>1928</v>
      </c>
      <c r="K16" s="5"/>
      <c r="L16" s="5"/>
    </row>
    <row r="17" spans="1:12" ht="12.75" x14ac:dyDescent="0.2">
      <c r="A17" s="24" t="s">
        <v>224</v>
      </c>
      <c r="B17" s="89">
        <v>46088</v>
      </c>
      <c r="C17" s="10">
        <v>30570</v>
      </c>
      <c r="D17" s="9"/>
      <c r="E17" s="9">
        <v>600</v>
      </c>
      <c r="F17" s="9" t="s">
        <v>4</v>
      </c>
      <c r="G17" s="9"/>
      <c r="H17" s="9" t="s">
        <v>143</v>
      </c>
      <c r="I17" s="9" t="s">
        <v>213</v>
      </c>
      <c r="J17" s="59">
        <v>1928</v>
      </c>
      <c r="K17" s="5"/>
      <c r="L17" s="5"/>
    </row>
    <row r="18" spans="1:12" ht="12.75" x14ac:dyDescent="0.2">
      <c r="A18" s="24" t="s">
        <v>225</v>
      </c>
      <c r="B18" s="89">
        <v>46088</v>
      </c>
      <c r="C18" s="10">
        <v>30470</v>
      </c>
      <c r="D18" s="9"/>
      <c r="E18" s="9">
        <v>600</v>
      </c>
      <c r="F18" s="9" t="s">
        <v>4</v>
      </c>
      <c r="G18" s="9"/>
      <c r="H18" s="9" t="s">
        <v>143</v>
      </c>
      <c r="I18" s="9" t="s">
        <v>217</v>
      </c>
      <c r="J18" s="59">
        <v>1928</v>
      </c>
      <c r="K18" s="5"/>
      <c r="L18" s="5"/>
    </row>
    <row r="19" spans="1:12" ht="12.75" x14ac:dyDescent="0.2">
      <c r="A19" s="24" t="s">
        <v>226</v>
      </c>
      <c r="B19" s="89">
        <v>46088</v>
      </c>
      <c r="C19" s="10">
        <v>30380</v>
      </c>
      <c r="D19" s="9"/>
      <c r="E19" s="9">
        <v>600</v>
      </c>
      <c r="F19" s="9" t="s">
        <v>4</v>
      </c>
      <c r="G19" s="9"/>
      <c r="H19" s="9" t="s">
        <v>143</v>
      </c>
      <c r="I19" s="9" t="s">
        <v>211</v>
      </c>
      <c r="J19" s="59">
        <v>1928</v>
      </c>
      <c r="K19" s="5"/>
      <c r="L19" s="5"/>
    </row>
    <row r="20" spans="1:12" ht="12.75" x14ac:dyDescent="0.2">
      <c r="A20" s="24" t="s">
        <v>227</v>
      </c>
      <c r="B20" s="89">
        <v>46089</v>
      </c>
      <c r="C20" s="10">
        <v>30270</v>
      </c>
      <c r="D20" s="9"/>
      <c r="E20" s="9">
        <v>600</v>
      </c>
      <c r="F20" s="9" t="s">
        <v>4</v>
      </c>
      <c r="G20" s="9"/>
      <c r="H20" s="9" t="s">
        <v>143</v>
      </c>
      <c r="I20" s="9" t="s">
        <v>215</v>
      </c>
      <c r="J20" s="59">
        <v>1928</v>
      </c>
      <c r="K20" s="5"/>
      <c r="L20" s="5"/>
    </row>
    <row r="21" spans="1:12" ht="12.75" x14ac:dyDescent="0.2">
      <c r="A21" s="24" t="s">
        <v>228</v>
      </c>
      <c r="B21" s="89">
        <v>46089</v>
      </c>
      <c r="C21" s="10">
        <v>30020</v>
      </c>
      <c r="D21" s="9"/>
      <c r="E21" s="9">
        <v>600</v>
      </c>
      <c r="F21" s="9" t="s">
        <v>4</v>
      </c>
      <c r="G21" s="9"/>
      <c r="H21" s="9" t="s">
        <v>143</v>
      </c>
      <c r="I21" s="9" t="s">
        <v>213</v>
      </c>
      <c r="J21" s="59">
        <v>1928</v>
      </c>
      <c r="K21" s="5"/>
      <c r="L21" s="5"/>
    </row>
    <row r="22" spans="1:12" ht="12.75" x14ac:dyDescent="0.2">
      <c r="A22" s="24" t="s">
        <v>229</v>
      </c>
      <c r="B22" s="89">
        <v>46089</v>
      </c>
      <c r="C22" s="10">
        <v>30250</v>
      </c>
      <c r="D22" s="9"/>
      <c r="E22" s="9">
        <v>600</v>
      </c>
      <c r="F22" s="9" t="s">
        <v>4</v>
      </c>
      <c r="G22" s="9"/>
      <c r="H22" s="9" t="s">
        <v>143</v>
      </c>
      <c r="I22" s="9" t="s">
        <v>217</v>
      </c>
      <c r="J22" s="59">
        <v>1928</v>
      </c>
      <c r="K22" s="5"/>
      <c r="L22" s="5"/>
    </row>
    <row r="23" spans="1:12" ht="12.75" x14ac:dyDescent="0.2">
      <c r="A23" s="24" t="s">
        <v>230</v>
      </c>
      <c r="B23" s="89">
        <v>46089</v>
      </c>
      <c r="C23" s="10">
        <v>8280</v>
      </c>
      <c r="D23" s="9"/>
      <c r="E23" s="9">
        <v>163</v>
      </c>
      <c r="F23" s="9" t="s">
        <v>4</v>
      </c>
      <c r="G23" s="9"/>
      <c r="H23" s="9" t="s">
        <v>143</v>
      </c>
      <c r="I23" s="9" t="s">
        <v>231</v>
      </c>
      <c r="J23" s="59">
        <v>1928</v>
      </c>
      <c r="K23" s="5"/>
      <c r="L23" s="5"/>
    </row>
    <row r="24" spans="1:12" ht="12.75" x14ac:dyDescent="0.2">
      <c r="A24" s="24" t="s">
        <v>232</v>
      </c>
      <c r="B24" s="89">
        <v>46090</v>
      </c>
      <c r="C24" s="10">
        <v>30220</v>
      </c>
      <c r="D24" s="9"/>
      <c r="E24" s="9">
        <v>600</v>
      </c>
      <c r="F24" s="9" t="s">
        <v>4</v>
      </c>
      <c r="G24" s="9"/>
      <c r="H24" s="9" t="s">
        <v>143</v>
      </c>
      <c r="I24" s="9" t="s">
        <v>211</v>
      </c>
      <c r="J24" s="59">
        <v>1928</v>
      </c>
      <c r="K24" s="5"/>
      <c r="L24" s="5"/>
    </row>
    <row r="25" spans="1:12" ht="12.75" x14ac:dyDescent="0.2">
      <c r="A25" s="24" t="s">
        <v>233</v>
      </c>
      <c r="B25" s="89">
        <v>46090</v>
      </c>
      <c r="C25" s="10">
        <v>13950</v>
      </c>
      <c r="D25" s="9"/>
      <c r="E25" s="9">
        <v>288</v>
      </c>
      <c r="F25" s="9" t="s">
        <v>4</v>
      </c>
      <c r="G25" s="9"/>
      <c r="H25" s="9" t="s">
        <v>143</v>
      </c>
      <c r="I25" s="9" t="s">
        <v>234</v>
      </c>
      <c r="J25" s="59">
        <v>1928</v>
      </c>
      <c r="K25" s="5"/>
      <c r="L25" s="5"/>
    </row>
    <row r="26" spans="1:12" ht="12.75" x14ac:dyDescent="0.2">
      <c r="A26" s="24" t="s">
        <v>235</v>
      </c>
      <c r="B26" s="89">
        <v>46091</v>
      </c>
      <c r="C26" s="10">
        <v>30920</v>
      </c>
      <c r="D26" s="9"/>
      <c r="E26" s="9">
        <v>600</v>
      </c>
      <c r="F26" s="9" t="s">
        <v>4</v>
      </c>
      <c r="G26" s="9"/>
      <c r="H26" s="9" t="s">
        <v>143</v>
      </c>
      <c r="I26" s="9" t="s">
        <v>215</v>
      </c>
      <c r="J26" s="59">
        <v>1928</v>
      </c>
      <c r="K26" s="5"/>
      <c r="L26" s="5"/>
    </row>
    <row r="27" spans="1:12" ht="12.75" x14ac:dyDescent="0.2">
      <c r="A27" s="24" t="s">
        <v>236</v>
      </c>
      <c r="B27" s="89">
        <v>46091</v>
      </c>
      <c r="C27" s="10">
        <v>30940</v>
      </c>
      <c r="D27" s="9"/>
      <c r="E27" s="9">
        <v>615</v>
      </c>
      <c r="F27" s="9" t="s">
        <v>4</v>
      </c>
      <c r="G27" s="9"/>
      <c r="H27" s="9" t="s">
        <v>143</v>
      </c>
      <c r="I27" s="9" t="s">
        <v>213</v>
      </c>
      <c r="J27" s="59">
        <v>1928</v>
      </c>
      <c r="K27" s="5"/>
      <c r="L27" s="5"/>
    </row>
    <row r="28" spans="1:12" ht="12.75" x14ac:dyDescent="0.2">
      <c r="A28" s="24" t="s">
        <v>237</v>
      </c>
      <c r="B28" s="89">
        <v>46092</v>
      </c>
      <c r="C28" s="10">
        <v>31030</v>
      </c>
      <c r="D28" s="9"/>
      <c r="E28" s="9">
        <v>600</v>
      </c>
      <c r="F28" s="9" t="s">
        <v>4</v>
      </c>
      <c r="G28" s="9"/>
      <c r="H28" s="9" t="s">
        <v>143</v>
      </c>
      <c r="I28" s="9" t="s">
        <v>217</v>
      </c>
      <c r="J28" s="59">
        <v>1928</v>
      </c>
      <c r="K28" s="5"/>
      <c r="L28" s="5"/>
    </row>
    <row r="29" spans="1:12" ht="12.75" x14ac:dyDescent="0.2">
      <c r="A29" s="24" t="s">
        <v>238</v>
      </c>
      <c r="B29" s="89">
        <v>46092</v>
      </c>
      <c r="C29" s="10">
        <v>31500</v>
      </c>
      <c r="D29" s="9"/>
      <c r="E29" s="9">
        <v>600</v>
      </c>
      <c r="F29" s="9" t="s">
        <v>4</v>
      </c>
      <c r="G29" s="9"/>
      <c r="H29" s="9" t="s">
        <v>143</v>
      </c>
      <c r="I29" s="9" t="s">
        <v>231</v>
      </c>
      <c r="J29" s="59">
        <v>1928</v>
      </c>
      <c r="K29" s="5"/>
      <c r="L29" s="5"/>
    </row>
    <row r="30" spans="1:12" ht="12.75" x14ac:dyDescent="0.2">
      <c r="A30" s="24" t="s">
        <v>239</v>
      </c>
      <c r="B30" s="89">
        <v>46092</v>
      </c>
      <c r="C30" s="10">
        <v>30240</v>
      </c>
      <c r="D30" s="9"/>
      <c r="E30" s="9">
        <v>600</v>
      </c>
      <c r="F30" s="9" t="s">
        <v>4</v>
      </c>
      <c r="G30" s="9"/>
      <c r="H30" s="9" t="s">
        <v>143</v>
      </c>
      <c r="I30" s="9" t="s">
        <v>211</v>
      </c>
      <c r="J30" s="59">
        <v>1928</v>
      </c>
      <c r="K30" s="5"/>
      <c r="L30" s="5"/>
    </row>
    <row r="31" spans="1:12" ht="12.75" x14ac:dyDescent="0.2">
      <c r="A31" s="24" t="s">
        <v>240</v>
      </c>
      <c r="B31" s="89">
        <v>46092</v>
      </c>
      <c r="C31" s="10">
        <v>30870</v>
      </c>
      <c r="D31" s="9"/>
      <c r="E31" s="9">
        <v>600</v>
      </c>
      <c r="F31" s="9" t="s">
        <v>4</v>
      </c>
      <c r="G31" s="9"/>
      <c r="H31" s="9" t="s">
        <v>143</v>
      </c>
      <c r="I31" s="9" t="s">
        <v>241</v>
      </c>
      <c r="J31" s="59">
        <v>1928</v>
      </c>
      <c r="K31" s="5"/>
      <c r="L31" s="5"/>
    </row>
    <row r="32" spans="1:12" ht="12.75" x14ac:dyDescent="0.2">
      <c r="A32" s="24" t="s">
        <v>242</v>
      </c>
      <c r="B32" s="89">
        <v>46093</v>
      </c>
      <c r="C32" s="10">
        <v>30040</v>
      </c>
      <c r="D32" s="9"/>
      <c r="E32" s="9">
        <v>600</v>
      </c>
      <c r="F32" s="9" t="s">
        <v>4</v>
      </c>
      <c r="G32" s="9"/>
      <c r="H32" s="9" t="s">
        <v>143</v>
      </c>
      <c r="I32" s="9" t="s">
        <v>215</v>
      </c>
      <c r="J32" s="59">
        <v>1928</v>
      </c>
      <c r="K32" s="5"/>
      <c r="L32" s="5"/>
    </row>
    <row r="33" spans="1:12" ht="12.75" x14ac:dyDescent="0.2">
      <c r="A33" s="24" t="s">
        <v>243</v>
      </c>
      <c r="B33" s="89">
        <v>46093</v>
      </c>
      <c r="C33" s="10">
        <v>28040</v>
      </c>
      <c r="D33" s="9"/>
      <c r="E33" s="9">
        <v>556</v>
      </c>
      <c r="F33" s="9" t="s">
        <v>4</v>
      </c>
      <c r="G33" s="9"/>
      <c r="H33" s="9" t="s">
        <v>143</v>
      </c>
      <c r="I33" s="9" t="s">
        <v>213</v>
      </c>
      <c r="J33" s="59">
        <v>1928</v>
      </c>
      <c r="K33" s="5"/>
      <c r="L33" s="5"/>
    </row>
    <row r="34" spans="1:12" ht="12.75" x14ac:dyDescent="0.2">
      <c r="A34" s="24" t="s">
        <v>244</v>
      </c>
      <c r="B34" s="89">
        <v>46093</v>
      </c>
      <c r="C34" s="10">
        <v>32110</v>
      </c>
      <c r="D34" s="9"/>
      <c r="E34" s="9">
        <v>600</v>
      </c>
      <c r="F34" s="9" t="s">
        <v>4</v>
      </c>
      <c r="G34" s="9"/>
      <c r="H34" s="9" t="s">
        <v>143</v>
      </c>
      <c r="I34" s="9" t="s">
        <v>217</v>
      </c>
      <c r="J34" s="59">
        <v>1928</v>
      </c>
      <c r="K34" s="5"/>
      <c r="L34" s="5"/>
    </row>
    <row r="35" spans="1:12" ht="12.75" x14ac:dyDescent="0.2">
      <c r="A35" s="24" t="s">
        <v>245</v>
      </c>
      <c r="B35" s="89">
        <v>46093</v>
      </c>
      <c r="C35" s="10">
        <v>30410</v>
      </c>
      <c r="D35" s="9"/>
      <c r="E35" s="9">
        <v>600</v>
      </c>
      <c r="F35" s="9" t="s">
        <v>4</v>
      </c>
      <c r="G35" s="9"/>
      <c r="H35" s="9" t="s">
        <v>143</v>
      </c>
      <c r="I35" s="9" t="s">
        <v>231</v>
      </c>
      <c r="J35" s="59">
        <v>1928</v>
      </c>
      <c r="K35" s="5"/>
      <c r="L35" s="5"/>
    </row>
    <row r="36" spans="1:12" ht="12.75" x14ac:dyDescent="0.2">
      <c r="A36" s="24" t="s">
        <v>246</v>
      </c>
      <c r="B36" s="89">
        <v>46093</v>
      </c>
      <c r="C36" s="10">
        <v>30550</v>
      </c>
      <c r="D36" s="9"/>
      <c r="E36" s="9">
        <v>600</v>
      </c>
      <c r="F36" s="9" t="s">
        <v>4</v>
      </c>
      <c r="G36" s="9"/>
      <c r="H36" s="9" t="s">
        <v>143</v>
      </c>
      <c r="I36" s="9" t="s">
        <v>211</v>
      </c>
      <c r="J36" s="59">
        <v>1928</v>
      </c>
      <c r="K36" s="5"/>
      <c r="L36" s="5"/>
    </row>
    <row r="37" spans="1:12" ht="12.75" x14ac:dyDescent="0.2">
      <c r="A37" s="24" t="s">
        <v>247</v>
      </c>
      <c r="B37" s="89">
        <v>46093</v>
      </c>
      <c r="C37" s="10">
        <v>8320</v>
      </c>
      <c r="D37" s="9"/>
      <c r="E37" s="9">
        <v>168</v>
      </c>
      <c r="F37" s="9" t="s">
        <v>4</v>
      </c>
      <c r="G37" s="9"/>
      <c r="H37" s="9" t="s">
        <v>143</v>
      </c>
      <c r="I37" s="9" t="s">
        <v>215</v>
      </c>
      <c r="J37" s="59">
        <v>1928</v>
      </c>
      <c r="K37" s="5"/>
      <c r="L37" s="5"/>
    </row>
    <row r="38" spans="1:12" ht="12.75" x14ac:dyDescent="0.2">
      <c r="A38" s="16" t="s">
        <v>248</v>
      </c>
      <c r="B38" s="89">
        <v>46089</v>
      </c>
      <c r="C38" s="10">
        <v>22050</v>
      </c>
      <c r="D38" s="10">
        <v>22050</v>
      </c>
      <c r="E38" s="9">
        <v>438</v>
      </c>
      <c r="F38" s="9" t="s">
        <v>4</v>
      </c>
      <c r="G38" s="9"/>
      <c r="H38" s="9" t="s">
        <v>143</v>
      </c>
      <c r="I38" s="9" t="s">
        <v>249</v>
      </c>
      <c r="J38" s="59">
        <v>1928</v>
      </c>
      <c r="K38" s="5"/>
      <c r="L38" s="5"/>
    </row>
    <row r="39" spans="1:12" ht="12.75" x14ac:dyDescent="0.2">
      <c r="A39" s="58" t="s">
        <v>250</v>
      </c>
      <c r="B39" s="90">
        <v>46092</v>
      </c>
      <c r="C39" s="83">
        <f>23940+8320</f>
        <v>32260</v>
      </c>
      <c r="D39" s="83">
        <f>23940+8320</f>
        <v>32260</v>
      </c>
      <c r="E39" s="33">
        <v>470</v>
      </c>
      <c r="F39" s="9" t="s">
        <v>4</v>
      </c>
      <c r="G39" s="9"/>
      <c r="H39" s="9" t="s">
        <v>143</v>
      </c>
      <c r="I39" s="9" t="s">
        <v>215</v>
      </c>
      <c r="J39" s="17">
        <v>1928</v>
      </c>
      <c r="K39" s="5"/>
      <c r="L39" s="5"/>
    </row>
    <row r="40" spans="1:12" ht="12.75" x14ac:dyDescent="0.2">
      <c r="A40" s="24"/>
      <c r="B40" s="20"/>
      <c r="C40" s="10"/>
      <c r="D40" s="9"/>
      <c r="E40" s="9"/>
      <c r="F40" s="9"/>
      <c r="G40" s="9"/>
      <c r="H40" s="9"/>
      <c r="I40" s="9"/>
      <c r="J40" s="9"/>
      <c r="K40" s="5"/>
      <c r="L40" s="5"/>
    </row>
    <row r="41" spans="1:12" ht="12.75" x14ac:dyDescent="0.2">
      <c r="A41" s="24"/>
      <c r="B41" s="20"/>
      <c r="C41" s="10"/>
      <c r="D41" s="9"/>
      <c r="E41" s="9"/>
      <c r="F41" s="9"/>
      <c r="G41" s="9"/>
      <c r="H41" s="9"/>
      <c r="I41" s="9"/>
      <c r="J41" s="9"/>
      <c r="K41" s="5"/>
      <c r="L41" s="5"/>
    </row>
    <row r="42" spans="1:12" ht="12.75" x14ac:dyDescent="0.2">
      <c r="A42" s="24"/>
      <c r="B42" s="20"/>
      <c r="C42" s="10"/>
      <c r="D42" s="9"/>
      <c r="E42" s="9"/>
      <c r="F42" s="9"/>
      <c r="G42" s="9"/>
      <c r="H42" s="9"/>
      <c r="I42" s="9"/>
      <c r="J42" s="9"/>
      <c r="K42" s="5"/>
      <c r="L42" s="5"/>
    </row>
    <row r="43" spans="1:12" ht="12.75" x14ac:dyDescent="0.2">
      <c r="A43" s="24"/>
      <c r="B43" s="20"/>
      <c r="C43" s="10"/>
      <c r="D43" s="9"/>
      <c r="E43" s="9"/>
      <c r="F43" s="9"/>
      <c r="G43" s="9"/>
      <c r="H43" s="9"/>
      <c r="I43" s="9"/>
      <c r="J43" s="9"/>
      <c r="K43" s="5"/>
      <c r="L43" s="5"/>
    </row>
    <row r="44" spans="1:12" ht="12.75" x14ac:dyDescent="0.2">
      <c r="A44" s="24"/>
      <c r="B44" s="20"/>
      <c r="C44" s="10"/>
      <c r="D44" s="9"/>
      <c r="E44" s="9"/>
      <c r="F44" s="9"/>
      <c r="G44" s="9"/>
      <c r="H44" s="9"/>
      <c r="I44" s="9"/>
      <c r="J44" s="9"/>
      <c r="K44" s="5"/>
      <c r="L44" s="5"/>
    </row>
    <row r="45" spans="1:12" ht="12.75" x14ac:dyDescent="0.2">
      <c r="A45" s="24"/>
      <c r="B45" s="20"/>
      <c r="C45" s="10"/>
      <c r="D45" s="9"/>
      <c r="E45" s="9"/>
      <c r="F45" s="9"/>
      <c r="G45" s="9"/>
      <c r="H45" s="9"/>
      <c r="I45" s="9"/>
      <c r="J45" s="9"/>
      <c r="K45" s="5"/>
      <c r="L45" s="5"/>
    </row>
    <row r="46" spans="1:12" ht="12.75" x14ac:dyDescent="0.2">
      <c r="A46" s="24"/>
      <c r="B46" s="20"/>
      <c r="C46" s="10"/>
      <c r="D46" s="9"/>
      <c r="E46" s="9"/>
      <c r="F46" s="9"/>
      <c r="G46" s="9"/>
      <c r="H46" s="9"/>
      <c r="I46" s="9"/>
      <c r="J46" s="9"/>
      <c r="K46" s="5"/>
      <c r="L46" s="5"/>
    </row>
    <row r="47" spans="1:12" ht="12.75" x14ac:dyDescent="0.2">
      <c r="A47" s="33"/>
      <c r="B47" s="33"/>
      <c r="C47" s="36">
        <f>SUBTOTAL(109,Tabla3810[PESO NETO KGS])</f>
        <v>930920</v>
      </c>
      <c r="D47" s="33"/>
      <c r="E47" s="33">
        <f>SUM(Tabla3810[ARPILLAS 3RAS])</f>
        <v>18202</v>
      </c>
      <c r="F47" s="33"/>
      <c r="G47" s="33"/>
      <c r="H47" s="33"/>
      <c r="I47" s="33"/>
      <c r="J47" s="33"/>
      <c r="K47" s="5"/>
      <c r="L47" s="5"/>
    </row>
    <row r="48" spans="1:12" ht="12.75" x14ac:dyDescent="0.2">
      <c r="A48" s="12"/>
      <c r="B48" s="12"/>
      <c r="C48" s="13"/>
      <c r="D48" s="13"/>
      <c r="E48" s="13"/>
      <c r="F48" s="12"/>
      <c r="G48" s="12"/>
      <c r="H48" s="12"/>
      <c r="I48" s="12"/>
      <c r="J48" s="5"/>
      <c r="K48" s="5"/>
      <c r="L48" s="5"/>
    </row>
    <row r="49" spans="4:12" ht="12.75" x14ac:dyDescent="0.2">
      <c r="J49" s="5"/>
      <c r="K49" s="5"/>
      <c r="L49" s="5"/>
    </row>
    <row r="50" spans="4:12" ht="12.75" x14ac:dyDescent="0.2">
      <c r="J50" s="5"/>
      <c r="K50" s="5"/>
      <c r="L50" s="5"/>
    </row>
    <row r="51" spans="4:12" ht="12.75" x14ac:dyDescent="0.2">
      <c r="D51" s="19"/>
      <c r="J51" s="5"/>
      <c r="K51" s="5"/>
      <c r="L51" s="5"/>
    </row>
    <row r="52" spans="4:12" ht="12.75" x14ac:dyDescent="0.2">
      <c r="J52" s="5"/>
      <c r="K52" s="5"/>
      <c r="L52" s="5"/>
    </row>
    <row r="53" spans="4:12" ht="12.75" x14ac:dyDescent="0.2">
      <c r="J53" s="5"/>
      <c r="K53" s="5"/>
      <c r="L53" s="5"/>
    </row>
    <row r="54" spans="4:12" ht="12.75" x14ac:dyDescent="0.2">
      <c r="J54" s="5"/>
      <c r="K54" s="5"/>
      <c r="L54" s="5"/>
    </row>
    <row r="55" spans="4:12" ht="12.75" x14ac:dyDescent="0.2">
      <c r="J55" s="5"/>
      <c r="K55" s="5"/>
      <c r="L55" s="5"/>
    </row>
    <row r="56" spans="4:12" ht="12.75" x14ac:dyDescent="0.2">
      <c r="J56" s="5"/>
      <c r="K56" s="5"/>
      <c r="L56" s="5"/>
    </row>
    <row r="57" spans="4:12" ht="12.75" x14ac:dyDescent="0.2">
      <c r="J57" s="5"/>
      <c r="K57" s="5"/>
      <c r="L57" s="5"/>
    </row>
    <row r="58" spans="4:12" ht="12.75" x14ac:dyDescent="0.2">
      <c r="J58" s="5"/>
      <c r="K58" s="5"/>
      <c r="L58" s="5"/>
    </row>
    <row r="59" spans="4:12" ht="12.75" x14ac:dyDescent="0.2">
      <c r="J59" s="5"/>
      <c r="K59" s="5"/>
      <c r="L59" s="5"/>
    </row>
    <row r="60" spans="4:12" ht="12.75" x14ac:dyDescent="0.2">
      <c r="J60" s="5"/>
      <c r="K60" s="5"/>
      <c r="L60" s="5"/>
    </row>
    <row r="61" spans="4:12" ht="12.75" x14ac:dyDescent="0.2">
      <c r="J61" s="5"/>
      <c r="K61" s="5"/>
      <c r="L61" s="5"/>
    </row>
    <row r="62" spans="4:12" ht="12.75" x14ac:dyDescent="0.2">
      <c r="J62" s="5"/>
      <c r="K62" s="5"/>
      <c r="L62" s="5"/>
    </row>
    <row r="63" spans="4:12" ht="12.75" x14ac:dyDescent="0.2">
      <c r="J63" s="5"/>
      <c r="K63" s="5"/>
      <c r="L63" s="5"/>
    </row>
    <row r="64" spans="4:12" ht="12.75" x14ac:dyDescent="0.2">
      <c r="J64" s="5"/>
      <c r="K64" s="5"/>
      <c r="L64" s="5"/>
    </row>
    <row r="65" spans="1:12" ht="12.75" x14ac:dyDescent="0.2">
      <c r="J65" s="5"/>
      <c r="K65" s="5"/>
      <c r="L65" s="5"/>
    </row>
    <row r="66" spans="1:12" ht="12.75" x14ac:dyDescent="0.2">
      <c r="J66" s="5"/>
      <c r="K66" s="5"/>
      <c r="L66" s="5"/>
    </row>
    <row r="67" spans="1:12" ht="12.75" x14ac:dyDescent="0.2">
      <c r="J67" s="5"/>
      <c r="K67" s="5"/>
      <c r="L67" s="5"/>
    </row>
    <row r="68" spans="1:12" ht="12.75" x14ac:dyDescent="0.2">
      <c r="J68" s="5"/>
      <c r="K68" s="5"/>
      <c r="L68" s="5"/>
    </row>
    <row r="69" spans="1:12" ht="12.75" x14ac:dyDescent="0.2">
      <c r="J69" s="5"/>
      <c r="K69" s="5"/>
      <c r="L69" s="5"/>
    </row>
    <row r="70" spans="1:12" ht="12.75" x14ac:dyDescent="0.2">
      <c r="J70" s="5"/>
      <c r="K70" s="5"/>
      <c r="L70" s="5"/>
    </row>
    <row r="71" spans="1:12" ht="12.75" x14ac:dyDescent="0.2">
      <c r="J71" s="5"/>
      <c r="K71" s="5"/>
      <c r="L71" s="5"/>
    </row>
    <row r="72" spans="1:12" ht="12.75" x14ac:dyDescent="0.2">
      <c r="A72" s="5"/>
      <c r="B72" s="5"/>
      <c r="C72" s="4"/>
      <c r="D72" s="5"/>
      <c r="E72" s="5"/>
      <c r="F72" s="5"/>
      <c r="G72" s="5"/>
      <c r="H72" s="5"/>
      <c r="I72" s="5"/>
      <c r="J72" s="5"/>
      <c r="K72" s="5"/>
      <c r="L72" s="5"/>
    </row>
    <row r="73" spans="1:12" ht="12.75" x14ac:dyDescent="0.2">
      <c r="A73" s="5"/>
      <c r="B73" s="5"/>
      <c r="C73" s="4"/>
      <c r="D73" s="5"/>
      <c r="E73" s="5"/>
      <c r="F73" s="5"/>
      <c r="G73" s="5"/>
      <c r="H73" s="5"/>
      <c r="I73" s="5"/>
      <c r="J73" s="5"/>
      <c r="K73" s="5"/>
      <c r="L73" s="5"/>
    </row>
    <row r="74" spans="1:12" ht="12.75" x14ac:dyDescent="0.2">
      <c r="A74" s="5"/>
      <c r="B74" s="5"/>
      <c r="C74" s="4"/>
      <c r="D74" s="5"/>
      <c r="E74" s="5"/>
      <c r="F74" s="5"/>
      <c r="G74" s="5"/>
      <c r="H74" s="5"/>
      <c r="I74" s="5"/>
      <c r="J74" s="5"/>
      <c r="K74" s="5"/>
      <c r="L74" s="5"/>
    </row>
    <row r="75" spans="1:12" ht="12.75" x14ac:dyDescent="0.2">
      <c r="A75" s="5"/>
      <c r="B75" s="5"/>
      <c r="C75" s="4"/>
      <c r="D75" s="5"/>
      <c r="E75" s="5"/>
      <c r="F75" s="5"/>
      <c r="G75" s="5"/>
      <c r="H75" s="5"/>
      <c r="I75" s="5"/>
      <c r="J75" s="5"/>
      <c r="K75" s="5"/>
      <c r="L75" s="5"/>
    </row>
    <row r="76" spans="1:12" ht="12.75" x14ac:dyDescent="0.2">
      <c r="A76" s="5"/>
      <c r="B76" s="5"/>
      <c r="C76" s="4"/>
      <c r="D76" s="5"/>
      <c r="E76" s="5"/>
      <c r="F76" s="5"/>
      <c r="G76" s="5"/>
      <c r="H76" s="5"/>
      <c r="I76" s="5"/>
      <c r="J76" s="5"/>
      <c r="K76" s="5"/>
      <c r="L76" s="5"/>
    </row>
    <row r="77" spans="1:12" ht="12.75" x14ac:dyDescent="0.2">
      <c r="A77" s="5"/>
      <c r="B77" s="5"/>
      <c r="C77" s="4"/>
      <c r="D77" s="5"/>
      <c r="E77" s="5"/>
      <c r="F77" s="5"/>
      <c r="G77" s="5"/>
      <c r="H77" s="5"/>
      <c r="I77" s="5"/>
      <c r="J77" s="5"/>
      <c r="K77" s="5"/>
      <c r="L77" s="5"/>
    </row>
    <row r="78" spans="1:12" ht="12.75" x14ac:dyDescent="0.2">
      <c r="A78" s="5"/>
      <c r="B78" s="5"/>
      <c r="C78" s="4"/>
      <c r="D78" s="5"/>
      <c r="E78" s="5"/>
      <c r="F78" s="5"/>
      <c r="G78" s="5"/>
      <c r="H78" s="5"/>
      <c r="I78" s="5"/>
      <c r="J78" s="5"/>
      <c r="K78" s="5"/>
      <c r="L78" s="5"/>
    </row>
    <row r="79" spans="1:12" ht="12.75" x14ac:dyDescent="0.2">
      <c r="A79" s="5"/>
      <c r="B79" s="5"/>
      <c r="C79" s="4"/>
      <c r="D79" s="5"/>
      <c r="E79" s="5"/>
      <c r="F79" s="5"/>
      <c r="G79" s="5"/>
      <c r="H79" s="5"/>
      <c r="I79" s="5"/>
      <c r="J79" s="5"/>
      <c r="K79" s="5"/>
      <c r="L79" s="5"/>
    </row>
    <row r="80" spans="1:12" ht="12.75" x14ac:dyDescent="0.2">
      <c r="A80" s="5"/>
      <c r="B80" s="5"/>
      <c r="C80" s="4"/>
      <c r="D80" s="5"/>
      <c r="E80" s="5"/>
      <c r="F80" s="5"/>
      <c r="G80" s="5"/>
      <c r="H80" s="5"/>
      <c r="I80" s="5"/>
      <c r="J80" s="5"/>
      <c r="K80" s="5"/>
      <c r="L80" s="5"/>
    </row>
    <row r="81" spans="1:12" ht="12.75" x14ac:dyDescent="0.2">
      <c r="A81" s="5"/>
      <c r="B81" s="5"/>
      <c r="C81" s="4"/>
      <c r="D81" s="5"/>
      <c r="E81" s="5"/>
      <c r="F81" s="5"/>
      <c r="G81" s="5"/>
      <c r="H81" s="5"/>
      <c r="I81" s="5"/>
      <c r="J81" s="5"/>
      <c r="K81" s="5"/>
      <c r="L81" s="5"/>
    </row>
    <row r="82" spans="1:12" ht="12.75" x14ac:dyDescent="0.2">
      <c r="A82" s="5"/>
      <c r="B82" s="5"/>
      <c r="C82" s="4"/>
      <c r="D82" s="5"/>
      <c r="E82" s="5"/>
      <c r="F82" s="5"/>
      <c r="G82" s="5"/>
      <c r="H82" s="5"/>
      <c r="I82" s="5"/>
      <c r="J82" s="5"/>
      <c r="K82" s="5"/>
      <c r="L82" s="5"/>
    </row>
    <row r="83" spans="1:12" ht="12.75" x14ac:dyDescent="0.2">
      <c r="A83" s="5"/>
      <c r="B83" s="5"/>
      <c r="C83" s="4"/>
      <c r="D83" s="5"/>
      <c r="E83" s="5"/>
      <c r="F83" s="5"/>
      <c r="G83" s="5"/>
      <c r="H83" s="5"/>
      <c r="I83" s="5"/>
      <c r="J83" s="5"/>
      <c r="K83" s="5"/>
      <c r="L83" s="5"/>
    </row>
    <row r="84" spans="1:12" ht="12.75" x14ac:dyDescent="0.2">
      <c r="A84" s="5"/>
      <c r="B84" s="5"/>
      <c r="C84" s="4"/>
      <c r="D84" s="5"/>
      <c r="E84" s="5"/>
      <c r="F84" s="5"/>
      <c r="G84" s="5"/>
      <c r="H84" s="5"/>
      <c r="I84" s="5"/>
      <c r="J84" s="5"/>
      <c r="K84" s="5"/>
      <c r="L84" s="5"/>
    </row>
    <row r="85" spans="1:12" ht="12.75" x14ac:dyDescent="0.2">
      <c r="A85" s="5"/>
      <c r="B85" s="5"/>
      <c r="C85" s="4"/>
      <c r="D85" s="5"/>
      <c r="E85" s="5"/>
      <c r="F85" s="5"/>
      <c r="G85" s="5"/>
      <c r="H85" s="5"/>
      <c r="I85" s="5"/>
      <c r="J85" s="5"/>
      <c r="K85" s="5"/>
      <c r="L85" s="5"/>
    </row>
    <row r="86" spans="1:12" ht="12.75" x14ac:dyDescent="0.2">
      <c r="A86" s="5"/>
      <c r="B86" s="5"/>
      <c r="C86" s="4"/>
      <c r="D86" s="5"/>
      <c r="E86" s="5"/>
      <c r="F86" s="5"/>
      <c r="G86" s="5"/>
      <c r="H86" s="5"/>
      <c r="I86" s="5"/>
      <c r="J86" s="5"/>
      <c r="K86" s="5"/>
      <c r="L86" s="5"/>
    </row>
    <row r="87" spans="1:12" ht="12.75" x14ac:dyDescent="0.2">
      <c r="A87" s="5"/>
      <c r="B87" s="5"/>
      <c r="C87" s="4"/>
      <c r="D87" s="5"/>
      <c r="E87" s="5"/>
      <c r="F87" s="5"/>
      <c r="G87" s="5"/>
      <c r="H87" s="5"/>
      <c r="I87" s="5"/>
      <c r="J87" s="5"/>
      <c r="K87" s="5"/>
      <c r="L87" s="5"/>
    </row>
    <row r="88" spans="1:12" ht="12.75" x14ac:dyDescent="0.2">
      <c r="A88" s="5"/>
      <c r="B88" s="5"/>
      <c r="C88" s="4"/>
      <c r="D88" s="5"/>
      <c r="E88" s="5"/>
      <c r="F88" s="5"/>
      <c r="G88" s="5"/>
      <c r="H88" s="5"/>
      <c r="I88" s="5"/>
      <c r="J88" s="5"/>
      <c r="K88" s="5"/>
      <c r="L88" s="5"/>
    </row>
    <row r="89" spans="1:12" ht="12.75" x14ac:dyDescent="0.2">
      <c r="A89" s="5"/>
      <c r="B89" s="5"/>
      <c r="C89" s="4"/>
      <c r="D89" s="5"/>
      <c r="E89" s="5"/>
      <c r="F89" s="5"/>
      <c r="G89" s="5"/>
      <c r="H89" s="5"/>
      <c r="I89" s="5"/>
      <c r="J89" s="5"/>
      <c r="K89" s="5"/>
      <c r="L89" s="5"/>
    </row>
    <row r="90" spans="1:12" ht="12.75" x14ac:dyDescent="0.2">
      <c r="A90" s="5"/>
      <c r="B90" s="5"/>
      <c r="C90" s="4"/>
      <c r="D90" s="5"/>
      <c r="E90" s="5"/>
      <c r="F90" s="5"/>
      <c r="G90" s="5"/>
      <c r="H90" s="5"/>
      <c r="I90" s="5"/>
      <c r="J90" s="5"/>
      <c r="K90" s="5"/>
      <c r="L90" s="5"/>
    </row>
    <row r="91" spans="1:12" ht="12.75" x14ac:dyDescent="0.2">
      <c r="A91" s="5"/>
      <c r="B91" s="5"/>
      <c r="C91" s="4"/>
      <c r="D91" s="5"/>
      <c r="E91" s="5"/>
      <c r="F91" s="5"/>
      <c r="G91" s="5"/>
      <c r="H91" s="5"/>
      <c r="I91" s="5"/>
      <c r="J91" s="5"/>
      <c r="K91" s="5"/>
      <c r="L91" s="5"/>
    </row>
    <row r="92" spans="1:12" ht="12.75" x14ac:dyDescent="0.2">
      <c r="A92" s="5"/>
      <c r="B92" s="5"/>
      <c r="C92" s="4"/>
      <c r="D92" s="5"/>
      <c r="E92" s="5"/>
      <c r="F92" s="5"/>
      <c r="G92" s="5"/>
      <c r="H92" s="5"/>
      <c r="I92" s="5"/>
      <c r="J92" s="5"/>
      <c r="K92" s="5"/>
      <c r="L92" s="5"/>
    </row>
    <row r="93" spans="1:12" ht="12.75" x14ac:dyDescent="0.2">
      <c r="A93" s="5"/>
      <c r="B93" s="5"/>
      <c r="C93" s="4"/>
      <c r="D93" s="5"/>
      <c r="E93" s="5"/>
      <c r="F93" s="5"/>
      <c r="G93" s="5"/>
      <c r="H93" s="5"/>
      <c r="I93" s="5"/>
      <c r="J93" s="5"/>
      <c r="K93" s="5"/>
      <c r="L93" s="5"/>
    </row>
    <row r="94" spans="1:12" ht="12.75" x14ac:dyDescent="0.2">
      <c r="A94" s="5"/>
      <c r="B94" s="5"/>
      <c r="C94" s="4"/>
      <c r="D94" s="5"/>
      <c r="E94" s="5"/>
      <c r="F94" s="5"/>
      <c r="G94" s="5"/>
      <c r="H94" s="5"/>
      <c r="I94" s="5"/>
      <c r="J94" s="5"/>
      <c r="K94" s="5"/>
      <c r="L94" s="5"/>
    </row>
    <row r="95" spans="1:12" ht="12.75" x14ac:dyDescent="0.2">
      <c r="A95" s="5"/>
      <c r="B95" s="5"/>
      <c r="C95" s="4"/>
      <c r="D95" s="5"/>
      <c r="E95" s="5"/>
      <c r="F95" s="5"/>
      <c r="G95" s="5"/>
      <c r="H95" s="5"/>
      <c r="I95" s="5"/>
      <c r="J95" s="5"/>
      <c r="K95" s="5"/>
      <c r="L95" s="5"/>
    </row>
    <row r="96" spans="1:12" ht="12.75" x14ac:dyDescent="0.2">
      <c r="A96" s="5"/>
      <c r="B96" s="5"/>
      <c r="C96" s="4"/>
      <c r="D96" s="5"/>
      <c r="E96" s="5"/>
      <c r="F96" s="5"/>
      <c r="G96" s="5"/>
      <c r="H96" s="5"/>
      <c r="I96" s="5"/>
      <c r="J96" s="5"/>
      <c r="K96" s="5"/>
      <c r="L96" s="5"/>
    </row>
    <row r="97" spans="1:12" ht="12.75" x14ac:dyDescent="0.2">
      <c r="A97" s="5"/>
      <c r="B97" s="5"/>
      <c r="C97" s="4"/>
      <c r="D97" s="5"/>
      <c r="E97" s="5"/>
      <c r="F97" s="5"/>
      <c r="G97" s="5"/>
      <c r="H97" s="5"/>
      <c r="I97" s="5"/>
      <c r="J97" s="5"/>
      <c r="K97" s="5"/>
      <c r="L97" s="5"/>
    </row>
    <row r="98" spans="1:12" ht="12.75" x14ac:dyDescent="0.2">
      <c r="A98" s="5"/>
      <c r="B98" s="5"/>
      <c r="C98" s="4"/>
      <c r="D98" s="5"/>
      <c r="E98" s="5"/>
      <c r="F98" s="5"/>
      <c r="G98" s="5"/>
      <c r="H98" s="5"/>
      <c r="I98" s="5"/>
      <c r="J98" s="5"/>
      <c r="K98" s="5"/>
      <c r="L98" s="5"/>
    </row>
    <row r="99" spans="1:12" ht="12.75" x14ac:dyDescent="0.2">
      <c r="A99" s="5"/>
      <c r="B99" s="5"/>
      <c r="C99" s="4"/>
      <c r="D99" s="5"/>
      <c r="E99" s="5"/>
      <c r="F99" s="5"/>
      <c r="G99" s="5"/>
      <c r="H99" s="5"/>
      <c r="I99" s="5"/>
      <c r="J99" s="5"/>
      <c r="K99" s="5"/>
      <c r="L99" s="5"/>
    </row>
    <row r="100" spans="1:12" ht="12.75" x14ac:dyDescent="0.2">
      <c r="A100" s="5"/>
      <c r="B100" s="5"/>
      <c r="C100" s="4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2.75" x14ac:dyDescent="0.2">
      <c r="A101" s="5"/>
      <c r="B101" s="5"/>
      <c r="C101" s="4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2.75" x14ac:dyDescent="0.2">
      <c r="A102" s="5"/>
      <c r="B102" s="5"/>
      <c r="C102" s="4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2.75" x14ac:dyDescent="0.2">
      <c r="A103" s="5"/>
      <c r="B103" s="5"/>
      <c r="C103" s="4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2.75" x14ac:dyDescent="0.2">
      <c r="A104" s="5"/>
      <c r="B104" s="5"/>
      <c r="C104" s="4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2.75" x14ac:dyDescent="0.2">
      <c r="A105" s="5"/>
      <c r="B105" s="5"/>
      <c r="C105" s="4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2.75" x14ac:dyDescent="0.2">
      <c r="A106" s="5"/>
      <c r="B106" s="5"/>
      <c r="C106" s="4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2.75" x14ac:dyDescent="0.2">
      <c r="A107" s="5"/>
      <c r="B107" s="5"/>
      <c r="C107" s="4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2.75" x14ac:dyDescent="0.2">
      <c r="A108" s="5"/>
      <c r="B108" s="5"/>
      <c r="C108" s="4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2.75" x14ac:dyDescent="0.2">
      <c r="A109" s="5"/>
      <c r="B109" s="5"/>
      <c r="C109" s="4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2.75" x14ac:dyDescent="0.2">
      <c r="A110" s="5"/>
      <c r="B110" s="5"/>
      <c r="C110" s="4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2.75" x14ac:dyDescent="0.2">
      <c r="A111" s="5"/>
      <c r="B111" s="5"/>
      <c r="C111" s="4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2.75" x14ac:dyDescent="0.2">
      <c r="A112" s="5"/>
      <c r="B112" s="5"/>
      <c r="C112" s="4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2.75" x14ac:dyDescent="0.2">
      <c r="A113" s="5"/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2.75" x14ac:dyDescent="0.2">
      <c r="A114" s="5"/>
      <c r="B114" s="5"/>
      <c r="C114" s="4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2.75" x14ac:dyDescent="0.2">
      <c r="A115" s="5"/>
      <c r="B115" s="5"/>
      <c r="C115" s="4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2.75" x14ac:dyDescent="0.2">
      <c r="A116" s="5"/>
      <c r="B116" s="5"/>
      <c r="C116" s="4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2.75" x14ac:dyDescent="0.2">
      <c r="A117" s="5"/>
      <c r="B117" s="5"/>
      <c r="C117" s="4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2.75" x14ac:dyDescent="0.2">
      <c r="A118" s="5"/>
      <c r="B118" s="5"/>
      <c r="C118" s="4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2.75" x14ac:dyDescent="0.2">
      <c r="A119" s="5"/>
      <c r="B119" s="5"/>
      <c r="C119" s="4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2.75" x14ac:dyDescent="0.2">
      <c r="A120" s="5"/>
      <c r="B120" s="5"/>
      <c r="C120" s="4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2.75" x14ac:dyDescent="0.2">
      <c r="A121" s="5"/>
      <c r="B121" s="5"/>
      <c r="C121" s="4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2.75" x14ac:dyDescent="0.2">
      <c r="A122" s="5"/>
      <c r="B122" s="5"/>
      <c r="C122" s="4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2.75" x14ac:dyDescent="0.2">
      <c r="A123" s="5"/>
      <c r="B123" s="5"/>
      <c r="C123" s="4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2.75" x14ac:dyDescent="0.2">
      <c r="A124" s="5"/>
      <c r="B124" s="5"/>
      <c r="C124" s="4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2.75" x14ac:dyDescent="0.2">
      <c r="A125" s="5"/>
      <c r="B125" s="5"/>
      <c r="C125" s="4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2.75" x14ac:dyDescent="0.2">
      <c r="A126" s="5"/>
      <c r="B126" s="5"/>
      <c r="C126" s="4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2.75" x14ac:dyDescent="0.2">
      <c r="A127" s="5"/>
      <c r="B127" s="5"/>
      <c r="C127" s="4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2.75" x14ac:dyDescent="0.2">
      <c r="A128" s="5"/>
      <c r="B128" s="5"/>
      <c r="C128" s="4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2.75" x14ac:dyDescent="0.2">
      <c r="A129" s="5"/>
      <c r="B129" s="5"/>
      <c r="C129" s="4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2.75" x14ac:dyDescent="0.2">
      <c r="A130" s="5"/>
      <c r="B130" s="5"/>
      <c r="C130" s="4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2.75" x14ac:dyDescent="0.2">
      <c r="A131" s="5"/>
      <c r="B131" s="5"/>
      <c r="C131" s="4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2.75" x14ac:dyDescent="0.2">
      <c r="A132" s="5"/>
      <c r="B132" s="5"/>
      <c r="C132" s="4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2.75" x14ac:dyDescent="0.2">
      <c r="A133" s="5"/>
      <c r="B133" s="5"/>
      <c r="C133" s="4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2.75" x14ac:dyDescent="0.2">
      <c r="A134" s="5"/>
      <c r="B134" s="5"/>
      <c r="C134" s="4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2.75" x14ac:dyDescent="0.2">
      <c r="A135" s="5"/>
      <c r="B135" s="5"/>
      <c r="C135" s="4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2.75" x14ac:dyDescent="0.2">
      <c r="A136" s="5"/>
      <c r="B136" s="5"/>
      <c r="C136" s="4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2.75" x14ac:dyDescent="0.2">
      <c r="A137" s="5"/>
      <c r="B137" s="5"/>
      <c r="C137" s="4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2.75" x14ac:dyDescent="0.2">
      <c r="A138" s="5"/>
      <c r="B138" s="5"/>
      <c r="C138" s="4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2.75" x14ac:dyDescent="0.2">
      <c r="A139" s="5"/>
      <c r="B139" s="5"/>
      <c r="C139" s="4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2.75" x14ac:dyDescent="0.2">
      <c r="A140" s="5"/>
      <c r="B140" s="5"/>
      <c r="C140" s="4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2.75" x14ac:dyDescent="0.2">
      <c r="A141" s="5"/>
      <c r="B141" s="5"/>
      <c r="C141" s="4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2.75" x14ac:dyDescent="0.2">
      <c r="A142" s="5"/>
      <c r="B142" s="5"/>
      <c r="C142" s="4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2.75" x14ac:dyDescent="0.2">
      <c r="A143" s="5"/>
      <c r="B143" s="5"/>
      <c r="C143" s="4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2.75" x14ac:dyDescent="0.2">
      <c r="A144" s="5"/>
      <c r="B144" s="5"/>
      <c r="C144" s="4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2.75" x14ac:dyDescent="0.2">
      <c r="A145" s="5"/>
      <c r="B145" s="5"/>
      <c r="C145" s="4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2.75" x14ac:dyDescent="0.2">
      <c r="A146" s="5"/>
      <c r="B146" s="5"/>
      <c r="C146" s="4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2.75" x14ac:dyDescent="0.2">
      <c r="A147" s="5"/>
      <c r="B147" s="5"/>
      <c r="C147" s="4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2.75" x14ac:dyDescent="0.2">
      <c r="A148" s="5"/>
      <c r="B148" s="5"/>
      <c r="C148" s="4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2.75" x14ac:dyDescent="0.2">
      <c r="A149" s="5"/>
      <c r="B149" s="5"/>
      <c r="C149" s="4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2.75" x14ac:dyDescent="0.2">
      <c r="A150" s="5"/>
      <c r="B150" s="5"/>
      <c r="C150" s="4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2.75" x14ac:dyDescent="0.2">
      <c r="A151" s="5"/>
      <c r="B151" s="5"/>
      <c r="C151" s="4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2.75" x14ac:dyDescent="0.2">
      <c r="A152" s="5"/>
      <c r="B152" s="5"/>
      <c r="C152" s="4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2.75" x14ac:dyDescent="0.2">
      <c r="A153" s="5"/>
      <c r="B153" s="5"/>
      <c r="C153" s="4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2.75" x14ac:dyDescent="0.2">
      <c r="A154" s="5"/>
      <c r="B154" s="5"/>
      <c r="C154" s="4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2.75" x14ac:dyDescent="0.2">
      <c r="A155" s="5"/>
      <c r="B155" s="5"/>
      <c r="C155" s="4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2.75" x14ac:dyDescent="0.2">
      <c r="A156" s="5"/>
      <c r="B156" s="5"/>
      <c r="C156" s="4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2.75" x14ac:dyDescent="0.2">
      <c r="A157" s="5"/>
      <c r="B157" s="5"/>
      <c r="C157" s="4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2.75" x14ac:dyDescent="0.2">
      <c r="A158" s="5"/>
      <c r="B158" s="5"/>
      <c r="C158" s="4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2.75" x14ac:dyDescent="0.2">
      <c r="A159" s="5"/>
      <c r="B159" s="5"/>
      <c r="C159" s="4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2.75" x14ac:dyDescent="0.2">
      <c r="A160" s="5"/>
      <c r="B160" s="5"/>
      <c r="C160" s="4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2.75" x14ac:dyDescent="0.2">
      <c r="A161" s="5"/>
      <c r="B161" s="5"/>
      <c r="C161" s="4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2.75" x14ac:dyDescent="0.2">
      <c r="A162" s="5"/>
      <c r="B162" s="5"/>
      <c r="C162" s="4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2.75" x14ac:dyDescent="0.2">
      <c r="A163" s="5"/>
      <c r="B163" s="5"/>
      <c r="C163" s="4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2.75" x14ac:dyDescent="0.2">
      <c r="A164" s="5"/>
      <c r="B164" s="5"/>
      <c r="C164" s="4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2.75" x14ac:dyDescent="0.2">
      <c r="A165" s="5"/>
      <c r="B165" s="5"/>
      <c r="C165" s="4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2.75" x14ac:dyDescent="0.2">
      <c r="A166" s="5"/>
      <c r="B166" s="5"/>
      <c r="C166" s="4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2.75" x14ac:dyDescent="0.2">
      <c r="A167" s="5"/>
      <c r="B167" s="5"/>
      <c r="C167" s="4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2.75" x14ac:dyDescent="0.2">
      <c r="A168" s="5"/>
      <c r="B168" s="5"/>
      <c r="C168" s="4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2.75" x14ac:dyDescent="0.2">
      <c r="A169" s="5"/>
      <c r="B169" s="5"/>
      <c r="C169" s="4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2.75" x14ac:dyDescent="0.2">
      <c r="A170" s="5"/>
      <c r="B170" s="5"/>
      <c r="C170" s="4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2.75" x14ac:dyDescent="0.2">
      <c r="A171" s="5"/>
      <c r="B171" s="5"/>
      <c r="C171" s="4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2.75" x14ac:dyDescent="0.2">
      <c r="A172" s="5"/>
      <c r="B172" s="5"/>
      <c r="C172" s="4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2.75" x14ac:dyDescent="0.2">
      <c r="A173" s="5"/>
      <c r="B173" s="5"/>
      <c r="C173" s="4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2.75" x14ac:dyDescent="0.2">
      <c r="A174" s="5"/>
      <c r="B174" s="5"/>
      <c r="C174" s="4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2.75" x14ac:dyDescent="0.2">
      <c r="A175" s="5"/>
      <c r="B175" s="5"/>
      <c r="C175" s="4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2.75" x14ac:dyDescent="0.2">
      <c r="A176" s="5"/>
      <c r="B176" s="5"/>
      <c r="C176" s="4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2.75" x14ac:dyDescent="0.2">
      <c r="A177" s="5"/>
      <c r="B177" s="5"/>
      <c r="C177" s="4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2.75" x14ac:dyDescent="0.2">
      <c r="A178" s="5"/>
      <c r="B178" s="5"/>
      <c r="C178" s="4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2.75" x14ac:dyDescent="0.2">
      <c r="A179" s="5"/>
      <c r="B179" s="5"/>
      <c r="C179" s="4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2.75" x14ac:dyDescent="0.2">
      <c r="A180" s="5"/>
      <c r="B180" s="5"/>
      <c r="C180" s="4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2.75" x14ac:dyDescent="0.2">
      <c r="A181" s="5"/>
      <c r="B181" s="5"/>
      <c r="C181" s="4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2.75" x14ac:dyDescent="0.2">
      <c r="A182" s="5"/>
      <c r="B182" s="5"/>
      <c r="C182" s="4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2.75" x14ac:dyDescent="0.2">
      <c r="A183" s="5"/>
      <c r="B183" s="5"/>
      <c r="C183" s="4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2.75" x14ac:dyDescent="0.2">
      <c r="A184" s="5"/>
      <c r="B184" s="5"/>
      <c r="C184" s="4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2.75" x14ac:dyDescent="0.2">
      <c r="A185" s="5"/>
      <c r="B185" s="5"/>
      <c r="C185" s="4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2.75" x14ac:dyDescent="0.2">
      <c r="A186" s="5"/>
      <c r="B186" s="5"/>
      <c r="C186" s="4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2.75" x14ac:dyDescent="0.2">
      <c r="A187" s="5"/>
      <c r="B187" s="5"/>
      <c r="C187" s="4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2.75" x14ac:dyDescent="0.2">
      <c r="A188" s="5"/>
      <c r="B188" s="5"/>
      <c r="C188" s="4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2.75" x14ac:dyDescent="0.2">
      <c r="A189" s="5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2.75" x14ac:dyDescent="0.2">
      <c r="A190" s="5"/>
      <c r="B190" s="5"/>
      <c r="C190" s="4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2.75" x14ac:dyDescent="0.2">
      <c r="A191" s="5"/>
      <c r="B191" s="5"/>
      <c r="C191" s="4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2.75" x14ac:dyDescent="0.2">
      <c r="A192" s="5"/>
      <c r="B192" s="5"/>
      <c r="C192" s="4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2.75" x14ac:dyDescent="0.2">
      <c r="A193" s="5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2.75" x14ac:dyDescent="0.2">
      <c r="A194" s="5"/>
      <c r="B194" s="5"/>
      <c r="C194" s="4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2.75" x14ac:dyDescent="0.2">
      <c r="A195" s="5"/>
      <c r="B195" s="5"/>
      <c r="C195" s="4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2.75" x14ac:dyDescent="0.2">
      <c r="A196" s="5"/>
      <c r="B196" s="5"/>
      <c r="C196" s="4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2.75" x14ac:dyDescent="0.2">
      <c r="A197" s="5"/>
      <c r="B197" s="5"/>
      <c r="C197" s="4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2.75" x14ac:dyDescent="0.2">
      <c r="A198" s="5"/>
      <c r="B198" s="5"/>
      <c r="C198" s="4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2.75" x14ac:dyDescent="0.2">
      <c r="A199" s="5"/>
      <c r="B199" s="5"/>
      <c r="C199" s="4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2.75" x14ac:dyDescent="0.2">
      <c r="A200" s="5"/>
      <c r="B200" s="5"/>
      <c r="C200" s="4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2.75" x14ac:dyDescent="0.2">
      <c r="A201" s="5"/>
      <c r="B201" s="5"/>
      <c r="C201" s="4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2.75" x14ac:dyDescent="0.2">
      <c r="A202" s="5"/>
      <c r="B202" s="5"/>
      <c r="C202" s="4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2.75" x14ac:dyDescent="0.2">
      <c r="A203" s="5"/>
      <c r="B203" s="5"/>
      <c r="C203" s="4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2.75" x14ac:dyDescent="0.2">
      <c r="A204" s="5"/>
      <c r="B204" s="5"/>
      <c r="C204" s="4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2.75" x14ac:dyDescent="0.2">
      <c r="A205" s="5"/>
      <c r="B205" s="5"/>
      <c r="C205" s="4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2.75" x14ac:dyDescent="0.2">
      <c r="A206" s="5"/>
      <c r="B206" s="5"/>
      <c r="C206" s="4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2.75" x14ac:dyDescent="0.2">
      <c r="A207" s="5"/>
      <c r="B207" s="5"/>
      <c r="C207" s="4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2.75" x14ac:dyDescent="0.2">
      <c r="A208" s="5"/>
      <c r="B208" s="5"/>
      <c r="C208" s="4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2.75" x14ac:dyDescent="0.2">
      <c r="A209" s="5"/>
      <c r="B209" s="5"/>
      <c r="C209" s="4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2.75" x14ac:dyDescent="0.2">
      <c r="A210" s="5"/>
      <c r="B210" s="5"/>
      <c r="C210" s="4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2.75" x14ac:dyDescent="0.2">
      <c r="A211" s="5"/>
      <c r="B211" s="5"/>
      <c r="C211" s="4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2.75" x14ac:dyDescent="0.2">
      <c r="A212" s="5"/>
      <c r="B212" s="5"/>
      <c r="C212" s="4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2.75" x14ac:dyDescent="0.2">
      <c r="A213" s="5"/>
      <c r="B213" s="5"/>
      <c r="C213" s="4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2.75" x14ac:dyDescent="0.2">
      <c r="A214" s="5"/>
      <c r="B214" s="5"/>
      <c r="C214" s="4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2.75" x14ac:dyDescent="0.2">
      <c r="A215" s="5"/>
      <c r="B215" s="5"/>
      <c r="C215" s="4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2.75" x14ac:dyDescent="0.2">
      <c r="A216" s="5"/>
      <c r="B216" s="5"/>
      <c r="C216" s="4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2.75" x14ac:dyDescent="0.2">
      <c r="A217" s="5"/>
      <c r="B217" s="5"/>
      <c r="C217" s="4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2.75" x14ac:dyDescent="0.2">
      <c r="A218" s="5"/>
      <c r="B218" s="5"/>
      <c r="C218" s="4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2.75" x14ac:dyDescent="0.2">
      <c r="A219" s="5"/>
      <c r="B219" s="5"/>
      <c r="C219" s="4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2.75" x14ac:dyDescent="0.2">
      <c r="A220" s="5"/>
      <c r="B220" s="5"/>
      <c r="C220" s="4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2.75" x14ac:dyDescent="0.2">
      <c r="A221" s="5"/>
      <c r="B221" s="5"/>
      <c r="C221" s="4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2.75" x14ac:dyDescent="0.2">
      <c r="A222" s="5"/>
      <c r="B222" s="5"/>
      <c r="C222" s="4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2.75" x14ac:dyDescent="0.2">
      <c r="A223" s="5"/>
      <c r="B223" s="5"/>
      <c r="C223" s="4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2.75" x14ac:dyDescent="0.2">
      <c r="A224" s="5"/>
      <c r="B224" s="5"/>
      <c r="C224" s="4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2.75" x14ac:dyDescent="0.2">
      <c r="A225" s="5"/>
      <c r="B225" s="5"/>
      <c r="C225" s="4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2.75" x14ac:dyDescent="0.2">
      <c r="A226" s="5"/>
      <c r="B226" s="5"/>
      <c r="C226" s="4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2.75" x14ac:dyDescent="0.2">
      <c r="A227" s="5"/>
      <c r="B227" s="5"/>
      <c r="C227" s="4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2.75" x14ac:dyDescent="0.2">
      <c r="A228" s="5"/>
      <c r="B228" s="5"/>
      <c r="C228" s="4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2.75" x14ac:dyDescent="0.2">
      <c r="A229" s="5"/>
      <c r="B229" s="5"/>
      <c r="C229" s="4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2.75" x14ac:dyDescent="0.2">
      <c r="A230" s="5"/>
      <c r="B230" s="5"/>
      <c r="C230" s="4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2.75" x14ac:dyDescent="0.2">
      <c r="A231" s="5"/>
      <c r="B231" s="5"/>
      <c r="C231" s="4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2.75" x14ac:dyDescent="0.2">
      <c r="A232" s="5"/>
      <c r="B232" s="5"/>
      <c r="C232" s="4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2.75" x14ac:dyDescent="0.2">
      <c r="A233" s="5"/>
      <c r="B233" s="5"/>
      <c r="C233" s="4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2.75" x14ac:dyDescent="0.2">
      <c r="A234" s="5"/>
      <c r="B234" s="5"/>
      <c r="C234" s="4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2.75" x14ac:dyDescent="0.2">
      <c r="A235" s="5"/>
      <c r="B235" s="5"/>
      <c r="C235" s="4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2.75" x14ac:dyDescent="0.2">
      <c r="A236" s="5"/>
      <c r="B236" s="5"/>
      <c r="C236" s="4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2.75" x14ac:dyDescent="0.2">
      <c r="A237" s="5"/>
      <c r="B237" s="5"/>
      <c r="C237" s="4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2.75" x14ac:dyDescent="0.2">
      <c r="A238" s="5"/>
      <c r="B238" s="5"/>
      <c r="C238" s="4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2.75" x14ac:dyDescent="0.2">
      <c r="A239" s="5"/>
      <c r="B239" s="5"/>
      <c r="C239" s="4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2.75" x14ac:dyDescent="0.2">
      <c r="A240" s="5"/>
      <c r="B240" s="5"/>
      <c r="C240" s="4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2.75" x14ac:dyDescent="0.2">
      <c r="A241" s="5"/>
      <c r="B241" s="5"/>
      <c r="C241" s="4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2.75" x14ac:dyDescent="0.2">
      <c r="A242" s="5"/>
      <c r="B242" s="5"/>
      <c r="C242" s="4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2.75" x14ac:dyDescent="0.2">
      <c r="A243" s="5"/>
      <c r="B243" s="5"/>
      <c r="C243" s="4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2.75" x14ac:dyDescent="0.2">
      <c r="A244" s="5"/>
      <c r="B244" s="5"/>
      <c r="C244" s="4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2.75" x14ac:dyDescent="0.2">
      <c r="A245" s="5"/>
      <c r="B245" s="5"/>
      <c r="C245" s="4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2.75" x14ac:dyDescent="0.2">
      <c r="A246" s="5"/>
      <c r="B246" s="5"/>
      <c r="C246" s="4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2.75" x14ac:dyDescent="0.2">
      <c r="A247" s="5"/>
      <c r="B247" s="5"/>
      <c r="C247" s="4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2.75" x14ac:dyDescent="0.2">
      <c r="A248" s="5"/>
      <c r="B248" s="5"/>
      <c r="C248" s="4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2.75" x14ac:dyDescent="0.2">
      <c r="A249" s="5"/>
      <c r="B249" s="5"/>
      <c r="C249" s="4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2.75" x14ac:dyDescent="0.2">
      <c r="A250" s="5"/>
      <c r="B250" s="5"/>
      <c r="C250" s="4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2.75" x14ac:dyDescent="0.2">
      <c r="A251" s="5"/>
      <c r="B251" s="5"/>
      <c r="C251" s="4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2.75" x14ac:dyDescent="0.2">
      <c r="A252" s="5"/>
      <c r="B252" s="5"/>
      <c r="C252" s="4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2.75" x14ac:dyDescent="0.2">
      <c r="A253" s="5"/>
      <c r="B253" s="5"/>
      <c r="C253" s="4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2.75" x14ac:dyDescent="0.2">
      <c r="A254" s="5"/>
      <c r="B254" s="5"/>
      <c r="C254" s="4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2.75" x14ac:dyDescent="0.2">
      <c r="A255" s="5"/>
      <c r="B255" s="5"/>
      <c r="C255" s="4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2.75" x14ac:dyDescent="0.2">
      <c r="A256" s="5"/>
      <c r="B256" s="5"/>
      <c r="C256" s="4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2.75" x14ac:dyDescent="0.2">
      <c r="A257" s="5"/>
      <c r="B257" s="5"/>
      <c r="C257" s="4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2.75" x14ac:dyDescent="0.2">
      <c r="A258" s="5"/>
      <c r="B258" s="5"/>
      <c r="C258" s="4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2.75" x14ac:dyDescent="0.2">
      <c r="A259" s="5"/>
      <c r="B259" s="5"/>
      <c r="C259" s="4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2.75" x14ac:dyDescent="0.2">
      <c r="A260" s="5"/>
      <c r="B260" s="5"/>
      <c r="C260" s="4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2.75" x14ac:dyDescent="0.2">
      <c r="A261" s="5"/>
      <c r="B261" s="5"/>
      <c r="C261" s="4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2.75" x14ac:dyDescent="0.2">
      <c r="A262" s="5"/>
      <c r="B262" s="5"/>
      <c r="C262" s="4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2.75" x14ac:dyDescent="0.2">
      <c r="A263" s="5"/>
      <c r="B263" s="5"/>
      <c r="C263" s="4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2.75" x14ac:dyDescent="0.2">
      <c r="A264" s="5"/>
      <c r="B264" s="5"/>
      <c r="C264" s="4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2.75" x14ac:dyDescent="0.2">
      <c r="A265" s="5"/>
      <c r="B265" s="5"/>
      <c r="C265" s="4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2.75" x14ac:dyDescent="0.2">
      <c r="A266" s="5"/>
      <c r="B266" s="5"/>
      <c r="C266" s="4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2.75" x14ac:dyDescent="0.2">
      <c r="A267" s="5"/>
      <c r="B267" s="5"/>
      <c r="C267" s="4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2.75" x14ac:dyDescent="0.2">
      <c r="A268" s="5"/>
      <c r="B268" s="5"/>
      <c r="C268" s="4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2.75" x14ac:dyDescent="0.2">
      <c r="A269" s="5"/>
      <c r="B269" s="5"/>
      <c r="C269" s="4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2.75" x14ac:dyDescent="0.2">
      <c r="A270" s="5"/>
      <c r="B270" s="5"/>
      <c r="C270" s="4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2.75" x14ac:dyDescent="0.2">
      <c r="A271" s="5"/>
      <c r="B271" s="5"/>
      <c r="C271" s="4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2.75" x14ac:dyDescent="0.2">
      <c r="A272" s="5"/>
      <c r="B272" s="5"/>
      <c r="C272" s="4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2.75" x14ac:dyDescent="0.2">
      <c r="A273" s="5"/>
      <c r="B273" s="5"/>
      <c r="C273" s="4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2.75" x14ac:dyDescent="0.2">
      <c r="A274" s="5"/>
      <c r="B274" s="5"/>
      <c r="C274" s="4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2.75" x14ac:dyDescent="0.2">
      <c r="A275" s="5"/>
      <c r="B275" s="5"/>
      <c r="C275" s="4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2.75" x14ac:dyDescent="0.2">
      <c r="A276" s="5"/>
      <c r="B276" s="5"/>
      <c r="C276" s="4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2.75" x14ac:dyDescent="0.2">
      <c r="A277" s="5"/>
      <c r="B277" s="5"/>
      <c r="C277" s="4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2.75" x14ac:dyDescent="0.2">
      <c r="A278" s="5"/>
      <c r="B278" s="5"/>
      <c r="C278" s="4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2.75" x14ac:dyDescent="0.2">
      <c r="A279" s="5"/>
      <c r="B279" s="5"/>
      <c r="C279" s="4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2.75" x14ac:dyDescent="0.2">
      <c r="A280" s="5"/>
      <c r="B280" s="5"/>
      <c r="C280" s="4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2.75" x14ac:dyDescent="0.2">
      <c r="A281" s="5"/>
      <c r="B281" s="5"/>
      <c r="C281" s="4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2.75" x14ac:dyDescent="0.2">
      <c r="A282" s="5"/>
      <c r="B282" s="5"/>
      <c r="C282" s="4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2.75" x14ac:dyDescent="0.2">
      <c r="A283" s="5"/>
      <c r="B283" s="5"/>
      <c r="C283" s="4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2.75" x14ac:dyDescent="0.2">
      <c r="A284" s="5"/>
      <c r="B284" s="5"/>
      <c r="C284" s="4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2.75" x14ac:dyDescent="0.2">
      <c r="A285" s="5"/>
      <c r="B285" s="5"/>
      <c r="C285" s="4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2.75" x14ac:dyDescent="0.2">
      <c r="A286" s="5"/>
      <c r="B286" s="5"/>
      <c r="C286" s="4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2.75" x14ac:dyDescent="0.2">
      <c r="A287" s="5"/>
      <c r="B287" s="5"/>
      <c r="C287" s="4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2.75" x14ac:dyDescent="0.2">
      <c r="A288" s="5"/>
      <c r="B288" s="5"/>
      <c r="C288" s="4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2.75" x14ac:dyDescent="0.2">
      <c r="A289" s="5"/>
      <c r="B289" s="5"/>
      <c r="C289" s="4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2.75" x14ac:dyDescent="0.2">
      <c r="A290" s="5"/>
      <c r="B290" s="5"/>
      <c r="C290" s="4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2.75" x14ac:dyDescent="0.2">
      <c r="A291" s="5"/>
      <c r="B291" s="5"/>
      <c r="C291" s="4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2.75" x14ac:dyDescent="0.2">
      <c r="A292" s="5"/>
      <c r="B292" s="5"/>
      <c r="C292" s="4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2.75" x14ac:dyDescent="0.2">
      <c r="A293" s="5"/>
      <c r="B293" s="5"/>
      <c r="C293" s="4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2.75" x14ac:dyDescent="0.2">
      <c r="A294" s="5"/>
      <c r="B294" s="5"/>
      <c r="C294" s="4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2.75" x14ac:dyDescent="0.2">
      <c r="A295" s="5"/>
      <c r="B295" s="5"/>
      <c r="C295" s="4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2.75" x14ac:dyDescent="0.2">
      <c r="A296" s="5"/>
      <c r="B296" s="5"/>
      <c r="C296" s="4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2.75" x14ac:dyDescent="0.2">
      <c r="A297" s="5"/>
      <c r="B297" s="5"/>
      <c r="C297" s="4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2.75" x14ac:dyDescent="0.2">
      <c r="A298" s="5"/>
      <c r="B298" s="5"/>
      <c r="C298" s="4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2.75" x14ac:dyDescent="0.2">
      <c r="A299" s="5"/>
      <c r="B299" s="5"/>
      <c r="C299" s="4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2.75" x14ac:dyDescent="0.2">
      <c r="A300" s="5"/>
      <c r="B300" s="5"/>
      <c r="C300" s="4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2.75" x14ac:dyDescent="0.2">
      <c r="A301" s="5"/>
      <c r="B301" s="5"/>
      <c r="C301" s="4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2.75" x14ac:dyDescent="0.2">
      <c r="A302" s="5"/>
      <c r="B302" s="5"/>
      <c r="C302" s="4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2.75" x14ac:dyDescent="0.2">
      <c r="A303" s="5"/>
      <c r="B303" s="5"/>
      <c r="C303" s="4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2.75" x14ac:dyDescent="0.2">
      <c r="A304" s="5"/>
      <c r="B304" s="5"/>
      <c r="C304" s="4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2.75" x14ac:dyDescent="0.2">
      <c r="A305" s="5"/>
      <c r="B305" s="5"/>
      <c r="C305" s="4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2.75" x14ac:dyDescent="0.2">
      <c r="A306" s="5"/>
      <c r="B306" s="5"/>
      <c r="C306" s="4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2.75" x14ac:dyDescent="0.2">
      <c r="A307" s="5"/>
      <c r="B307" s="5"/>
      <c r="C307" s="4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2.75" x14ac:dyDescent="0.2">
      <c r="A308" s="5"/>
      <c r="B308" s="5"/>
      <c r="C308" s="4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2.75" x14ac:dyDescent="0.2">
      <c r="A309" s="5"/>
      <c r="B309" s="5"/>
      <c r="C309" s="4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2.75" x14ac:dyDescent="0.2">
      <c r="A310" s="5"/>
      <c r="B310" s="5"/>
      <c r="C310" s="4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2.75" x14ac:dyDescent="0.2">
      <c r="A311" s="5"/>
      <c r="B311" s="5"/>
      <c r="C311" s="4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2.75" x14ac:dyDescent="0.2">
      <c r="A312" s="5"/>
      <c r="B312" s="5"/>
      <c r="C312" s="4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2.75" x14ac:dyDescent="0.2">
      <c r="A313" s="5"/>
      <c r="B313" s="5"/>
      <c r="C313" s="4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2.75" x14ac:dyDescent="0.2">
      <c r="A314" s="5"/>
      <c r="B314" s="5"/>
      <c r="C314" s="4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2.75" x14ac:dyDescent="0.2">
      <c r="A315" s="5"/>
      <c r="B315" s="5"/>
      <c r="C315" s="4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2.75" x14ac:dyDescent="0.2">
      <c r="A316" s="5"/>
      <c r="B316" s="5"/>
      <c r="C316" s="4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2.75" x14ac:dyDescent="0.2">
      <c r="A317" s="5"/>
      <c r="B317" s="5"/>
      <c r="C317" s="4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2.75" x14ac:dyDescent="0.2">
      <c r="A318" s="5"/>
      <c r="B318" s="5"/>
      <c r="C318" s="4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2.75" x14ac:dyDescent="0.2">
      <c r="A319" s="5"/>
      <c r="B319" s="5"/>
      <c r="C319" s="4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2.75" x14ac:dyDescent="0.2">
      <c r="A320" s="5"/>
      <c r="B320" s="5"/>
      <c r="C320" s="4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2.75" x14ac:dyDescent="0.2">
      <c r="A321" s="5"/>
      <c r="B321" s="5"/>
      <c r="C321" s="4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2.75" x14ac:dyDescent="0.2">
      <c r="A322" s="5"/>
      <c r="B322" s="5"/>
      <c r="C322" s="4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2.75" x14ac:dyDescent="0.2">
      <c r="A323" s="5"/>
      <c r="B323" s="5"/>
      <c r="C323" s="4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2.75" x14ac:dyDescent="0.2">
      <c r="A324" s="5"/>
      <c r="B324" s="5"/>
      <c r="C324" s="4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2.75" x14ac:dyDescent="0.2">
      <c r="A325" s="5"/>
      <c r="B325" s="5"/>
      <c r="C325" s="4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2.75" x14ac:dyDescent="0.2">
      <c r="A326" s="5"/>
      <c r="B326" s="5"/>
      <c r="C326" s="4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2.75" x14ac:dyDescent="0.2">
      <c r="A327" s="5"/>
      <c r="B327" s="5"/>
      <c r="C327" s="4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2.75" x14ac:dyDescent="0.2">
      <c r="A328" s="5"/>
      <c r="B328" s="5"/>
      <c r="C328" s="4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2.75" x14ac:dyDescent="0.2">
      <c r="A329" s="5"/>
      <c r="B329" s="5"/>
      <c r="C329" s="4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2.75" x14ac:dyDescent="0.2">
      <c r="A330" s="5"/>
      <c r="B330" s="5"/>
      <c r="C330" s="4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2.75" x14ac:dyDescent="0.2">
      <c r="A331" s="5"/>
      <c r="B331" s="5"/>
      <c r="C331" s="4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2.75" x14ac:dyDescent="0.2">
      <c r="A332" s="5"/>
      <c r="B332" s="5"/>
      <c r="C332" s="4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2.75" x14ac:dyDescent="0.2">
      <c r="A333" s="5"/>
      <c r="B333" s="5"/>
      <c r="C333" s="4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2.75" x14ac:dyDescent="0.2">
      <c r="A334" s="5"/>
      <c r="B334" s="5"/>
      <c r="C334" s="4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2.75" x14ac:dyDescent="0.2">
      <c r="A335" s="5"/>
      <c r="B335" s="5"/>
      <c r="C335" s="4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2.75" x14ac:dyDescent="0.2">
      <c r="A336" s="5"/>
      <c r="B336" s="5"/>
      <c r="C336" s="4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2.75" x14ac:dyDescent="0.2">
      <c r="A337" s="5"/>
      <c r="B337" s="5"/>
      <c r="C337" s="4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2.75" x14ac:dyDescent="0.2">
      <c r="A338" s="5"/>
      <c r="B338" s="5"/>
      <c r="C338" s="4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2.75" x14ac:dyDescent="0.2">
      <c r="A339" s="5"/>
      <c r="B339" s="5"/>
      <c r="C339" s="4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2.75" x14ac:dyDescent="0.2">
      <c r="A340" s="5"/>
      <c r="B340" s="5"/>
      <c r="C340" s="4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2.75" x14ac:dyDescent="0.2">
      <c r="A341" s="5"/>
      <c r="B341" s="5"/>
      <c r="C341" s="4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2.75" x14ac:dyDescent="0.2">
      <c r="A342" s="5"/>
      <c r="B342" s="5"/>
      <c r="C342" s="4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2.75" x14ac:dyDescent="0.2">
      <c r="A343" s="5"/>
      <c r="B343" s="5"/>
      <c r="C343" s="4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2.75" x14ac:dyDescent="0.2">
      <c r="A344" s="5"/>
      <c r="B344" s="5"/>
      <c r="C344" s="4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2.75" x14ac:dyDescent="0.2">
      <c r="A345" s="5"/>
      <c r="B345" s="5"/>
      <c r="C345" s="4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2.75" x14ac:dyDescent="0.2">
      <c r="A346" s="5"/>
      <c r="B346" s="5"/>
      <c r="C346" s="4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2.75" x14ac:dyDescent="0.2">
      <c r="A347" s="5"/>
      <c r="B347" s="5"/>
      <c r="C347" s="4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2.75" x14ac:dyDescent="0.2">
      <c r="A348" s="5"/>
      <c r="B348" s="5"/>
      <c r="C348" s="4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2.75" x14ac:dyDescent="0.2">
      <c r="A349" s="5"/>
      <c r="B349" s="5"/>
      <c r="C349" s="4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2.75" x14ac:dyDescent="0.2">
      <c r="A350" s="5"/>
      <c r="B350" s="5"/>
      <c r="C350" s="4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2.75" x14ac:dyDescent="0.2">
      <c r="A351" s="5"/>
      <c r="B351" s="5"/>
      <c r="C351" s="4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2.75" x14ac:dyDescent="0.2">
      <c r="A352" s="5"/>
      <c r="B352" s="5"/>
      <c r="C352" s="4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2.75" x14ac:dyDescent="0.2">
      <c r="A353" s="5"/>
      <c r="B353" s="5"/>
      <c r="C353" s="4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2.75" x14ac:dyDescent="0.2">
      <c r="A354" s="5"/>
      <c r="B354" s="5"/>
      <c r="C354" s="4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2.75" x14ac:dyDescent="0.2">
      <c r="A355" s="5"/>
      <c r="B355" s="5"/>
      <c r="C355" s="4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2.75" x14ac:dyDescent="0.2">
      <c r="A356" s="5"/>
      <c r="B356" s="5"/>
      <c r="C356" s="4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2.75" x14ac:dyDescent="0.2">
      <c r="A357" s="5"/>
      <c r="B357" s="5"/>
      <c r="C357" s="4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2.75" x14ac:dyDescent="0.2">
      <c r="A358" s="5"/>
      <c r="B358" s="5"/>
      <c r="C358" s="4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2.75" x14ac:dyDescent="0.2">
      <c r="A359" s="5"/>
      <c r="B359" s="5"/>
      <c r="C359" s="4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2.75" x14ac:dyDescent="0.2">
      <c r="A360" s="5"/>
      <c r="B360" s="5"/>
      <c r="C360" s="4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2.75" x14ac:dyDescent="0.2">
      <c r="A361" s="5"/>
      <c r="B361" s="5"/>
      <c r="C361" s="4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2.75" x14ac:dyDescent="0.2">
      <c r="A362" s="5"/>
      <c r="B362" s="5"/>
      <c r="C362" s="4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2.75" x14ac:dyDescent="0.2">
      <c r="A363" s="5"/>
      <c r="B363" s="5"/>
      <c r="C363" s="4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2.75" x14ac:dyDescent="0.2">
      <c r="A364" s="5"/>
      <c r="B364" s="5"/>
      <c r="C364" s="4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2.75" x14ac:dyDescent="0.2">
      <c r="A365" s="5"/>
      <c r="B365" s="5"/>
      <c r="C365" s="4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2.75" x14ac:dyDescent="0.2">
      <c r="A366" s="5"/>
      <c r="B366" s="5"/>
      <c r="C366" s="4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2.75" x14ac:dyDescent="0.2">
      <c r="A367" s="5"/>
      <c r="B367" s="5"/>
      <c r="C367" s="4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2.75" x14ac:dyDescent="0.2">
      <c r="A368" s="5"/>
      <c r="B368" s="5"/>
      <c r="C368" s="4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2.75" x14ac:dyDescent="0.2">
      <c r="A369" s="5"/>
      <c r="B369" s="5"/>
      <c r="C369" s="4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2.75" x14ac:dyDescent="0.2">
      <c r="A370" s="5"/>
      <c r="B370" s="5"/>
      <c r="C370" s="4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2.75" x14ac:dyDescent="0.2">
      <c r="A371" s="5"/>
      <c r="B371" s="5"/>
      <c r="C371" s="4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2.75" x14ac:dyDescent="0.2">
      <c r="A372" s="5"/>
      <c r="B372" s="5"/>
      <c r="C372" s="4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2.75" x14ac:dyDescent="0.2">
      <c r="A373" s="5"/>
      <c r="B373" s="5"/>
      <c r="C373" s="4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2.75" x14ac:dyDescent="0.2">
      <c r="A374" s="5"/>
      <c r="B374" s="5"/>
      <c r="C374" s="4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2.75" x14ac:dyDescent="0.2">
      <c r="A375" s="5"/>
      <c r="B375" s="5"/>
      <c r="C375" s="4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2.75" x14ac:dyDescent="0.2">
      <c r="A376" s="5"/>
      <c r="B376" s="5"/>
      <c r="C376" s="4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2.75" x14ac:dyDescent="0.2">
      <c r="A377" s="5"/>
      <c r="B377" s="5"/>
      <c r="C377" s="4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2.75" x14ac:dyDescent="0.2">
      <c r="A378" s="5"/>
      <c r="B378" s="5"/>
      <c r="C378" s="4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2.75" x14ac:dyDescent="0.2">
      <c r="A379" s="5"/>
      <c r="B379" s="5"/>
      <c r="C379" s="4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2.75" x14ac:dyDescent="0.2">
      <c r="A380" s="5"/>
      <c r="B380" s="5"/>
      <c r="C380" s="4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2.75" x14ac:dyDescent="0.2">
      <c r="A381" s="5"/>
      <c r="B381" s="5"/>
      <c r="C381" s="4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2.75" x14ac:dyDescent="0.2">
      <c r="A382" s="5"/>
      <c r="B382" s="5"/>
      <c r="C382" s="4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2.75" x14ac:dyDescent="0.2">
      <c r="A383" s="5"/>
      <c r="B383" s="5"/>
      <c r="C383" s="4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2.75" x14ac:dyDescent="0.2">
      <c r="A384" s="5"/>
      <c r="B384" s="5"/>
      <c r="C384" s="4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2.75" x14ac:dyDescent="0.2">
      <c r="A385" s="5"/>
      <c r="B385" s="5"/>
      <c r="C385" s="4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2.75" x14ac:dyDescent="0.2">
      <c r="A386" s="5"/>
      <c r="B386" s="5"/>
      <c r="C386" s="4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2.75" x14ac:dyDescent="0.2">
      <c r="A387" s="5"/>
      <c r="B387" s="5"/>
      <c r="C387" s="4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2.75" x14ac:dyDescent="0.2">
      <c r="A388" s="5"/>
      <c r="B388" s="5"/>
      <c r="C388" s="4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2.75" x14ac:dyDescent="0.2">
      <c r="A389" s="5"/>
      <c r="B389" s="5"/>
      <c r="C389" s="4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2.75" x14ac:dyDescent="0.2">
      <c r="A390" s="5"/>
      <c r="B390" s="5"/>
      <c r="C390" s="4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2.75" x14ac:dyDescent="0.2">
      <c r="A391" s="5"/>
      <c r="B391" s="5"/>
      <c r="C391" s="4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2.75" x14ac:dyDescent="0.2">
      <c r="A392" s="5"/>
      <c r="B392" s="5"/>
      <c r="C392" s="4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2.75" x14ac:dyDescent="0.2">
      <c r="A393" s="5"/>
      <c r="B393" s="5"/>
      <c r="C393" s="4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2.75" x14ac:dyDescent="0.2">
      <c r="A394" s="5"/>
      <c r="B394" s="5"/>
      <c r="C394" s="4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2.75" x14ac:dyDescent="0.2">
      <c r="A395" s="5"/>
      <c r="B395" s="5"/>
      <c r="C395" s="4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2.75" x14ac:dyDescent="0.2">
      <c r="A396" s="5"/>
      <c r="B396" s="5"/>
      <c r="C396" s="4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2.75" x14ac:dyDescent="0.2">
      <c r="A397" s="5"/>
      <c r="B397" s="5"/>
      <c r="C397" s="4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2.75" x14ac:dyDescent="0.2">
      <c r="A398" s="5"/>
      <c r="B398" s="5"/>
      <c r="C398" s="4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2.75" x14ac:dyDescent="0.2">
      <c r="A399" s="5"/>
      <c r="B399" s="5"/>
      <c r="C399" s="4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2.75" x14ac:dyDescent="0.2">
      <c r="A400" s="5"/>
      <c r="B400" s="5"/>
      <c r="C400" s="4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2.75" x14ac:dyDescent="0.2">
      <c r="A401" s="5"/>
      <c r="B401" s="5"/>
      <c r="C401" s="4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2.75" x14ac:dyDescent="0.2">
      <c r="A402" s="5"/>
      <c r="B402" s="5"/>
      <c r="C402" s="4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2.75" x14ac:dyDescent="0.2">
      <c r="A403" s="5"/>
      <c r="B403" s="5"/>
      <c r="C403" s="4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2.75" x14ac:dyDescent="0.2">
      <c r="A404" s="5"/>
      <c r="B404" s="5"/>
      <c r="C404" s="4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2.75" x14ac:dyDescent="0.2">
      <c r="A405" s="5"/>
      <c r="B405" s="5"/>
      <c r="C405" s="4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2.75" x14ac:dyDescent="0.2">
      <c r="A406" s="5"/>
      <c r="B406" s="5"/>
      <c r="C406" s="4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2.75" x14ac:dyDescent="0.2">
      <c r="A407" s="5"/>
      <c r="B407" s="5"/>
      <c r="C407" s="4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2.75" x14ac:dyDescent="0.2">
      <c r="A408" s="5"/>
      <c r="B408" s="5"/>
      <c r="C408" s="4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2.75" x14ac:dyDescent="0.2">
      <c r="A409" s="5"/>
      <c r="B409" s="5"/>
      <c r="C409" s="4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2.75" x14ac:dyDescent="0.2">
      <c r="A410" s="5"/>
      <c r="B410" s="5"/>
      <c r="C410" s="4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2.75" x14ac:dyDescent="0.2">
      <c r="A411" s="5"/>
      <c r="B411" s="5"/>
      <c r="C411" s="4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2.75" x14ac:dyDescent="0.2">
      <c r="A412" s="5"/>
      <c r="B412" s="5"/>
      <c r="C412" s="4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2.75" x14ac:dyDescent="0.2">
      <c r="A413" s="5"/>
      <c r="B413" s="5"/>
      <c r="C413" s="4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2.75" x14ac:dyDescent="0.2">
      <c r="A414" s="5"/>
      <c r="B414" s="5"/>
      <c r="C414" s="4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2.75" x14ac:dyDescent="0.2">
      <c r="A415" s="5"/>
      <c r="B415" s="5"/>
      <c r="C415" s="4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2.75" x14ac:dyDescent="0.2">
      <c r="A416" s="5"/>
      <c r="B416" s="5"/>
      <c r="C416" s="4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2.75" x14ac:dyDescent="0.2">
      <c r="A417" s="5"/>
      <c r="B417" s="5"/>
      <c r="C417" s="4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2.75" x14ac:dyDescent="0.2">
      <c r="A418" s="5"/>
      <c r="B418" s="5"/>
      <c r="C418" s="4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2.75" x14ac:dyDescent="0.2">
      <c r="A419" s="5"/>
      <c r="B419" s="5"/>
      <c r="C419" s="4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2.75" x14ac:dyDescent="0.2">
      <c r="A420" s="5"/>
      <c r="B420" s="5"/>
      <c r="C420" s="4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2.75" x14ac:dyDescent="0.2">
      <c r="A421" s="5"/>
      <c r="B421" s="5"/>
      <c r="C421" s="4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2.75" x14ac:dyDescent="0.2">
      <c r="A422" s="5"/>
      <c r="B422" s="5"/>
      <c r="C422" s="4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2.75" x14ac:dyDescent="0.2">
      <c r="A423" s="5"/>
      <c r="B423" s="5"/>
      <c r="C423" s="4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2.75" x14ac:dyDescent="0.2">
      <c r="A424" s="5"/>
      <c r="B424" s="5"/>
      <c r="C424" s="4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2.75" x14ac:dyDescent="0.2">
      <c r="A425" s="5"/>
      <c r="B425" s="5"/>
      <c r="C425" s="4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2.75" x14ac:dyDescent="0.2">
      <c r="A426" s="5"/>
      <c r="B426" s="5"/>
      <c r="C426" s="4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2.75" x14ac:dyDescent="0.2">
      <c r="A427" s="5"/>
      <c r="B427" s="5"/>
      <c r="C427" s="4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2.75" x14ac:dyDescent="0.2">
      <c r="A428" s="5"/>
      <c r="B428" s="5"/>
      <c r="C428" s="4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2.75" x14ac:dyDescent="0.2">
      <c r="A429" s="5"/>
      <c r="B429" s="5"/>
      <c r="C429" s="4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2.75" x14ac:dyDescent="0.2">
      <c r="A430" s="5"/>
      <c r="B430" s="5"/>
      <c r="C430" s="4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2.75" x14ac:dyDescent="0.2">
      <c r="A431" s="5"/>
      <c r="B431" s="5"/>
      <c r="C431" s="4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2.75" x14ac:dyDescent="0.2">
      <c r="A432" s="5"/>
      <c r="B432" s="5"/>
      <c r="C432" s="4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2.75" x14ac:dyDescent="0.2">
      <c r="A433" s="5"/>
      <c r="B433" s="5"/>
      <c r="C433" s="4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2.75" x14ac:dyDescent="0.2">
      <c r="A434" s="5"/>
      <c r="B434" s="5"/>
      <c r="C434" s="4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2.75" x14ac:dyDescent="0.2">
      <c r="A435" s="5"/>
      <c r="B435" s="5"/>
      <c r="C435" s="4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2.75" x14ac:dyDescent="0.2">
      <c r="A436" s="5"/>
      <c r="B436" s="5"/>
      <c r="C436" s="4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2.75" x14ac:dyDescent="0.2">
      <c r="A437" s="5"/>
      <c r="B437" s="5"/>
      <c r="C437" s="4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2.75" x14ac:dyDescent="0.2">
      <c r="A438" s="5"/>
      <c r="B438" s="5"/>
      <c r="C438" s="4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2.75" x14ac:dyDescent="0.2">
      <c r="A439" s="5"/>
      <c r="B439" s="5"/>
      <c r="C439" s="4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2.75" x14ac:dyDescent="0.2">
      <c r="A440" s="5"/>
      <c r="B440" s="5"/>
      <c r="C440" s="4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2.75" x14ac:dyDescent="0.2">
      <c r="A441" s="5"/>
      <c r="B441" s="5"/>
      <c r="C441" s="4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2.75" x14ac:dyDescent="0.2">
      <c r="A442" s="5"/>
      <c r="B442" s="5"/>
      <c r="C442" s="4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2.75" x14ac:dyDescent="0.2">
      <c r="A443" s="5"/>
      <c r="B443" s="5"/>
      <c r="C443" s="4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2.75" x14ac:dyDescent="0.2">
      <c r="A444" s="5"/>
      <c r="B444" s="5"/>
      <c r="C444" s="4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2.75" x14ac:dyDescent="0.2">
      <c r="A445" s="5"/>
      <c r="B445" s="5"/>
      <c r="C445" s="4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2.75" x14ac:dyDescent="0.2">
      <c r="A446" s="5"/>
      <c r="B446" s="5"/>
      <c r="C446" s="4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2.75" x14ac:dyDescent="0.2">
      <c r="A447" s="5"/>
      <c r="B447" s="5"/>
      <c r="C447" s="4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2.75" x14ac:dyDescent="0.2">
      <c r="A448" s="5"/>
      <c r="B448" s="5"/>
      <c r="C448" s="4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2.75" x14ac:dyDescent="0.2">
      <c r="A449" s="5"/>
      <c r="B449" s="5"/>
      <c r="C449" s="4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2.75" x14ac:dyDescent="0.2">
      <c r="A450" s="5"/>
      <c r="B450" s="5"/>
      <c r="C450" s="4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2.75" x14ac:dyDescent="0.2">
      <c r="A451" s="5"/>
      <c r="B451" s="5"/>
      <c r="C451" s="4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2.75" x14ac:dyDescent="0.2">
      <c r="A452" s="5"/>
      <c r="B452" s="5"/>
      <c r="C452" s="4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2.75" x14ac:dyDescent="0.2">
      <c r="A453" s="5"/>
      <c r="B453" s="5"/>
      <c r="C453" s="4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2.75" x14ac:dyDescent="0.2">
      <c r="A454" s="5"/>
      <c r="B454" s="5"/>
      <c r="C454" s="4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2.75" x14ac:dyDescent="0.2">
      <c r="A455" s="5"/>
      <c r="B455" s="5"/>
      <c r="C455" s="4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2.75" x14ac:dyDescent="0.2">
      <c r="A456" s="5"/>
      <c r="B456" s="5"/>
      <c r="C456" s="4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2.75" x14ac:dyDescent="0.2">
      <c r="A457" s="5"/>
      <c r="B457" s="5"/>
      <c r="C457" s="4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2.75" x14ac:dyDescent="0.2">
      <c r="A458" s="5"/>
      <c r="B458" s="5"/>
      <c r="C458" s="4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2.75" x14ac:dyDescent="0.2">
      <c r="A459" s="5"/>
      <c r="B459" s="5"/>
      <c r="C459" s="4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2.75" x14ac:dyDescent="0.2">
      <c r="A460" s="5"/>
      <c r="B460" s="5"/>
      <c r="C460" s="4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2.75" x14ac:dyDescent="0.2">
      <c r="A461" s="5"/>
      <c r="B461" s="5"/>
      <c r="C461" s="4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2.75" x14ac:dyDescent="0.2">
      <c r="A462" s="5"/>
      <c r="B462" s="5"/>
      <c r="C462" s="4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2.75" x14ac:dyDescent="0.2">
      <c r="A463" s="5"/>
      <c r="B463" s="5"/>
      <c r="C463" s="4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2.75" x14ac:dyDescent="0.2">
      <c r="A464" s="5"/>
      <c r="B464" s="5"/>
      <c r="C464" s="4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2.75" x14ac:dyDescent="0.2">
      <c r="A465" s="5"/>
      <c r="B465" s="5"/>
      <c r="C465" s="4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2.75" x14ac:dyDescent="0.2">
      <c r="A466" s="5"/>
      <c r="B466" s="5"/>
      <c r="C466" s="4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2.75" x14ac:dyDescent="0.2">
      <c r="A467" s="5"/>
      <c r="B467" s="5"/>
      <c r="C467" s="4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2.75" x14ac:dyDescent="0.2">
      <c r="A468" s="5"/>
      <c r="B468" s="5"/>
      <c r="C468" s="4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2.75" x14ac:dyDescent="0.2">
      <c r="A469" s="5"/>
      <c r="B469" s="5"/>
      <c r="C469" s="4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2.75" x14ac:dyDescent="0.2">
      <c r="A470" s="5"/>
      <c r="B470" s="5"/>
      <c r="C470" s="4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2.75" x14ac:dyDescent="0.2">
      <c r="A471" s="5"/>
      <c r="B471" s="5"/>
      <c r="C471" s="4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2.75" x14ac:dyDescent="0.2">
      <c r="A472" s="5"/>
      <c r="B472" s="5"/>
      <c r="C472" s="4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2.75" x14ac:dyDescent="0.2">
      <c r="A473" s="5"/>
      <c r="B473" s="5"/>
      <c r="C473" s="4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2.75" x14ac:dyDescent="0.2">
      <c r="A474" s="5"/>
      <c r="B474" s="5"/>
      <c r="C474" s="4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2.75" x14ac:dyDescent="0.2">
      <c r="A475" s="5"/>
      <c r="B475" s="5"/>
      <c r="C475" s="4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2.75" x14ac:dyDescent="0.2">
      <c r="A476" s="5"/>
      <c r="B476" s="5"/>
      <c r="C476" s="4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2.75" x14ac:dyDescent="0.2">
      <c r="A477" s="5"/>
      <c r="B477" s="5"/>
      <c r="C477" s="4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2.75" x14ac:dyDescent="0.2">
      <c r="A478" s="5"/>
      <c r="B478" s="5"/>
      <c r="C478" s="4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2.75" x14ac:dyDescent="0.2">
      <c r="A479" s="5"/>
      <c r="B479" s="5"/>
      <c r="C479" s="4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2.75" x14ac:dyDescent="0.2">
      <c r="A480" s="5"/>
      <c r="B480" s="5"/>
      <c r="C480" s="4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2.75" x14ac:dyDescent="0.2">
      <c r="A481" s="5"/>
      <c r="B481" s="5"/>
      <c r="C481" s="4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2.75" x14ac:dyDescent="0.2">
      <c r="A482" s="5"/>
      <c r="B482" s="5"/>
      <c r="C482" s="4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2.75" x14ac:dyDescent="0.2">
      <c r="A483" s="5"/>
      <c r="B483" s="5"/>
      <c r="C483" s="4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2.75" x14ac:dyDescent="0.2">
      <c r="A484" s="5"/>
      <c r="B484" s="5"/>
      <c r="C484" s="4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2.75" x14ac:dyDescent="0.2">
      <c r="A485" s="5"/>
      <c r="B485" s="5"/>
      <c r="C485" s="4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2.75" x14ac:dyDescent="0.2">
      <c r="A486" s="5"/>
      <c r="B486" s="5"/>
      <c r="C486" s="4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2.75" x14ac:dyDescent="0.2">
      <c r="A487" s="5"/>
      <c r="B487" s="5"/>
      <c r="C487" s="4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2.75" x14ac:dyDescent="0.2">
      <c r="A488" s="5"/>
      <c r="B488" s="5"/>
      <c r="C488" s="4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2.75" x14ac:dyDescent="0.2">
      <c r="A489" s="5"/>
      <c r="B489" s="5"/>
      <c r="C489" s="4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2.75" x14ac:dyDescent="0.2">
      <c r="A490" s="5"/>
      <c r="B490" s="5"/>
      <c r="C490" s="4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2.75" x14ac:dyDescent="0.2">
      <c r="A491" s="5"/>
      <c r="B491" s="5"/>
      <c r="C491" s="4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2.75" x14ac:dyDescent="0.2">
      <c r="A492" s="5"/>
      <c r="B492" s="5"/>
      <c r="C492" s="4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2.75" x14ac:dyDescent="0.2">
      <c r="A493" s="5"/>
      <c r="B493" s="5"/>
      <c r="C493" s="4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2.75" x14ac:dyDescent="0.2">
      <c r="A494" s="5"/>
      <c r="B494" s="5"/>
      <c r="C494" s="4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2.75" x14ac:dyDescent="0.2">
      <c r="A495" s="5"/>
      <c r="B495" s="5"/>
      <c r="C495" s="4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2.75" x14ac:dyDescent="0.2">
      <c r="A496" s="5"/>
      <c r="B496" s="5"/>
      <c r="C496" s="4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2.75" x14ac:dyDescent="0.2">
      <c r="A497" s="5"/>
      <c r="B497" s="5"/>
      <c r="C497" s="4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2.75" x14ac:dyDescent="0.2">
      <c r="A498" s="5"/>
      <c r="B498" s="5"/>
      <c r="C498" s="4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2.75" x14ac:dyDescent="0.2">
      <c r="A499" s="5"/>
      <c r="B499" s="5"/>
      <c r="C499" s="4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2.75" x14ac:dyDescent="0.2">
      <c r="A500" s="5"/>
      <c r="B500" s="5"/>
      <c r="C500" s="4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2.75" x14ac:dyDescent="0.2">
      <c r="A501" s="5"/>
      <c r="B501" s="5"/>
      <c r="C501" s="4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2.75" x14ac:dyDescent="0.2">
      <c r="A502" s="5"/>
      <c r="B502" s="5"/>
      <c r="C502" s="4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2.75" x14ac:dyDescent="0.2">
      <c r="A503" s="5"/>
      <c r="B503" s="5"/>
      <c r="C503" s="4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2.75" x14ac:dyDescent="0.2">
      <c r="A504" s="5"/>
      <c r="B504" s="5"/>
      <c r="C504" s="4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2.75" x14ac:dyDescent="0.2">
      <c r="A505" s="5"/>
      <c r="B505" s="5"/>
      <c r="C505" s="4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2.75" x14ac:dyDescent="0.2">
      <c r="A506" s="5"/>
      <c r="B506" s="5"/>
      <c r="C506" s="4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2.75" x14ac:dyDescent="0.2">
      <c r="A507" s="5"/>
      <c r="B507" s="5"/>
      <c r="C507" s="4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2.75" x14ac:dyDescent="0.2">
      <c r="A508" s="5"/>
      <c r="B508" s="5"/>
      <c r="C508" s="4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2.75" x14ac:dyDescent="0.2">
      <c r="A509" s="5"/>
      <c r="B509" s="5"/>
      <c r="C509" s="4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2.75" x14ac:dyDescent="0.2">
      <c r="A510" s="5"/>
      <c r="B510" s="5"/>
      <c r="C510" s="4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2.75" x14ac:dyDescent="0.2">
      <c r="A511" s="5"/>
      <c r="B511" s="5"/>
      <c r="C511" s="4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2.75" x14ac:dyDescent="0.2">
      <c r="A512" s="5"/>
      <c r="B512" s="5"/>
      <c r="C512" s="4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2.75" x14ac:dyDescent="0.2">
      <c r="A513" s="5"/>
      <c r="B513" s="5"/>
      <c r="C513" s="4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2.75" x14ac:dyDescent="0.2">
      <c r="A514" s="5"/>
      <c r="B514" s="5"/>
      <c r="C514" s="4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2.75" x14ac:dyDescent="0.2">
      <c r="A515" s="5"/>
      <c r="B515" s="5"/>
      <c r="C515" s="4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2.75" x14ac:dyDescent="0.2">
      <c r="A516" s="5"/>
      <c r="B516" s="5"/>
      <c r="C516" s="4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2.75" x14ac:dyDescent="0.2">
      <c r="A517" s="5"/>
      <c r="B517" s="5"/>
      <c r="C517" s="4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2.75" x14ac:dyDescent="0.2">
      <c r="A518" s="5"/>
      <c r="B518" s="5"/>
      <c r="C518" s="4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2.75" x14ac:dyDescent="0.2">
      <c r="A519" s="5"/>
      <c r="B519" s="5"/>
      <c r="C519" s="4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2.75" x14ac:dyDescent="0.2">
      <c r="A520" s="5"/>
      <c r="B520" s="5"/>
      <c r="C520" s="4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2.75" x14ac:dyDescent="0.2">
      <c r="A521" s="5"/>
      <c r="B521" s="5"/>
      <c r="C521" s="4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2.75" x14ac:dyDescent="0.2">
      <c r="A522" s="5"/>
      <c r="B522" s="5"/>
      <c r="C522" s="4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2.75" x14ac:dyDescent="0.2">
      <c r="A523" s="5"/>
      <c r="B523" s="5"/>
      <c r="C523" s="4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2.75" x14ac:dyDescent="0.2">
      <c r="A524" s="5"/>
      <c r="B524" s="5"/>
      <c r="C524" s="4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2.75" x14ac:dyDescent="0.2">
      <c r="A525" s="5"/>
      <c r="B525" s="5"/>
      <c r="C525" s="4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2.75" x14ac:dyDescent="0.2">
      <c r="A526" s="5"/>
      <c r="B526" s="5"/>
      <c r="C526" s="4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2.75" x14ac:dyDescent="0.2">
      <c r="A527" s="5"/>
      <c r="B527" s="5"/>
      <c r="C527" s="4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2.75" x14ac:dyDescent="0.2">
      <c r="A528" s="5"/>
      <c r="B528" s="5"/>
      <c r="C528" s="4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2.75" x14ac:dyDescent="0.2">
      <c r="A529" s="5"/>
      <c r="B529" s="5"/>
      <c r="C529" s="4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2.75" x14ac:dyDescent="0.2">
      <c r="A530" s="5"/>
      <c r="B530" s="5"/>
      <c r="C530" s="4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2.75" x14ac:dyDescent="0.2">
      <c r="A531" s="5"/>
      <c r="B531" s="5"/>
      <c r="C531" s="4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2.75" x14ac:dyDescent="0.2">
      <c r="A532" s="5"/>
      <c r="B532" s="5"/>
      <c r="C532" s="4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2.75" x14ac:dyDescent="0.2">
      <c r="A533" s="5"/>
      <c r="B533" s="5"/>
      <c r="C533" s="4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2.75" x14ac:dyDescent="0.2">
      <c r="A534" s="5"/>
      <c r="B534" s="5"/>
      <c r="C534" s="4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2.75" x14ac:dyDescent="0.2">
      <c r="A535" s="5"/>
      <c r="B535" s="5"/>
      <c r="C535" s="4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2.75" x14ac:dyDescent="0.2">
      <c r="A536" s="5"/>
      <c r="B536" s="5"/>
      <c r="C536" s="4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2.75" x14ac:dyDescent="0.2">
      <c r="A537" s="5"/>
      <c r="B537" s="5"/>
      <c r="C537" s="4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2.75" x14ac:dyDescent="0.2">
      <c r="A538" s="5"/>
      <c r="B538" s="5"/>
      <c r="C538" s="4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2.75" x14ac:dyDescent="0.2">
      <c r="A539" s="5"/>
      <c r="B539" s="5"/>
      <c r="C539" s="4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2.75" x14ac:dyDescent="0.2">
      <c r="A540" s="5"/>
      <c r="B540" s="5"/>
      <c r="C540" s="4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2.75" x14ac:dyDescent="0.2">
      <c r="A541" s="5"/>
      <c r="B541" s="5"/>
      <c r="C541" s="4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2.75" x14ac:dyDescent="0.2">
      <c r="A542" s="5"/>
      <c r="B542" s="5"/>
      <c r="C542" s="4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2.75" x14ac:dyDescent="0.2">
      <c r="A543" s="5"/>
      <c r="B543" s="5"/>
      <c r="C543" s="4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2.75" x14ac:dyDescent="0.2">
      <c r="A544" s="5"/>
      <c r="B544" s="5"/>
      <c r="C544" s="4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2.75" x14ac:dyDescent="0.2">
      <c r="A545" s="5"/>
      <c r="B545" s="5"/>
      <c r="C545" s="4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2.75" x14ac:dyDescent="0.2">
      <c r="A546" s="5"/>
      <c r="B546" s="5"/>
      <c r="C546" s="4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2.75" x14ac:dyDescent="0.2">
      <c r="A547" s="5"/>
      <c r="B547" s="5"/>
      <c r="C547" s="4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2.75" x14ac:dyDescent="0.2">
      <c r="A548" s="5"/>
      <c r="B548" s="5"/>
      <c r="C548" s="4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2.75" x14ac:dyDescent="0.2">
      <c r="A549" s="5"/>
      <c r="B549" s="5"/>
      <c r="C549" s="4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2.75" x14ac:dyDescent="0.2">
      <c r="A550" s="5"/>
      <c r="B550" s="5"/>
      <c r="C550" s="4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2.75" x14ac:dyDescent="0.2">
      <c r="A551" s="5"/>
      <c r="B551" s="5"/>
      <c r="C551" s="4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2.75" x14ac:dyDescent="0.2">
      <c r="A552" s="5"/>
      <c r="B552" s="5"/>
      <c r="C552" s="4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2.75" x14ac:dyDescent="0.2">
      <c r="A553" s="5"/>
      <c r="B553" s="5"/>
      <c r="C553" s="4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2.75" x14ac:dyDescent="0.2">
      <c r="A554" s="5"/>
      <c r="B554" s="5"/>
      <c r="C554" s="4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2.75" x14ac:dyDescent="0.2">
      <c r="A555" s="5"/>
      <c r="B555" s="5"/>
      <c r="C555" s="4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2.75" x14ac:dyDescent="0.2">
      <c r="A556" s="5"/>
      <c r="B556" s="5"/>
      <c r="C556" s="4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2.75" x14ac:dyDescent="0.2">
      <c r="A557" s="5"/>
      <c r="B557" s="5"/>
      <c r="C557" s="4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2.75" x14ac:dyDescent="0.2">
      <c r="A558" s="5"/>
      <c r="B558" s="5"/>
      <c r="C558" s="4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2.75" x14ac:dyDescent="0.2">
      <c r="A559" s="5"/>
      <c r="B559" s="5"/>
      <c r="C559" s="4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2.75" x14ac:dyDescent="0.2">
      <c r="A560" s="5"/>
      <c r="B560" s="5"/>
      <c r="C560" s="4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2.75" x14ac:dyDescent="0.2">
      <c r="A561" s="5"/>
      <c r="B561" s="5"/>
      <c r="C561" s="4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2.75" x14ac:dyDescent="0.2">
      <c r="A562" s="5"/>
      <c r="B562" s="5"/>
      <c r="C562" s="4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2.75" x14ac:dyDescent="0.2">
      <c r="A563" s="5"/>
      <c r="B563" s="5"/>
      <c r="C563" s="4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2.75" x14ac:dyDescent="0.2">
      <c r="A564" s="5"/>
      <c r="B564" s="5"/>
      <c r="C564" s="4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2.75" x14ac:dyDescent="0.2">
      <c r="A565" s="5"/>
      <c r="B565" s="5"/>
      <c r="C565" s="4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2.75" x14ac:dyDescent="0.2">
      <c r="A566" s="5"/>
      <c r="B566" s="5"/>
      <c r="C566" s="4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2.75" x14ac:dyDescent="0.2">
      <c r="A567" s="5"/>
      <c r="B567" s="5"/>
      <c r="C567" s="4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2.75" x14ac:dyDescent="0.2">
      <c r="A568" s="5"/>
      <c r="B568" s="5"/>
      <c r="C568" s="4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2.75" x14ac:dyDescent="0.2">
      <c r="A569" s="5"/>
      <c r="B569" s="5"/>
      <c r="C569" s="4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2.75" x14ac:dyDescent="0.2">
      <c r="A570" s="5"/>
      <c r="B570" s="5"/>
      <c r="C570" s="4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2.75" x14ac:dyDescent="0.2">
      <c r="A571" s="5"/>
      <c r="B571" s="5"/>
      <c r="C571" s="4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2.75" x14ac:dyDescent="0.2">
      <c r="A572" s="5"/>
      <c r="B572" s="5"/>
      <c r="C572" s="4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2.75" x14ac:dyDescent="0.2">
      <c r="A573" s="5"/>
      <c r="B573" s="5"/>
      <c r="C573" s="4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2.75" x14ac:dyDescent="0.2">
      <c r="A574" s="5"/>
      <c r="B574" s="5"/>
      <c r="C574" s="4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2.75" x14ac:dyDescent="0.2">
      <c r="A575" s="5"/>
      <c r="B575" s="5"/>
      <c r="C575" s="4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2.75" x14ac:dyDescent="0.2">
      <c r="A576" s="5"/>
      <c r="B576" s="5"/>
      <c r="C576" s="4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2.75" x14ac:dyDescent="0.2">
      <c r="A577" s="5"/>
      <c r="B577" s="5"/>
      <c r="C577" s="4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2.75" x14ac:dyDescent="0.2">
      <c r="A578" s="5"/>
      <c r="B578" s="5"/>
      <c r="C578" s="4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2.75" x14ac:dyDescent="0.2">
      <c r="A579" s="5"/>
      <c r="B579" s="5"/>
      <c r="C579" s="4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2.75" x14ac:dyDescent="0.2">
      <c r="A580" s="5"/>
      <c r="B580" s="5"/>
      <c r="C580" s="4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2.75" x14ac:dyDescent="0.2">
      <c r="A581" s="5"/>
      <c r="B581" s="5"/>
      <c r="C581" s="4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2.75" x14ac:dyDescent="0.2">
      <c r="A582" s="5"/>
      <c r="B582" s="5"/>
      <c r="C582" s="4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2.75" x14ac:dyDescent="0.2">
      <c r="A583" s="5"/>
      <c r="B583" s="5"/>
      <c r="C583" s="4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2.75" x14ac:dyDescent="0.2">
      <c r="A584" s="5"/>
      <c r="B584" s="5"/>
      <c r="C584" s="4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2.75" x14ac:dyDescent="0.2">
      <c r="A585" s="5"/>
      <c r="B585" s="5"/>
      <c r="C585" s="4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2.75" x14ac:dyDescent="0.2">
      <c r="A586" s="5"/>
      <c r="B586" s="5"/>
      <c r="C586" s="4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2.75" x14ac:dyDescent="0.2">
      <c r="A587" s="5"/>
      <c r="B587" s="5"/>
      <c r="C587" s="4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2.75" x14ac:dyDescent="0.2">
      <c r="A588" s="5"/>
      <c r="B588" s="5"/>
      <c r="C588" s="4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2.75" x14ac:dyDescent="0.2">
      <c r="A589" s="5"/>
      <c r="B589" s="5"/>
      <c r="C589" s="4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2.75" x14ac:dyDescent="0.2">
      <c r="A590" s="5"/>
      <c r="B590" s="5"/>
      <c r="C590" s="4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2.75" x14ac:dyDescent="0.2">
      <c r="A591" s="5"/>
      <c r="B591" s="5"/>
      <c r="C591" s="4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2.75" x14ac:dyDescent="0.2">
      <c r="A592" s="5"/>
      <c r="B592" s="5"/>
      <c r="C592" s="4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2.75" x14ac:dyDescent="0.2">
      <c r="A593" s="5"/>
      <c r="B593" s="5"/>
      <c r="C593" s="4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2.75" x14ac:dyDescent="0.2">
      <c r="A594" s="5"/>
      <c r="B594" s="5"/>
      <c r="C594" s="4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2.75" x14ac:dyDescent="0.2">
      <c r="A595" s="5"/>
      <c r="B595" s="5"/>
      <c r="C595" s="4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2.75" x14ac:dyDescent="0.2">
      <c r="A596" s="5"/>
      <c r="B596" s="5"/>
      <c r="C596" s="4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2.75" x14ac:dyDescent="0.2">
      <c r="A597" s="5"/>
      <c r="B597" s="5"/>
      <c r="C597" s="4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2.75" x14ac:dyDescent="0.2">
      <c r="A598" s="5"/>
      <c r="B598" s="5"/>
      <c r="C598" s="4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2.75" x14ac:dyDescent="0.2">
      <c r="A599" s="5"/>
      <c r="B599" s="5"/>
      <c r="C599" s="4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2.75" x14ac:dyDescent="0.2">
      <c r="A600" s="5"/>
      <c r="B600" s="5"/>
      <c r="C600" s="4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2.75" x14ac:dyDescent="0.2">
      <c r="A601" s="5"/>
      <c r="B601" s="5"/>
      <c r="C601" s="4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2.75" x14ac:dyDescent="0.2">
      <c r="A602" s="5"/>
      <c r="B602" s="5"/>
      <c r="C602" s="4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2.75" x14ac:dyDescent="0.2">
      <c r="A603" s="5"/>
      <c r="B603" s="5"/>
      <c r="C603" s="4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2.75" x14ac:dyDescent="0.2">
      <c r="A604" s="5"/>
      <c r="B604" s="5"/>
      <c r="C604" s="4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2.75" x14ac:dyDescent="0.2">
      <c r="A605" s="5"/>
      <c r="B605" s="5"/>
      <c r="C605" s="4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2.75" x14ac:dyDescent="0.2">
      <c r="A606" s="5"/>
      <c r="B606" s="5"/>
      <c r="C606" s="4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2.75" x14ac:dyDescent="0.2">
      <c r="A607" s="5"/>
      <c r="B607" s="5"/>
      <c r="C607" s="4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2.75" x14ac:dyDescent="0.2">
      <c r="A608" s="5"/>
      <c r="B608" s="5"/>
      <c r="C608" s="4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2.75" x14ac:dyDescent="0.2">
      <c r="A609" s="5"/>
      <c r="B609" s="5"/>
      <c r="C609" s="4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2.75" x14ac:dyDescent="0.2">
      <c r="A610" s="5"/>
      <c r="B610" s="5"/>
      <c r="C610" s="4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2.75" x14ac:dyDescent="0.2">
      <c r="A611" s="5"/>
      <c r="B611" s="5"/>
      <c r="C611" s="4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2.75" x14ac:dyDescent="0.2">
      <c r="A612" s="5"/>
      <c r="B612" s="5"/>
      <c r="C612" s="4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2.75" x14ac:dyDescent="0.2">
      <c r="A613" s="5"/>
      <c r="B613" s="5"/>
      <c r="C613" s="4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2.75" x14ac:dyDescent="0.2">
      <c r="A614" s="5"/>
      <c r="B614" s="5"/>
      <c r="C614" s="4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2.75" x14ac:dyDescent="0.2">
      <c r="A615" s="5"/>
      <c r="B615" s="5"/>
      <c r="C615" s="4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2.75" x14ac:dyDescent="0.2">
      <c r="A616" s="5"/>
      <c r="B616" s="5"/>
      <c r="C616" s="4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2.75" x14ac:dyDescent="0.2">
      <c r="A617" s="5"/>
      <c r="B617" s="5"/>
      <c r="C617" s="4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2.75" x14ac:dyDescent="0.2">
      <c r="A618" s="5"/>
      <c r="B618" s="5"/>
      <c r="C618" s="4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2.75" x14ac:dyDescent="0.2">
      <c r="A619" s="5"/>
      <c r="B619" s="5"/>
      <c r="C619" s="4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2.75" x14ac:dyDescent="0.2">
      <c r="A620" s="5"/>
      <c r="B620" s="5"/>
      <c r="C620" s="4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2.75" x14ac:dyDescent="0.2">
      <c r="A621" s="5"/>
      <c r="B621" s="5"/>
      <c r="C621" s="4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2.75" x14ac:dyDescent="0.2">
      <c r="A622" s="5"/>
      <c r="B622" s="5"/>
      <c r="C622" s="4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2.75" x14ac:dyDescent="0.2">
      <c r="A623" s="5"/>
      <c r="B623" s="5"/>
      <c r="C623" s="4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2.75" x14ac:dyDescent="0.2">
      <c r="A624" s="5"/>
      <c r="B624" s="5"/>
      <c r="C624" s="4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2.75" x14ac:dyDescent="0.2">
      <c r="A625" s="5"/>
      <c r="B625" s="5"/>
      <c r="C625" s="4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2.75" x14ac:dyDescent="0.2">
      <c r="A626" s="5"/>
      <c r="B626" s="5"/>
      <c r="C626" s="4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2.75" x14ac:dyDescent="0.2">
      <c r="A627" s="5"/>
      <c r="B627" s="5"/>
      <c r="C627" s="4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2.75" x14ac:dyDescent="0.2">
      <c r="A628" s="5"/>
      <c r="B628" s="5"/>
      <c r="C628" s="4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2.75" x14ac:dyDescent="0.2">
      <c r="A629" s="5"/>
      <c r="B629" s="5"/>
      <c r="C629" s="4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2.75" x14ac:dyDescent="0.2">
      <c r="A630" s="5"/>
      <c r="B630" s="5"/>
      <c r="C630" s="4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2.75" x14ac:dyDescent="0.2">
      <c r="A631" s="5"/>
      <c r="B631" s="5"/>
      <c r="C631" s="4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2.75" x14ac:dyDescent="0.2">
      <c r="A632" s="5"/>
      <c r="B632" s="5"/>
      <c r="C632" s="4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2.75" x14ac:dyDescent="0.2">
      <c r="A633" s="5"/>
      <c r="B633" s="5"/>
      <c r="C633" s="4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2.75" x14ac:dyDescent="0.2">
      <c r="A634" s="5"/>
      <c r="B634" s="5"/>
      <c r="C634" s="4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2.75" x14ac:dyDescent="0.2">
      <c r="A635" s="5"/>
      <c r="B635" s="5"/>
      <c r="C635" s="4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2.75" x14ac:dyDescent="0.2">
      <c r="A636" s="5"/>
      <c r="B636" s="5"/>
      <c r="C636" s="4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2.75" x14ac:dyDescent="0.2">
      <c r="A637" s="5"/>
      <c r="B637" s="5"/>
      <c r="C637" s="4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2.75" x14ac:dyDescent="0.2">
      <c r="A638" s="5"/>
      <c r="B638" s="5"/>
      <c r="C638" s="4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2.75" x14ac:dyDescent="0.2">
      <c r="A639" s="5"/>
      <c r="B639" s="5"/>
      <c r="C639" s="4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2.75" x14ac:dyDescent="0.2">
      <c r="A640" s="5"/>
      <c r="B640" s="5"/>
      <c r="C640" s="4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2.75" x14ac:dyDescent="0.2">
      <c r="A641" s="5"/>
      <c r="B641" s="5"/>
      <c r="C641" s="4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2.75" x14ac:dyDescent="0.2">
      <c r="A642" s="5"/>
      <c r="B642" s="5"/>
      <c r="C642" s="4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2.75" x14ac:dyDescent="0.2">
      <c r="A643" s="5"/>
      <c r="B643" s="5"/>
      <c r="C643" s="4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2.75" x14ac:dyDescent="0.2">
      <c r="A644" s="5"/>
      <c r="B644" s="5"/>
      <c r="C644" s="4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2.75" x14ac:dyDescent="0.2">
      <c r="A645" s="5"/>
      <c r="B645" s="5"/>
      <c r="C645" s="4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2.75" x14ac:dyDescent="0.2">
      <c r="A646" s="5"/>
      <c r="B646" s="5"/>
      <c r="C646" s="4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2.75" x14ac:dyDescent="0.2">
      <c r="A647" s="5"/>
      <c r="B647" s="5"/>
      <c r="C647" s="4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2.75" x14ac:dyDescent="0.2">
      <c r="A648" s="5"/>
      <c r="B648" s="5"/>
      <c r="C648" s="4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2.75" x14ac:dyDescent="0.2">
      <c r="A649" s="5"/>
      <c r="B649" s="5"/>
      <c r="C649" s="4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2.75" x14ac:dyDescent="0.2">
      <c r="A650" s="5"/>
      <c r="B650" s="5"/>
      <c r="C650" s="4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2.75" x14ac:dyDescent="0.2">
      <c r="A651" s="5"/>
      <c r="B651" s="5"/>
      <c r="C651" s="4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2.75" x14ac:dyDescent="0.2">
      <c r="A652" s="5"/>
      <c r="B652" s="5"/>
      <c r="C652" s="4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2.75" x14ac:dyDescent="0.2">
      <c r="A653" s="5"/>
      <c r="B653" s="5"/>
      <c r="C653" s="4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2.75" x14ac:dyDescent="0.2">
      <c r="A654" s="5"/>
      <c r="B654" s="5"/>
      <c r="C654" s="4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2.75" x14ac:dyDescent="0.2">
      <c r="A655" s="5"/>
      <c r="B655" s="5"/>
      <c r="C655" s="4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2.75" x14ac:dyDescent="0.2">
      <c r="A656" s="5"/>
      <c r="B656" s="5"/>
      <c r="C656" s="4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2.75" x14ac:dyDescent="0.2">
      <c r="A657" s="5"/>
      <c r="B657" s="5"/>
      <c r="C657" s="4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2.75" x14ac:dyDescent="0.2">
      <c r="A658" s="5"/>
      <c r="B658" s="5"/>
      <c r="C658" s="4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2.75" x14ac:dyDescent="0.2">
      <c r="A659" s="5"/>
      <c r="B659" s="5"/>
      <c r="C659" s="4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2.75" x14ac:dyDescent="0.2">
      <c r="A660" s="5"/>
      <c r="B660" s="5"/>
      <c r="C660" s="4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2.75" x14ac:dyDescent="0.2">
      <c r="A661" s="5"/>
      <c r="B661" s="5"/>
      <c r="C661" s="4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2.75" x14ac:dyDescent="0.2">
      <c r="A662" s="5"/>
      <c r="B662" s="5"/>
      <c r="C662" s="4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2.75" x14ac:dyDescent="0.2">
      <c r="A663" s="5"/>
      <c r="B663" s="5"/>
      <c r="C663" s="4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2.75" x14ac:dyDescent="0.2">
      <c r="A664" s="5"/>
      <c r="B664" s="5"/>
      <c r="C664" s="4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2.75" x14ac:dyDescent="0.2">
      <c r="A665" s="5"/>
      <c r="B665" s="5"/>
      <c r="C665" s="4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2.75" x14ac:dyDescent="0.2">
      <c r="A666" s="5"/>
      <c r="B666" s="5"/>
      <c r="C666" s="4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2.75" x14ac:dyDescent="0.2">
      <c r="A667" s="5"/>
      <c r="B667" s="5"/>
      <c r="C667" s="4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2.75" x14ac:dyDescent="0.2">
      <c r="A668" s="5"/>
      <c r="B668" s="5"/>
      <c r="C668" s="4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2.75" x14ac:dyDescent="0.2">
      <c r="A669" s="5"/>
      <c r="B669" s="5"/>
      <c r="C669" s="4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2.75" x14ac:dyDescent="0.2">
      <c r="A670" s="5"/>
      <c r="B670" s="5"/>
      <c r="C670" s="4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2.75" x14ac:dyDescent="0.2">
      <c r="A671" s="5"/>
      <c r="B671" s="5"/>
      <c r="C671" s="4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2.75" x14ac:dyDescent="0.2">
      <c r="A672" s="5"/>
      <c r="B672" s="5"/>
      <c r="C672" s="4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2.75" x14ac:dyDescent="0.2">
      <c r="A673" s="5"/>
      <c r="B673" s="5"/>
      <c r="C673" s="4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2.75" x14ac:dyDescent="0.2">
      <c r="A674" s="5"/>
      <c r="B674" s="5"/>
      <c r="C674" s="4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2.75" x14ac:dyDescent="0.2">
      <c r="A675" s="5"/>
      <c r="B675" s="5"/>
      <c r="C675" s="4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2.75" x14ac:dyDescent="0.2">
      <c r="A676" s="5"/>
      <c r="B676" s="5"/>
      <c r="C676" s="4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2.75" x14ac:dyDescent="0.2">
      <c r="A677" s="5"/>
      <c r="B677" s="5"/>
      <c r="C677" s="4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2.75" x14ac:dyDescent="0.2">
      <c r="A678" s="5"/>
      <c r="B678" s="5"/>
      <c r="C678" s="4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2.75" x14ac:dyDescent="0.2">
      <c r="A679" s="5"/>
      <c r="B679" s="5"/>
      <c r="C679" s="4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2.75" x14ac:dyDescent="0.2">
      <c r="A680" s="5"/>
      <c r="B680" s="5"/>
      <c r="C680" s="4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2.75" x14ac:dyDescent="0.2">
      <c r="A681" s="5"/>
      <c r="B681" s="5"/>
      <c r="C681" s="4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2.75" x14ac:dyDescent="0.2">
      <c r="A682" s="5"/>
      <c r="B682" s="5"/>
      <c r="C682" s="4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2.75" x14ac:dyDescent="0.2">
      <c r="A683" s="5"/>
      <c r="B683" s="5"/>
      <c r="C683" s="4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2.75" x14ac:dyDescent="0.2">
      <c r="A684" s="5"/>
      <c r="B684" s="5"/>
      <c r="C684" s="4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2.75" x14ac:dyDescent="0.2">
      <c r="A685" s="5"/>
      <c r="B685" s="5"/>
      <c r="C685" s="4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2.75" x14ac:dyDescent="0.2">
      <c r="A686" s="5"/>
      <c r="B686" s="5"/>
      <c r="C686" s="4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2.75" x14ac:dyDescent="0.2">
      <c r="A687" s="5"/>
      <c r="B687" s="5"/>
      <c r="C687" s="4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2.75" x14ac:dyDescent="0.2">
      <c r="A688" s="5"/>
      <c r="B688" s="5"/>
      <c r="C688" s="4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2.75" x14ac:dyDescent="0.2">
      <c r="A689" s="5"/>
      <c r="B689" s="5"/>
      <c r="C689" s="4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2.75" x14ac:dyDescent="0.2">
      <c r="A690" s="5"/>
      <c r="B690" s="5"/>
      <c r="C690" s="4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2.75" x14ac:dyDescent="0.2">
      <c r="A691" s="5"/>
      <c r="B691" s="5"/>
      <c r="C691" s="4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2.75" x14ac:dyDescent="0.2">
      <c r="A692" s="5"/>
      <c r="B692" s="5"/>
      <c r="C692" s="4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2.75" x14ac:dyDescent="0.2">
      <c r="A693" s="5"/>
      <c r="B693" s="5"/>
      <c r="C693" s="4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2.75" x14ac:dyDescent="0.2">
      <c r="A694" s="5"/>
      <c r="B694" s="5"/>
      <c r="C694" s="4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2.75" x14ac:dyDescent="0.2">
      <c r="A695" s="5"/>
      <c r="B695" s="5"/>
      <c r="C695" s="4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2.75" x14ac:dyDescent="0.2">
      <c r="A696" s="5"/>
      <c r="B696" s="5"/>
      <c r="C696" s="4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2.75" x14ac:dyDescent="0.2">
      <c r="A697" s="5"/>
      <c r="B697" s="5"/>
      <c r="C697" s="4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2.75" x14ac:dyDescent="0.2">
      <c r="A698" s="5"/>
      <c r="B698" s="5"/>
      <c r="C698" s="4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2.75" x14ac:dyDescent="0.2">
      <c r="A699" s="5"/>
      <c r="B699" s="5"/>
      <c r="C699" s="4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2.75" x14ac:dyDescent="0.2">
      <c r="A700" s="5"/>
      <c r="B700" s="5"/>
      <c r="C700" s="4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2.75" x14ac:dyDescent="0.2">
      <c r="A701" s="5"/>
      <c r="B701" s="5"/>
      <c r="C701" s="4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2.75" x14ac:dyDescent="0.2">
      <c r="A702" s="5"/>
      <c r="B702" s="5"/>
      <c r="C702" s="4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2.75" x14ac:dyDescent="0.2">
      <c r="A703" s="5"/>
      <c r="B703" s="5"/>
      <c r="C703" s="4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2.75" x14ac:dyDescent="0.2">
      <c r="A704" s="5"/>
      <c r="B704" s="5"/>
      <c r="C704" s="4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2.75" x14ac:dyDescent="0.2">
      <c r="A705" s="5"/>
      <c r="B705" s="5"/>
      <c r="C705" s="4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2.75" x14ac:dyDescent="0.2">
      <c r="A706" s="5"/>
      <c r="B706" s="5"/>
      <c r="C706" s="4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2.75" x14ac:dyDescent="0.2">
      <c r="A707" s="5"/>
      <c r="B707" s="5"/>
      <c r="C707" s="4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2.75" x14ac:dyDescent="0.2">
      <c r="A708" s="5"/>
      <c r="B708" s="5"/>
      <c r="C708" s="4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2.75" x14ac:dyDescent="0.2">
      <c r="A709" s="5"/>
      <c r="B709" s="5"/>
      <c r="C709" s="4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2.75" x14ac:dyDescent="0.2">
      <c r="A710" s="5"/>
      <c r="B710" s="5"/>
      <c r="C710" s="4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2.75" x14ac:dyDescent="0.2">
      <c r="A711" s="5"/>
      <c r="B711" s="5"/>
      <c r="C711" s="4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2.75" x14ac:dyDescent="0.2">
      <c r="A712" s="5"/>
      <c r="B712" s="5"/>
      <c r="C712" s="4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2.75" x14ac:dyDescent="0.2">
      <c r="A713" s="5"/>
      <c r="B713" s="5"/>
      <c r="C713" s="4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2.75" x14ac:dyDescent="0.2">
      <c r="A714" s="5"/>
      <c r="B714" s="5"/>
      <c r="C714" s="4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2.75" x14ac:dyDescent="0.2">
      <c r="A715" s="5"/>
      <c r="B715" s="5"/>
      <c r="C715" s="4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2.75" x14ac:dyDescent="0.2">
      <c r="A716" s="5"/>
      <c r="B716" s="5"/>
      <c r="C716" s="4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2.75" x14ac:dyDescent="0.2">
      <c r="A717" s="5"/>
      <c r="B717" s="5"/>
      <c r="C717" s="4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2.75" x14ac:dyDescent="0.2">
      <c r="A718" s="5"/>
      <c r="B718" s="5"/>
      <c r="C718" s="4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2.75" x14ac:dyDescent="0.2">
      <c r="A719" s="5"/>
      <c r="B719" s="5"/>
      <c r="C719" s="4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2.75" x14ac:dyDescent="0.2">
      <c r="A720" s="5"/>
      <c r="B720" s="5"/>
      <c r="C720" s="4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2.75" x14ac:dyDescent="0.2">
      <c r="A721" s="5"/>
      <c r="B721" s="5"/>
      <c r="C721" s="4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2.75" x14ac:dyDescent="0.2">
      <c r="A722" s="5"/>
      <c r="B722" s="5"/>
      <c r="C722" s="4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2.75" x14ac:dyDescent="0.2">
      <c r="A723" s="5"/>
      <c r="B723" s="5"/>
      <c r="C723" s="4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2.75" x14ac:dyDescent="0.2">
      <c r="A724" s="5"/>
      <c r="B724" s="5"/>
      <c r="C724" s="4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2.75" x14ac:dyDescent="0.2">
      <c r="A725" s="5"/>
      <c r="B725" s="5"/>
      <c r="C725" s="4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2.75" x14ac:dyDescent="0.2">
      <c r="A726" s="5"/>
      <c r="B726" s="5"/>
      <c r="C726" s="4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2.75" x14ac:dyDescent="0.2">
      <c r="A727" s="5"/>
      <c r="B727" s="5"/>
      <c r="C727" s="4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2.75" x14ac:dyDescent="0.2">
      <c r="A728" s="5"/>
      <c r="B728" s="5"/>
      <c r="C728" s="4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2.75" x14ac:dyDescent="0.2">
      <c r="A729" s="5"/>
      <c r="B729" s="5"/>
      <c r="C729" s="4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2.75" x14ac:dyDescent="0.2">
      <c r="A730" s="5"/>
      <c r="B730" s="5"/>
      <c r="C730" s="4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2.75" x14ac:dyDescent="0.2">
      <c r="A731" s="5"/>
      <c r="B731" s="5"/>
      <c r="C731" s="4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2.75" x14ac:dyDescent="0.2">
      <c r="A732" s="5"/>
      <c r="B732" s="5"/>
      <c r="C732" s="4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2.75" x14ac:dyDescent="0.2">
      <c r="A733" s="5"/>
      <c r="B733" s="5"/>
      <c r="C733" s="4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2.75" x14ac:dyDescent="0.2">
      <c r="A734" s="5"/>
      <c r="B734" s="5"/>
      <c r="C734" s="4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2.75" x14ac:dyDescent="0.2">
      <c r="A735" s="5"/>
      <c r="B735" s="5"/>
      <c r="C735" s="4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2.75" x14ac:dyDescent="0.2">
      <c r="A736" s="5"/>
      <c r="B736" s="5"/>
      <c r="C736" s="4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2.75" x14ac:dyDescent="0.2">
      <c r="A737" s="5"/>
      <c r="B737" s="5"/>
      <c r="C737" s="4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2.75" x14ac:dyDescent="0.2">
      <c r="A738" s="5"/>
      <c r="B738" s="5"/>
      <c r="C738" s="4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2.75" x14ac:dyDescent="0.2">
      <c r="A739" s="5"/>
      <c r="B739" s="5"/>
      <c r="C739" s="4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2.75" x14ac:dyDescent="0.2">
      <c r="A740" s="5"/>
      <c r="B740" s="5"/>
      <c r="C740" s="4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2.75" x14ac:dyDescent="0.2">
      <c r="A741" s="5"/>
      <c r="B741" s="5"/>
      <c r="C741" s="4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2.75" x14ac:dyDescent="0.2">
      <c r="A742" s="5"/>
      <c r="B742" s="5"/>
      <c r="C742" s="4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2.75" x14ac:dyDescent="0.2">
      <c r="A743" s="5"/>
      <c r="B743" s="5"/>
      <c r="C743" s="4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2.75" x14ac:dyDescent="0.2">
      <c r="A744" s="5"/>
      <c r="B744" s="5"/>
      <c r="C744" s="4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2.75" x14ac:dyDescent="0.2">
      <c r="A745" s="5"/>
      <c r="B745" s="5"/>
      <c r="C745" s="4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2.75" x14ac:dyDescent="0.2">
      <c r="A746" s="5"/>
      <c r="B746" s="5"/>
      <c r="C746" s="4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2.75" x14ac:dyDescent="0.2">
      <c r="A747" s="5"/>
      <c r="B747" s="5"/>
      <c r="C747" s="4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2.75" x14ac:dyDescent="0.2">
      <c r="A748" s="5"/>
      <c r="B748" s="5"/>
      <c r="C748" s="4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2.75" x14ac:dyDescent="0.2">
      <c r="A749" s="5"/>
      <c r="B749" s="5"/>
      <c r="C749" s="4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2.75" x14ac:dyDescent="0.2">
      <c r="A750" s="5"/>
      <c r="B750" s="5"/>
      <c r="C750" s="4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2.75" x14ac:dyDescent="0.2">
      <c r="A751" s="5"/>
      <c r="B751" s="5"/>
      <c r="C751" s="4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2.75" x14ac:dyDescent="0.2">
      <c r="A752" s="5"/>
      <c r="B752" s="5"/>
      <c r="C752" s="4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2.75" x14ac:dyDescent="0.2">
      <c r="A753" s="5"/>
      <c r="B753" s="5"/>
      <c r="C753" s="4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2.75" x14ac:dyDescent="0.2">
      <c r="A754" s="5"/>
      <c r="B754" s="5"/>
      <c r="C754" s="4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2.75" x14ac:dyDescent="0.2">
      <c r="A755" s="5"/>
      <c r="B755" s="5"/>
      <c r="C755" s="4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2.75" x14ac:dyDescent="0.2">
      <c r="A756" s="5"/>
      <c r="B756" s="5"/>
      <c r="C756" s="4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2.75" x14ac:dyDescent="0.2">
      <c r="A757" s="5"/>
      <c r="B757" s="5"/>
      <c r="C757" s="4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2.75" x14ac:dyDescent="0.2">
      <c r="A758" s="5"/>
      <c r="B758" s="5"/>
      <c r="C758" s="4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2.75" x14ac:dyDescent="0.2">
      <c r="A759" s="5"/>
      <c r="B759" s="5"/>
      <c r="C759" s="4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2.75" x14ac:dyDescent="0.2">
      <c r="A760" s="5"/>
      <c r="B760" s="5"/>
      <c r="C760" s="4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2.75" x14ac:dyDescent="0.2">
      <c r="A761" s="5"/>
      <c r="B761" s="5"/>
      <c r="C761" s="4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2.75" x14ac:dyDescent="0.2">
      <c r="A762" s="5"/>
      <c r="B762" s="5"/>
      <c r="C762" s="4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2.75" x14ac:dyDescent="0.2">
      <c r="A763" s="5"/>
      <c r="B763" s="5"/>
      <c r="C763" s="4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2.75" x14ac:dyDescent="0.2">
      <c r="A764" s="5"/>
      <c r="B764" s="5"/>
      <c r="C764" s="4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2.75" x14ac:dyDescent="0.2">
      <c r="A765" s="5"/>
      <c r="B765" s="5"/>
      <c r="C765" s="4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2.75" x14ac:dyDescent="0.2">
      <c r="A766" s="5"/>
      <c r="B766" s="5"/>
      <c r="C766" s="4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2.75" x14ac:dyDescent="0.2">
      <c r="A767" s="5"/>
      <c r="B767" s="5"/>
      <c r="C767" s="4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2.75" x14ac:dyDescent="0.2">
      <c r="A768" s="5"/>
      <c r="B768" s="5"/>
      <c r="C768" s="4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2.75" x14ac:dyDescent="0.2">
      <c r="A769" s="5"/>
      <c r="B769" s="5"/>
      <c r="C769" s="4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2.75" x14ac:dyDescent="0.2">
      <c r="A770" s="5"/>
      <c r="B770" s="5"/>
      <c r="C770" s="4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2.75" x14ac:dyDescent="0.2">
      <c r="A771" s="5"/>
      <c r="B771" s="5"/>
      <c r="C771" s="4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2.75" x14ac:dyDescent="0.2">
      <c r="A772" s="5"/>
      <c r="B772" s="5"/>
      <c r="C772" s="4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2.75" x14ac:dyDescent="0.2">
      <c r="A773" s="5"/>
      <c r="B773" s="5"/>
      <c r="C773" s="4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2.75" x14ac:dyDescent="0.2">
      <c r="A774" s="5"/>
      <c r="B774" s="5"/>
      <c r="C774" s="4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2.75" x14ac:dyDescent="0.2">
      <c r="A775" s="5"/>
      <c r="B775" s="5"/>
      <c r="C775" s="4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2.75" x14ac:dyDescent="0.2">
      <c r="A776" s="5"/>
      <c r="B776" s="5"/>
      <c r="C776" s="4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2.75" x14ac:dyDescent="0.2">
      <c r="A777" s="5"/>
      <c r="B777" s="5"/>
      <c r="C777" s="4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2.75" x14ac:dyDescent="0.2">
      <c r="A778" s="5"/>
      <c r="B778" s="5"/>
      <c r="C778" s="4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2.75" x14ac:dyDescent="0.2">
      <c r="A779" s="5"/>
      <c r="B779" s="5"/>
      <c r="C779" s="4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2.75" x14ac:dyDescent="0.2">
      <c r="A780" s="5"/>
      <c r="B780" s="5"/>
      <c r="C780" s="4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2.75" x14ac:dyDescent="0.2">
      <c r="A781" s="5"/>
      <c r="B781" s="5"/>
      <c r="C781" s="4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2.75" x14ac:dyDescent="0.2">
      <c r="A782" s="5"/>
      <c r="B782" s="5"/>
      <c r="C782" s="4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2.75" x14ac:dyDescent="0.2">
      <c r="A783" s="5"/>
      <c r="B783" s="5"/>
      <c r="C783" s="4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2.75" x14ac:dyDescent="0.2">
      <c r="A784" s="5"/>
      <c r="B784" s="5"/>
      <c r="C784" s="4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2.75" x14ac:dyDescent="0.2">
      <c r="A785" s="5"/>
      <c r="B785" s="5"/>
      <c r="C785" s="4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2.75" x14ac:dyDescent="0.2">
      <c r="A786" s="5"/>
      <c r="B786" s="5"/>
      <c r="C786" s="4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2.75" x14ac:dyDescent="0.2">
      <c r="A787" s="5"/>
      <c r="B787" s="5"/>
      <c r="C787" s="4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2.75" x14ac:dyDescent="0.2">
      <c r="A788" s="5"/>
      <c r="B788" s="5"/>
      <c r="C788" s="4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2.75" x14ac:dyDescent="0.2">
      <c r="A789" s="5"/>
      <c r="B789" s="5"/>
      <c r="C789" s="4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2.75" x14ac:dyDescent="0.2">
      <c r="A790" s="5"/>
      <c r="B790" s="5"/>
      <c r="C790" s="4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2.75" x14ac:dyDescent="0.2">
      <c r="A791" s="5"/>
      <c r="B791" s="5"/>
      <c r="C791" s="4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2.75" x14ac:dyDescent="0.2">
      <c r="A792" s="5"/>
      <c r="B792" s="5"/>
      <c r="C792" s="4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2.75" x14ac:dyDescent="0.2">
      <c r="A793" s="5"/>
      <c r="B793" s="5"/>
      <c r="C793" s="4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2.75" x14ac:dyDescent="0.2">
      <c r="A794" s="5"/>
      <c r="B794" s="5"/>
      <c r="C794" s="4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2.75" x14ac:dyDescent="0.2">
      <c r="A795" s="5"/>
      <c r="B795" s="5"/>
      <c r="C795" s="4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2.75" x14ac:dyDescent="0.2">
      <c r="A796" s="5"/>
      <c r="B796" s="5"/>
      <c r="C796" s="4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2.75" x14ac:dyDescent="0.2">
      <c r="A797" s="5"/>
      <c r="B797" s="5"/>
      <c r="C797" s="4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2.75" x14ac:dyDescent="0.2">
      <c r="A798" s="5"/>
      <c r="B798" s="5"/>
      <c r="C798" s="4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2.75" x14ac:dyDescent="0.2">
      <c r="A799" s="5"/>
      <c r="B799" s="5"/>
      <c r="C799" s="4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2.75" x14ac:dyDescent="0.2">
      <c r="A800" s="5"/>
      <c r="B800" s="5"/>
      <c r="C800" s="4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2.75" x14ac:dyDescent="0.2">
      <c r="A801" s="5"/>
      <c r="B801" s="5"/>
      <c r="C801" s="4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2.75" x14ac:dyDescent="0.2">
      <c r="A802" s="5"/>
      <c r="B802" s="5"/>
      <c r="C802" s="4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2.75" x14ac:dyDescent="0.2">
      <c r="A803" s="5"/>
      <c r="B803" s="5"/>
      <c r="C803" s="4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2.75" x14ac:dyDescent="0.2">
      <c r="A804" s="5"/>
      <c r="B804" s="5"/>
      <c r="C804" s="4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2.75" x14ac:dyDescent="0.2">
      <c r="A805" s="5"/>
      <c r="B805" s="5"/>
      <c r="C805" s="4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2.75" x14ac:dyDescent="0.2">
      <c r="A806" s="5"/>
      <c r="B806" s="5"/>
      <c r="C806" s="4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2.75" x14ac:dyDescent="0.2">
      <c r="A807" s="5"/>
      <c r="B807" s="5"/>
      <c r="C807" s="4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2.75" x14ac:dyDescent="0.2">
      <c r="A808" s="5"/>
      <c r="B808" s="5"/>
      <c r="C808" s="4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2.75" x14ac:dyDescent="0.2">
      <c r="A809" s="5"/>
      <c r="B809" s="5"/>
      <c r="C809" s="4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2.75" x14ac:dyDescent="0.2">
      <c r="A810" s="5"/>
      <c r="B810" s="5"/>
      <c r="C810" s="4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2.75" x14ac:dyDescent="0.2">
      <c r="A811" s="5"/>
      <c r="B811" s="5"/>
      <c r="C811" s="4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2.75" x14ac:dyDescent="0.2">
      <c r="A812" s="5"/>
      <c r="B812" s="5"/>
      <c r="C812" s="4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2.75" x14ac:dyDescent="0.2">
      <c r="A813" s="5"/>
      <c r="B813" s="5"/>
      <c r="C813" s="4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2.75" x14ac:dyDescent="0.2">
      <c r="A814" s="5"/>
      <c r="B814" s="5"/>
      <c r="C814" s="4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2.75" x14ac:dyDescent="0.2">
      <c r="A815" s="5"/>
      <c r="B815" s="5"/>
      <c r="C815" s="4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2.75" x14ac:dyDescent="0.2">
      <c r="A816" s="5"/>
      <c r="B816" s="5"/>
      <c r="C816" s="4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2.75" x14ac:dyDescent="0.2">
      <c r="A817" s="5"/>
      <c r="B817" s="5"/>
      <c r="C817" s="4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2.75" x14ac:dyDescent="0.2">
      <c r="A818" s="5"/>
      <c r="B818" s="5"/>
      <c r="C818" s="4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2.75" x14ac:dyDescent="0.2">
      <c r="A819" s="5"/>
      <c r="B819" s="5"/>
      <c r="C819" s="4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2.75" x14ac:dyDescent="0.2">
      <c r="A820" s="5"/>
      <c r="B820" s="5"/>
      <c r="C820" s="4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2.75" x14ac:dyDescent="0.2">
      <c r="A821" s="5"/>
      <c r="B821" s="5"/>
      <c r="C821" s="4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2.75" x14ac:dyDescent="0.2">
      <c r="A822" s="5"/>
      <c r="B822" s="5"/>
      <c r="C822" s="4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2.75" x14ac:dyDescent="0.2">
      <c r="A823" s="5"/>
      <c r="B823" s="5"/>
      <c r="C823" s="4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2.75" x14ac:dyDescent="0.2">
      <c r="A824" s="5"/>
      <c r="B824" s="5"/>
      <c r="C824" s="4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2.75" x14ac:dyDescent="0.2">
      <c r="A825" s="5"/>
      <c r="B825" s="5"/>
      <c r="C825" s="4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2.75" x14ac:dyDescent="0.2">
      <c r="A826" s="5"/>
      <c r="B826" s="5"/>
      <c r="C826" s="4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2.75" x14ac:dyDescent="0.2">
      <c r="A827" s="5"/>
      <c r="B827" s="5"/>
      <c r="C827" s="4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2.75" x14ac:dyDescent="0.2">
      <c r="A828" s="5"/>
      <c r="B828" s="5"/>
      <c r="C828" s="4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2.75" x14ac:dyDescent="0.2">
      <c r="A829" s="5"/>
      <c r="B829" s="5"/>
      <c r="C829" s="4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2.75" x14ac:dyDescent="0.2">
      <c r="A830" s="5"/>
      <c r="B830" s="5"/>
      <c r="C830" s="4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2.75" x14ac:dyDescent="0.2">
      <c r="A831" s="5"/>
      <c r="B831" s="5"/>
      <c r="C831" s="4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2.75" x14ac:dyDescent="0.2">
      <c r="A832" s="5"/>
      <c r="B832" s="5"/>
      <c r="C832" s="4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2.75" x14ac:dyDescent="0.2">
      <c r="A833" s="5"/>
      <c r="B833" s="5"/>
      <c r="C833" s="4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2.75" x14ac:dyDescent="0.2">
      <c r="A834" s="5"/>
      <c r="B834" s="5"/>
      <c r="C834" s="4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2.75" x14ac:dyDescent="0.2">
      <c r="A835" s="5"/>
      <c r="B835" s="5"/>
      <c r="C835" s="4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2.75" x14ac:dyDescent="0.2">
      <c r="A836" s="5"/>
      <c r="B836" s="5"/>
      <c r="C836" s="4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2.75" x14ac:dyDescent="0.2">
      <c r="A837" s="5"/>
      <c r="B837" s="5"/>
      <c r="C837" s="4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2.75" x14ac:dyDescent="0.2">
      <c r="A838" s="5"/>
      <c r="B838" s="5"/>
      <c r="C838" s="4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2.75" x14ac:dyDescent="0.2">
      <c r="A839" s="5"/>
      <c r="B839" s="5"/>
      <c r="C839" s="4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2.75" x14ac:dyDescent="0.2">
      <c r="A840" s="5"/>
      <c r="B840" s="5"/>
      <c r="C840" s="4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2.75" x14ac:dyDescent="0.2">
      <c r="A841" s="5"/>
      <c r="B841" s="5"/>
      <c r="C841" s="4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2.75" x14ac:dyDescent="0.2">
      <c r="A842" s="5"/>
      <c r="B842" s="5"/>
      <c r="C842" s="4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2.75" x14ac:dyDescent="0.2">
      <c r="A843" s="5"/>
      <c r="B843" s="5"/>
      <c r="C843" s="4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2.75" x14ac:dyDescent="0.2">
      <c r="A844" s="5"/>
      <c r="B844" s="5"/>
      <c r="C844" s="4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2.75" x14ac:dyDescent="0.2">
      <c r="A845" s="5"/>
      <c r="B845" s="5"/>
      <c r="C845" s="4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2.75" x14ac:dyDescent="0.2">
      <c r="A846" s="5"/>
      <c r="B846" s="5"/>
      <c r="C846" s="4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2.75" x14ac:dyDescent="0.2">
      <c r="A847" s="5"/>
      <c r="B847" s="5"/>
      <c r="C847" s="4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2.75" x14ac:dyDescent="0.2">
      <c r="A848" s="5"/>
      <c r="B848" s="5"/>
      <c r="C848" s="4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2.75" x14ac:dyDescent="0.2">
      <c r="A849" s="5"/>
      <c r="B849" s="5"/>
      <c r="C849" s="4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2.75" x14ac:dyDescent="0.2">
      <c r="A850" s="5"/>
      <c r="B850" s="5"/>
      <c r="C850" s="4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2.75" x14ac:dyDescent="0.2">
      <c r="A851" s="5"/>
      <c r="B851" s="5"/>
      <c r="C851" s="4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2.75" x14ac:dyDescent="0.2">
      <c r="A852" s="5"/>
      <c r="B852" s="5"/>
      <c r="C852" s="4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2.75" x14ac:dyDescent="0.2">
      <c r="A853" s="5"/>
      <c r="B853" s="5"/>
      <c r="C853" s="4"/>
      <c r="D853" s="5"/>
      <c r="E853" s="5"/>
      <c r="F853" s="5"/>
      <c r="G853" s="5"/>
      <c r="H853" s="5"/>
      <c r="I853" s="5"/>
      <c r="J853" s="5"/>
      <c r="K853" s="5"/>
      <c r="L853" s="5"/>
    </row>
    <row r="854" spans="1:12" ht="12.75" x14ac:dyDescent="0.2">
      <c r="A854" s="5"/>
      <c r="B854" s="5"/>
      <c r="C854" s="4"/>
      <c r="D854" s="5"/>
      <c r="E854" s="5"/>
      <c r="F854" s="5"/>
      <c r="G854" s="5"/>
      <c r="H854" s="5"/>
      <c r="I854" s="5"/>
      <c r="J854" s="5"/>
      <c r="K854" s="5"/>
      <c r="L854" s="5"/>
    </row>
    <row r="855" spans="1:12" ht="12.75" x14ac:dyDescent="0.2">
      <c r="A855" s="5"/>
      <c r="B855" s="5"/>
      <c r="C855" s="4"/>
      <c r="D855" s="5"/>
      <c r="E855" s="5"/>
      <c r="F855" s="5"/>
      <c r="G855" s="5"/>
      <c r="H855" s="5"/>
      <c r="I855" s="5"/>
      <c r="J855" s="5"/>
      <c r="K855" s="5"/>
      <c r="L855" s="5"/>
    </row>
    <row r="856" spans="1:12" ht="12.75" x14ac:dyDescent="0.2">
      <c r="A856" s="5"/>
      <c r="B856" s="5"/>
      <c r="C856" s="4"/>
      <c r="D856" s="5"/>
      <c r="E856" s="5"/>
      <c r="F856" s="5"/>
      <c r="G856" s="5"/>
      <c r="H856" s="5"/>
      <c r="I856" s="5"/>
      <c r="J856" s="5"/>
      <c r="K856" s="5"/>
      <c r="L856" s="5"/>
    </row>
    <row r="857" spans="1:12" ht="12.75" x14ac:dyDescent="0.2">
      <c r="A857" s="5"/>
      <c r="B857" s="5"/>
      <c r="C857" s="4"/>
      <c r="D857" s="5"/>
      <c r="E857" s="5"/>
      <c r="F857" s="5"/>
      <c r="G857" s="5"/>
      <c r="H857" s="5"/>
      <c r="I857" s="5"/>
      <c r="J857" s="5"/>
      <c r="K857" s="5"/>
      <c r="L857" s="5"/>
    </row>
    <row r="858" spans="1:12" ht="12.75" x14ac:dyDescent="0.2">
      <c r="A858" s="5"/>
      <c r="B858" s="5"/>
      <c r="C858" s="4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2.75" x14ac:dyDescent="0.2">
      <c r="A859" s="5"/>
      <c r="B859" s="5"/>
      <c r="C859" s="4"/>
      <c r="D859" s="5"/>
      <c r="E859" s="5"/>
      <c r="F859" s="5"/>
      <c r="G859" s="5"/>
      <c r="H859" s="5"/>
      <c r="I859" s="5"/>
      <c r="J859" s="5"/>
      <c r="K859" s="5"/>
      <c r="L859" s="5"/>
    </row>
    <row r="860" spans="1:12" ht="12.75" x14ac:dyDescent="0.2">
      <c r="A860" s="5"/>
      <c r="B860" s="5"/>
      <c r="C860" s="4"/>
      <c r="D860" s="5"/>
      <c r="E860" s="5"/>
      <c r="F860" s="5"/>
      <c r="G860" s="5"/>
      <c r="H860" s="5"/>
      <c r="I860" s="5"/>
      <c r="J860" s="5"/>
      <c r="K860" s="5"/>
      <c r="L860" s="5"/>
    </row>
    <row r="861" spans="1:12" ht="12.75" x14ac:dyDescent="0.2">
      <c r="A861" s="5"/>
      <c r="B861" s="5"/>
      <c r="C861" s="4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2.75" x14ac:dyDescent="0.2">
      <c r="A862" s="5"/>
      <c r="B862" s="5"/>
      <c r="C862" s="4"/>
      <c r="D862" s="5"/>
      <c r="E862" s="5"/>
      <c r="F862" s="5"/>
      <c r="G862" s="5"/>
      <c r="H862" s="5"/>
      <c r="I862" s="5"/>
      <c r="J862" s="5"/>
      <c r="K862" s="5"/>
      <c r="L862" s="5"/>
    </row>
    <row r="863" spans="1:12" ht="12.75" x14ac:dyDescent="0.2">
      <c r="A863" s="5"/>
      <c r="B863" s="5"/>
      <c r="C863" s="4"/>
      <c r="D863" s="5"/>
      <c r="E863" s="5"/>
      <c r="F863" s="5"/>
      <c r="G863" s="5"/>
      <c r="H863" s="5"/>
      <c r="I863" s="5"/>
      <c r="J863" s="5"/>
      <c r="K863" s="5"/>
      <c r="L863" s="5"/>
    </row>
    <row r="864" spans="1:12" ht="12.75" x14ac:dyDescent="0.2">
      <c r="A864" s="5"/>
      <c r="B864" s="5"/>
      <c r="C864" s="4"/>
      <c r="D864" s="5"/>
      <c r="E864" s="5"/>
      <c r="F864" s="5"/>
      <c r="G864" s="5"/>
      <c r="H864" s="5"/>
      <c r="I864" s="5"/>
      <c r="J864" s="5"/>
      <c r="K864" s="5"/>
      <c r="L864" s="5"/>
    </row>
    <row r="865" spans="1:12" ht="12.75" x14ac:dyDescent="0.2">
      <c r="A865" s="5"/>
      <c r="B865" s="5"/>
      <c r="C865" s="4"/>
      <c r="D865" s="5"/>
      <c r="E865" s="5"/>
      <c r="F865" s="5"/>
      <c r="G865" s="5"/>
      <c r="H865" s="5"/>
      <c r="I865" s="5"/>
      <c r="J865" s="5"/>
      <c r="K865" s="5"/>
      <c r="L865" s="5"/>
    </row>
    <row r="866" spans="1:12" ht="12.75" x14ac:dyDescent="0.2">
      <c r="A866" s="5"/>
      <c r="B866" s="5"/>
      <c r="C866" s="4"/>
      <c r="D866" s="5"/>
      <c r="E866" s="5"/>
      <c r="F866" s="5"/>
      <c r="G866" s="5"/>
      <c r="H866" s="5"/>
      <c r="I866" s="5"/>
      <c r="J866" s="5"/>
      <c r="K866" s="5"/>
      <c r="L866" s="5"/>
    </row>
    <row r="867" spans="1:12" ht="12.75" x14ac:dyDescent="0.2">
      <c r="A867" s="5"/>
      <c r="B867" s="5"/>
      <c r="C867" s="4"/>
      <c r="D867" s="5"/>
      <c r="E867" s="5"/>
      <c r="F867" s="5"/>
      <c r="G867" s="5"/>
      <c r="H867" s="5"/>
      <c r="I867" s="5"/>
      <c r="J867" s="5"/>
      <c r="K867" s="5"/>
      <c r="L867" s="5"/>
    </row>
    <row r="868" spans="1:12" ht="12.75" x14ac:dyDescent="0.2">
      <c r="A868" s="5"/>
      <c r="B868" s="5"/>
      <c r="C868" s="4"/>
      <c r="D868" s="5"/>
      <c r="E868" s="5"/>
      <c r="F868" s="5"/>
      <c r="G868" s="5"/>
      <c r="H868" s="5"/>
      <c r="I868" s="5"/>
      <c r="J868" s="5"/>
      <c r="K868" s="5"/>
      <c r="L868" s="5"/>
    </row>
    <row r="869" spans="1:12" ht="12.75" x14ac:dyDescent="0.2">
      <c r="A869" s="5"/>
      <c r="B869" s="5"/>
      <c r="C869" s="4"/>
      <c r="D869" s="5"/>
      <c r="E869" s="5"/>
      <c r="F869" s="5"/>
      <c r="G869" s="5"/>
      <c r="H869" s="5"/>
      <c r="I869" s="5"/>
      <c r="J869" s="5"/>
      <c r="K869" s="5"/>
      <c r="L869" s="5"/>
    </row>
    <row r="870" spans="1:12" ht="12.75" x14ac:dyDescent="0.2">
      <c r="A870" s="5"/>
      <c r="B870" s="5"/>
      <c r="C870" s="4"/>
      <c r="D870" s="5"/>
      <c r="E870" s="5"/>
      <c r="F870" s="5"/>
      <c r="G870" s="5"/>
      <c r="H870" s="5"/>
      <c r="I870" s="5"/>
      <c r="J870" s="5"/>
      <c r="K870" s="5"/>
      <c r="L870" s="5"/>
    </row>
    <row r="871" spans="1:12" ht="12.75" x14ac:dyDescent="0.2">
      <c r="A871" s="5"/>
      <c r="B871" s="5"/>
      <c r="C871" s="4"/>
      <c r="D871" s="5"/>
      <c r="E871" s="5"/>
      <c r="F871" s="5"/>
      <c r="G871" s="5"/>
      <c r="H871" s="5"/>
      <c r="I871" s="5"/>
      <c r="J871" s="5"/>
      <c r="K871" s="5"/>
      <c r="L871" s="5"/>
    </row>
    <row r="872" spans="1:12" ht="12.75" x14ac:dyDescent="0.2">
      <c r="A872" s="5"/>
      <c r="B872" s="5"/>
      <c r="C872" s="4"/>
      <c r="D872" s="5"/>
      <c r="E872" s="5"/>
      <c r="F872" s="5"/>
      <c r="G872" s="5"/>
      <c r="H872" s="5"/>
      <c r="I872" s="5"/>
      <c r="J872" s="5"/>
      <c r="K872" s="5"/>
      <c r="L872" s="5"/>
    </row>
    <row r="873" spans="1:12" ht="12.75" x14ac:dyDescent="0.2">
      <c r="A873" s="5"/>
      <c r="B873" s="5"/>
      <c r="C873" s="4"/>
      <c r="D873" s="5"/>
      <c r="E873" s="5"/>
      <c r="F873" s="5"/>
      <c r="G873" s="5"/>
      <c r="H873" s="5"/>
      <c r="I873" s="5"/>
      <c r="J873" s="5"/>
      <c r="K873" s="5"/>
      <c r="L873" s="5"/>
    </row>
    <row r="874" spans="1:12" ht="12.75" x14ac:dyDescent="0.2">
      <c r="A874" s="5"/>
      <c r="B874" s="5"/>
      <c r="C874" s="4"/>
      <c r="D874" s="5"/>
      <c r="E874" s="5"/>
      <c r="F874" s="5"/>
      <c r="G874" s="5"/>
      <c r="H874" s="5"/>
      <c r="I874" s="5"/>
      <c r="J874" s="5"/>
      <c r="K874" s="5"/>
      <c r="L874" s="5"/>
    </row>
    <row r="875" spans="1:12" ht="12.75" x14ac:dyDescent="0.2">
      <c r="A875" s="5"/>
      <c r="B875" s="5"/>
      <c r="C875" s="4"/>
      <c r="D875" s="5"/>
      <c r="E875" s="5"/>
      <c r="F875" s="5"/>
      <c r="G875" s="5"/>
      <c r="H875" s="5"/>
      <c r="I875" s="5"/>
      <c r="J875" s="5"/>
      <c r="K875" s="5"/>
      <c r="L875" s="5"/>
    </row>
    <row r="876" spans="1:12" ht="12.75" x14ac:dyDescent="0.2">
      <c r="A876" s="5"/>
      <c r="B876" s="5"/>
      <c r="C876" s="4"/>
      <c r="D876" s="5"/>
      <c r="E876" s="5"/>
      <c r="F876" s="5"/>
      <c r="G876" s="5"/>
      <c r="H876" s="5"/>
      <c r="I876" s="5"/>
      <c r="J876" s="5"/>
      <c r="K876" s="5"/>
      <c r="L876" s="5"/>
    </row>
    <row r="877" spans="1:12" ht="12.75" x14ac:dyDescent="0.2">
      <c r="A877" s="5"/>
      <c r="B877" s="5"/>
      <c r="C877" s="4"/>
      <c r="D877" s="5"/>
      <c r="E877" s="5"/>
      <c r="F877" s="5"/>
      <c r="G877" s="5"/>
      <c r="H877" s="5"/>
      <c r="I877" s="5"/>
      <c r="J877" s="5"/>
      <c r="K877" s="5"/>
      <c r="L877" s="5"/>
    </row>
    <row r="878" spans="1:12" ht="12.75" x14ac:dyDescent="0.2">
      <c r="A878" s="5"/>
      <c r="B878" s="5"/>
      <c r="C878" s="4"/>
      <c r="D878" s="5"/>
      <c r="E878" s="5"/>
      <c r="F878" s="5"/>
      <c r="G878" s="5"/>
      <c r="H878" s="5"/>
      <c r="I878" s="5"/>
      <c r="J878" s="5"/>
      <c r="K878" s="5"/>
      <c r="L878" s="5"/>
    </row>
    <row r="879" spans="1:12" ht="12.75" x14ac:dyDescent="0.2">
      <c r="A879" s="5"/>
      <c r="B879" s="5"/>
      <c r="C879" s="4"/>
      <c r="D879" s="5"/>
      <c r="E879" s="5"/>
      <c r="F879" s="5"/>
      <c r="G879" s="5"/>
      <c r="H879" s="5"/>
      <c r="I879" s="5"/>
      <c r="J879" s="5"/>
      <c r="K879" s="5"/>
      <c r="L879" s="5"/>
    </row>
    <row r="880" spans="1:12" ht="12.75" x14ac:dyDescent="0.2">
      <c r="A880" s="5"/>
      <c r="B880" s="5"/>
      <c r="C880" s="4"/>
      <c r="D880" s="5"/>
      <c r="E880" s="5"/>
      <c r="F880" s="5"/>
      <c r="G880" s="5"/>
      <c r="H880" s="5"/>
      <c r="I880" s="5"/>
      <c r="J880" s="5"/>
      <c r="K880" s="5"/>
      <c r="L880" s="5"/>
    </row>
    <row r="881" spans="1:12" ht="12.75" x14ac:dyDescent="0.2">
      <c r="A881" s="5"/>
      <c r="B881" s="5"/>
      <c r="C881" s="4"/>
      <c r="D881" s="5"/>
      <c r="E881" s="5"/>
      <c r="F881" s="5"/>
      <c r="G881" s="5"/>
      <c r="H881" s="5"/>
      <c r="I881" s="5"/>
      <c r="J881" s="5"/>
      <c r="K881" s="5"/>
      <c r="L881" s="5"/>
    </row>
    <row r="882" spans="1:12" ht="12.75" x14ac:dyDescent="0.2">
      <c r="A882" s="5"/>
      <c r="B882" s="5"/>
      <c r="C882" s="4"/>
      <c r="D882" s="5"/>
      <c r="E882" s="5"/>
      <c r="F882" s="5"/>
      <c r="G882" s="5"/>
      <c r="H882" s="5"/>
      <c r="I882" s="5"/>
      <c r="J882" s="5"/>
      <c r="K882" s="5"/>
      <c r="L882" s="5"/>
    </row>
    <row r="883" spans="1:12" ht="12.75" x14ac:dyDescent="0.2">
      <c r="A883" s="5"/>
      <c r="B883" s="5"/>
      <c r="C883" s="4"/>
      <c r="D883" s="5"/>
      <c r="E883" s="5"/>
      <c r="F883" s="5"/>
      <c r="G883" s="5"/>
      <c r="H883" s="5"/>
      <c r="I883" s="5"/>
      <c r="J883" s="5"/>
      <c r="K883" s="5"/>
      <c r="L883" s="5"/>
    </row>
    <row r="884" spans="1:12" ht="12.75" x14ac:dyDescent="0.2">
      <c r="A884" s="5"/>
      <c r="B884" s="5"/>
      <c r="C884" s="4"/>
      <c r="D884" s="5"/>
      <c r="E884" s="5"/>
      <c r="F884" s="5"/>
      <c r="G884" s="5"/>
      <c r="H884" s="5"/>
      <c r="I884" s="5"/>
      <c r="J884" s="5"/>
      <c r="K884" s="5"/>
      <c r="L884" s="5"/>
    </row>
    <row r="885" spans="1:12" ht="12.75" x14ac:dyDescent="0.2">
      <c r="A885" s="5"/>
      <c r="B885" s="5"/>
      <c r="C885" s="4"/>
      <c r="D885" s="5"/>
      <c r="E885" s="5"/>
      <c r="F885" s="5"/>
      <c r="G885" s="5"/>
      <c r="H885" s="5"/>
      <c r="I885" s="5"/>
      <c r="J885" s="5"/>
      <c r="K885" s="5"/>
      <c r="L885" s="5"/>
    </row>
    <row r="886" spans="1:12" ht="12.75" x14ac:dyDescent="0.2">
      <c r="A886" s="5"/>
      <c r="B886" s="5"/>
      <c r="C886" s="4"/>
      <c r="D886" s="5"/>
      <c r="E886" s="5"/>
      <c r="F886" s="5"/>
      <c r="G886" s="5"/>
      <c r="H886" s="5"/>
      <c r="I886" s="5"/>
      <c r="J886" s="5"/>
      <c r="K886" s="5"/>
      <c r="L886" s="5"/>
    </row>
    <row r="887" spans="1:12" ht="12.75" x14ac:dyDescent="0.2">
      <c r="A887" s="5"/>
      <c r="B887" s="5"/>
      <c r="C887" s="4"/>
      <c r="D887" s="5"/>
      <c r="E887" s="5"/>
      <c r="F887" s="5"/>
      <c r="G887" s="5"/>
      <c r="H887" s="5"/>
      <c r="I887" s="5"/>
      <c r="J887" s="5"/>
      <c r="K887" s="5"/>
      <c r="L887" s="5"/>
    </row>
    <row r="888" spans="1:12" ht="12.75" x14ac:dyDescent="0.2">
      <c r="A888" s="5"/>
      <c r="B888" s="5"/>
      <c r="C888" s="4"/>
      <c r="D888" s="5"/>
      <c r="E888" s="5"/>
      <c r="F888" s="5"/>
      <c r="G888" s="5"/>
      <c r="H888" s="5"/>
      <c r="I888" s="5"/>
      <c r="J888" s="5"/>
      <c r="K888" s="5"/>
      <c r="L888" s="5"/>
    </row>
    <row r="889" spans="1:12" ht="12.75" x14ac:dyDescent="0.2">
      <c r="A889" s="5"/>
      <c r="B889" s="5"/>
      <c r="C889" s="4"/>
      <c r="D889" s="5"/>
      <c r="E889" s="5"/>
      <c r="F889" s="5"/>
      <c r="G889" s="5"/>
      <c r="H889" s="5"/>
      <c r="I889" s="5"/>
      <c r="J889" s="5"/>
      <c r="K889" s="5"/>
      <c r="L889" s="5"/>
    </row>
    <row r="890" spans="1:12" ht="12.75" x14ac:dyDescent="0.2">
      <c r="A890" s="5"/>
      <c r="B890" s="5"/>
      <c r="C890" s="4"/>
      <c r="D890" s="5"/>
      <c r="E890" s="5"/>
      <c r="F890" s="5"/>
      <c r="G890" s="5"/>
      <c r="H890" s="5"/>
      <c r="I890" s="5"/>
      <c r="J890" s="5"/>
      <c r="K890" s="5"/>
      <c r="L890" s="5"/>
    </row>
    <row r="891" spans="1:12" ht="12.75" x14ac:dyDescent="0.2">
      <c r="A891" s="5"/>
      <c r="B891" s="5"/>
      <c r="C891" s="4"/>
      <c r="D891" s="5"/>
      <c r="E891" s="5"/>
      <c r="F891" s="5"/>
      <c r="G891" s="5"/>
      <c r="H891" s="5"/>
      <c r="I891" s="5"/>
      <c r="J891" s="5"/>
      <c r="K891" s="5"/>
      <c r="L891" s="5"/>
    </row>
    <row r="892" spans="1:12" ht="12.75" x14ac:dyDescent="0.2">
      <c r="A892" s="5"/>
      <c r="B892" s="5"/>
      <c r="C892" s="4"/>
      <c r="D892" s="5"/>
      <c r="E892" s="5"/>
      <c r="F892" s="5"/>
      <c r="G892" s="5"/>
      <c r="H892" s="5"/>
      <c r="I892" s="5"/>
      <c r="J892" s="5"/>
      <c r="K892" s="5"/>
      <c r="L892" s="5"/>
    </row>
    <row r="893" spans="1:12" ht="12.75" x14ac:dyDescent="0.2">
      <c r="A893" s="5"/>
      <c r="B893" s="5"/>
      <c r="C893" s="4"/>
      <c r="D893" s="5"/>
      <c r="E893" s="5"/>
      <c r="F893" s="5"/>
      <c r="G893" s="5"/>
      <c r="H893" s="5"/>
      <c r="I893" s="5"/>
      <c r="J893" s="5"/>
      <c r="K893" s="5"/>
      <c r="L893" s="5"/>
    </row>
    <row r="894" spans="1:12" ht="12.75" x14ac:dyDescent="0.2">
      <c r="A894" s="5"/>
      <c r="B894" s="5"/>
      <c r="C894" s="4"/>
      <c r="D894" s="5"/>
      <c r="E894" s="5"/>
      <c r="F894" s="5"/>
      <c r="G894" s="5"/>
      <c r="H894" s="5"/>
      <c r="I894" s="5"/>
      <c r="J894" s="5"/>
      <c r="K894" s="5"/>
      <c r="L894" s="5"/>
    </row>
    <row r="895" spans="1:12" ht="12.75" x14ac:dyDescent="0.2">
      <c r="A895" s="5"/>
      <c r="B895" s="5"/>
      <c r="C895" s="4"/>
      <c r="D895" s="5"/>
      <c r="E895" s="5"/>
      <c r="F895" s="5"/>
      <c r="G895" s="5"/>
      <c r="H895" s="5"/>
      <c r="I895" s="5"/>
      <c r="J895" s="5"/>
      <c r="K895" s="5"/>
      <c r="L895" s="5"/>
    </row>
    <row r="896" spans="1:12" ht="12.75" x14ac:dyDescent="0.2">
      <c r="A896" s="5"/>
      <c r="B896" s="5"/>
      <c r="C896" s="4"/>
      <c r="D896" s="5"/>
      <c r="E896" s="5"/>
      <c r="F896" s="5"/>
      <c r="G896" s="5"/>
      <c r="H896" s="5"/>
      <c r="I896" s="5"/>
      <c r="J896" s="5"/>
      <c r="K896" s="5"/>
      <c r="L896" s="5"/>
    </row>
    <row r="897" spans="1:12" ht="12.75" x14ac:dyDescent="0.2">
      <c r="A897" s="5"/>
      <c r="B897" s="5"/>
      <c r="C897" s="4"/>
      <c r="D897" s="5"/>
      <c r="E897" s="5"/>
      <c r="F897" s="5"/>
      <c r="G897" s="5"/>
      <c r="H897" s="5"/>
      <c r="I897" s="5"/>
      <c r="J897" s="5"/>
      <c r="K897" s="5"/>
      <c r="L897" s="5"/>
    </row>
    <row r="898" spans="1:12" ht="12.75" x14ac:dyDescent="0.2">
      <c r="A898" s="5"/>
      <c r="B898" s="5"/>
      <c r="C898" s="4"/>
      <c r="D898" s="5"/>
      <c r="E898" s="5"/>
      <c r="F898" s="5"/>
      <c r="G898" s="5"/>
      <c r="H898" s="5"/>
      <c r="I898" s="5"/>
      <c r="J898" s="5"/>
      <c r="K898" s="5"/>
      <c r="L898" s="5"/>
    </row>
    <row r="899" spans="1:12" ht="12.75" x14ac:dyDescent="0.2">
      <c r="A899" s="5"/>
      <c r="B899" s="5"/>
      <c r="C899" s="4"/>
      <c r="D899" s="5"/>
      <c r="E899" s="5"/>
      <c r="F899" s="5"/>
      <c r="G899" s="5"/>
      <c r="H899" s="5"/>
      <c r="I899" s="5"/>
      <c r="J899" s="5"/>
      <c r="K899" s="5"/>
      <c r="L899" s="5"/>
    </row>
    <row r="900" spans="1:12" ht="12.75" x14ac:dyDescent="0.2">
      <c r="A900" s="5"/>
      <c r="B900" s="5"/>
      <c r="C900" s="4"/>
      <c r="D900" s="5"/>
      <c r="E900" s="5"/>
      <c r="F900" s="5"/>
      <c r="G900" s="5"/>
      <c r="H900" s="5"/>
      <c r="I900" s="5"/>
      <c r="J900" s="5"/>
      <c r="K900" s="5"/>
      <c r="L900" s="5"/>
    </row>
    <row r="901" spans="1:12" ht="12.75" x14ac:dyDescent="0.2">
      <c r="A901" s="5"/>
      <c r="B901" s="5"/>
      <c r="C901" s="4"/>
      <c r="D901" s="5"/>
      <c r="E901" s="5"/>
      <c r="F901" s="5"/>
      <c r="G901" s="5"/>
      <c r="H901" s="5"/>
      <c r="I901" s="5"/>
      <c r="J901" s="5"/>
      <c r="K901" s="5"/>
      <c r="L901" s="5"/>
    </row>
    <row r="902" spans="1:12" ht="12.75" x14ac:dyDescent="0.2">
      <c r="A902" s="5"/>
      <c r="B902" s="5"/>
      <c r="C902" s="4"/>
      <c r="D902" s="5"/>
      <c r="E902" s="5"/>
      <c r="F902" s="5"/>
      <c r="G902" s="5"/>
      <c r="H902" s="5"/>
      <c r="I902" s="5"/>
      <c r="J902" s="5"/>
      <c r="K902" s="5"/>
      <c r="L902" s="5"/>
    </row>
    <row r="903" spans="1:12" ht="12.75" x14ac:dyDescent="0.2">
      <c r="A903" s="5"/>
      <c r="B903" s="5"/>
      <c r="C903" s="4"/>
      <c r="D903" s="5"/>
      <c r="E903" s="5"/>
      <c r="F903" s="5"/>
      <c r="G903" s="5"/>
      <c r="H903" s="5"/>
      <c r="I903" s="5"/>
      <c r="J903" s="5"/>
      <c r="K903" s="5"/>
      <c r="L903" s="5"/>
    </row>
    <row r="904" spans="1:12" ht="12.75" x14ac:dyDescent="0.2">
      <c r="A904" s="5"/>
      <c r="B904" s="5"/>
      <c r="C904" s="4"/>
      <c r="D904" s="5"/>
      <c r="E904" s="5"/>
      <c r="F904" s="5"/>
      <c r="G904" s="5"/>
      <c r="H904" s="5"/>
      <c r="I904" s="5"/>
      <c r="J904" s="5"/>
      <c r="K904" s="5"/>
      <c r="L904" s="5"/>
    </row>
    <row r="905" spans="1:12" ht="12.75" x14ac:dyDescent="0.2">
      <c r="A905" s="5"/>
      <c r="B905" s="5"/>
      <c r="C905" s="4"/>
      <c r="D905" s="5"/>
      <c r="E905" s="5"/>
      <c r="F905" s="5"/>
      <c r="G905" s="5"/>
      <c r="H905" s="5"/>
      <c r="I905" s="5"/>
      <c r="J905" s="5"/>
      <c r="K905" s="5"/>
      <c r="L905" s="5"/>
    </row>
    <row r="906" spans="1:12" ht="12.75" x14ac:dyDescent="0.2">
      <c r="A906" s="5"/>
      <c r="B906" s="5"/>
      <c r="C906" s="4"/>
      <c r="D906" s="5"/>
      <c r="E906" s="5"/>
      <c r="F906" s="5"/>
      <c r="G906" s="5"/>
      <c r="H906" s="5"/>
      <c r="I906" s="5"/>
      <c r="J906" s="5"/>
      <c r="K906" s="5"/>
      <c r="L906" s="5"/>
    </row>
    <row r="907" spans="1:12" ht="12.75" x14ac:dyDescent="0.2">
      <c r="A907" s="5"/>
      <c r="B907" s="5"/>
      <c r="C907" s="4"/>
      <c r="D907" s="5"/>
      <c r="E907" s="5"/>
      <c r="F907" s="5"/>
      <c r="G907" s="5"/>
      <c r="H907" s="5"/>
      <c r="I907" s="5"/>
      <c r="J907" s="5"/>
      <c r="K907" s="5"/>
      <c r="L907" s="5"/>
    </row>
    <row r="908" spans="1:12" ht="12.75" x14ac:dyDescent="0.2">
      <c r="A908" s="5"/>
      <c r="B908" s="5"/>
      <c r="C908" s="4"/>
      <c r="D908" s="5"/>
      <c r="E908" s="5"/>
      <c r="F908" s="5"/>
      <c r="G908" s="5"/>
      <c r="H908" s="5"/>
      <c r="I908" s="5"/>
      <c r="J908" s="5"/>
      <c r="K908" s="5"/>
      <c r="L908" s="5"/>
    </row>
    <row r="909" spans="1:12" ht="12.75" x14ac:dyDescent="0.2">
      <c r="A909" s="5"/>
      <c r="B909" s="5"/>
      <c r="C909" s="4"/>
      <c r="D909" s="5"/>
      <c r="E909" s="5"/>
      <c r="F909" s="5"/>
      <c r="G909" s="5"/>
      <c r="H909" s="5"/>
      <c r="I909" s="5"/>
      <c r="J909" s="5"/>
      <c r="K909" s="5"/>
      <c r="L909" s="5"/>
    </row>
    <row r="910" spans="1:12" ht="12.75" x14ac:dyDescent="0.2">
      <c r="A910" s="5"/>
      <c r="B910" s="5"/>
      <c r="C910" s="4"/>
      <c r="D910" s="5"/>
      <c r="E910" s="5"/>
      <c r="F910" s="5"/>
      <c r="G910" s="5"/>
      <c r="H910" s="5"/>
      <c r="I910" s="5"/>
      <c r="J910" s="5"/>
      <c r="K910" s="5"/>
      <c r="L910" s="5"/>
    </row>
    <row r="911" spans="1:12" ht="12.75" x14ac:dyDescent="0.2">
      <c r="A911" s="5"/>
      <c r="B911" s="5"/>
      <c r="C911" s="4"/>
      <c r="D911" s="5"/>
      <c r="E911" s="5"/>
      <c r="F911" s="5"/>
      <c r="G911" s="5"/>
      <c r="H911" s="5"/>
      <c r="I911" s="5"/>
      <c r="J911" s="5"/>
      <c r="K911" s="5"/>
      <c r="L911" s="5"/>
    </row>
    <row r="912" spans="1:12" ht="12.75" x14ac:dyDescent="0.2">
      <c r="A912" s="5"/>
      <c r="B912" s="5"/>
      <c r="C912" s="4"/>
      <c r="D912" s="5"/>
      <c r="E912" s="5"/>
      <c r="F912" s="5"/>
      <c r="G912" s="5"/>
      <c r="H912" s="5"/>
      <c r="I912" s="5"/>
      <c r="J912" s="5"/>
      <c r="K912" s="5"/>
      <c r="L912" s="5"/>
    </row>
    <row r="913" spans="1:12" ht="12.75" x14ac:dyDescent="0.2">
      <c r="A913" s="5"/>
      <c r="B913" s="5"/>
      <c r="C913" s="4"/>
      <c r="D913" s="5"/>
      <c r="E913" s="5"/>
      <c r="F913" s="5"/>
      <c r="G913" s="5"/>
      <c r="H913" s="5"/>
      <c r="I913" s="5"/>
      <c r="J913" s="5"/>
      <c r="K913" s="5"/>
      <c r="L913" s="5"/>
    </row>
    <row r="914" spans="1:12" ht="12.75" x14ac:dyDescent="0.2">
      <c r="A914" s="5"/>
      <c r="B914" s="5"/>
      <c r="C914" s="4"/>
      <c r="D914" s="5"/>
      <c r="E914" s="5"/>
      <c r="F914" s="5"/>
      <c r="G914" s="5"/>
      <c r="H914" s="5"/>
      <c r="I914" s="5"/>
      <c r="J914" s="5"/>
      <c r="K914" s="5"/>
      <c r="L914" s="5"/>
    </row>
    <row r="915" spans="1:12" ht="12.75" x14ac:dyDescent="0.2">
      <c r="A915" s="5"/>
      <c r="B915" s="5"/>
      <c r="C915" s="4"/>
      <c r="D915" s="5"/>
      <c r="E915" s="5"/>
      <c r="F915" s="5"/>
      <c r="G915" s="5"/>
      <c r="H915" s="5"/>
      <c r="I915" s="5"/>
      <c r="J915" s="5"/>
      <c r="K915" s="5"/>
      <c r="L915" s="5"/>
    </row>
    <row r="916" spans="1:12" ht="12.75" x14ac:dyDescent="0.2">
      <c r="A916" s="5"/>
      <c r="B916" s="5"/>
      <c r="C916" s="4"/>
      <c r="D916" s="5"/>
      <c r="E916" s="5"/>
      <c r="F916" s="5"/>
      <c r="G916" s="5"/>
      <c r="H916" s="5"/>
      <c r="I916" s="5"/>
      <c r="J916" s="5"/>
      <c r="K916" s="5"/>
      <c r="L916" s="5"/>
    </row>
    <row r="917" spans="1:12" ht="12.75" x14ac:dyDescent="0.2">
      <c r="A917" s="5"/>
      <c r="B917" s="5"/>
      <c r="C917" s="4"/>
      <c r="D917" s="5"/>
      <c r="E917" s="5"/>
      <c r="F917" s="5"/>
      <c r="G917" s="5"/>
      <c r="H917" s="5"/>
      <c r="I917" s="5"/>
      <c r="J917" s="5"/>
      <c r="K917" s="5"/>
      <c r="L917" s="5"/>
    </row>
    <row r="918" spans="1:12" ht="12.75" x14ac:dyDescent="0.2">
      <c r="A918" s="5"/>
      <c r="B918" s="5"/>
      <c r="C918" s="4"/>
      <c r="D918" s="5"/>
      <c r="E918" s="5"/>
      <c r="F918" s="5"/>
      <c r="G918" s="5"/>
      <c r="H918" s="5"/>
      <c r="I918" s="5"/>
      <c r="J918" s="5"/>
      <c r="K918" s="5"/>
      <c r="L918" s="5"/>
    </row>
    <row r="919" spans="1:12" ht="12.75" x14ac:dyDescent="0.2">
      <c r="A919" s="5"/>
      <c r="B919" s="5"/>
      <c r="C919" s="4"/>
      <c r="D919" s="5"/>
      <c r="E919" s="5"/>
      <c r="F919" s="5"/>
      <c r="G919" s="5"/>
      <c r="H919" s="5"/>
      <c r="I919" s="5"/>
      <c r="J919" s="5"/>
      <c r="K919" s="5"/>
      <c r="L919" s="5"/>
    </row>
    <row r="920" spans="1:12" ht="12.75" x14ac:dyDescent="0.2">
      <c r="A920" s="5"/>
      <c r="B920" s="5"/>
      <c r="C920" s="4"/>
      <c r="D920" s="5"/>
      <c r="E920" s="5"/>
      <c r="F920" s="5"/>
      <c r="G920" s="5"/>
      <c r="H920" s="5"/>
      <c r="I920" s="5"/>
      <c r="J920" s="5"/>
      <c r="K920" s="5"/>
      <c r="L920" s="5"/>
    </row>
    <row r="921" spans="1:12" ht="12.75" x14ac:dyDescent="0.2">
      <c r="A921" s="5"/>
      <c r="B921" s="5"/>
      <c r="C921" s="4"/>
      <c r="D921" s="5"/>
      <c r="E921" s="5"/>
      <c r="F921" s="5"/>
      <c r="G921" s="5"/>
      <c r="H921" s="5"/>
      <c r="I921" s="5"/>
      <c r="J921" s="5"/>
      <c r="K921" s="5"/>
      <c r="L921" s="5"/>
    </row>
    <row r="922" spans="1:12" ht="12.75" x14ac:dyDescent="0.2">
      <c r="A922" s="5"/>
      <c r="B922" s="5"/>
      <c r="C922" s="4"/>
      <c r="D922" s="5"/>
      <c r="E922" s="5"/>
      <c r="F922" s="5"/>
      <c r="G922" s="5"/>
      <c r="H922" s="5"/>
      <c r="I922" s="5"/>
      <c r="J922" s="5"/>
      <c r="K922" s="5"/>
      <c r="L922" s="5"/>
    </row>
    <row r="923" spans="1:12" ht="12.75" x14ac:dyDescent="0.2">
      <c r="A923" s="5"/>
      <c r="B923" s="5"/>
      <c r="C923" s="4"/>
      <c r="D923" s="5"/>
      <c r="E923" s="5"/>
      <c r="F923" s="5"/>
      <c r="G923" s="5"/>
      <c r="H923" s="5"/>
      <c r="I923" s="5"/>
      <c r="J923" s="5"/>
      <c r="K923" s="5"/>
      <c r="L923" s="5"/>
    </row>
    <row r="924" spans="1:12" ht="12.75" x14ac:dyDescent="0.2">
      <c r="A924" s="5"/>
      <c r="B924" s="5"/>
      <c r="C924" s="4"/>
      <c r="D924" s="5"/>
      <c r="E924" s="5"/>
      <c r="F924" s="5"/>
      <c r="G924" s="5"/>
      <c r="H924" s="5"/>
      <c r="I924" s="5"/>
      <c r="J924" s="5"/>
      <c r="K924" s="5"/>
      <c r="L924" s="5"/>
    </row>
    <row r="925" spans="1:12" ht="12.75" x14ac:dyDescent="0.2">
      <c r="A925" s="5"/>
      <c r="B925" s="5"/>
      <c r="C925" s="4"/>
      <c r="D925" s="5"/>
      <c r="E925" s="5"/>
      <c r="F925" s="5"/>
      <c r="G925" s="5"/>
      <c r="H925" s="5"/>
      <c r="I925" s="5"/>
      <c r="J925" s="5"/>
      <c r="K925" s="5"/>
      <c r="L925" s="5"/>
    </row>
    <row r="926" spans="1:12" ht="12.75" x14ac:dyDescent="0.2">
      <c r="A926" s="5"/>
      <c r="B926" s="5"/>
      <c r="C926" s="4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2.75" x14ac:dyDescent="0.2">
      <c r="A927" s="5"/>
      <c r="B927" s="5"/>
      <c r="C927" s="4"/>
      <c r="D927" s="5"/>
      <c r="E927" s="5"/>
      <c r="F927" s="5"/>
      <c r="G927" s="5"/>
      <c r="H927" s="5"/>
      <c r="I927" s="5"/>
      <c r="J927" s="5"/>
      <c r="K927" s="5"/>
      <c r="L927" s="5"/>
    </row>
    <row r="928" spans="1:12" ht="12.75" x14ac:dyDescent="0.2">
      <c r="A928" s="5"/>
      <c r="B928" s="5"/>
      <c r="C928" s="4"/>
      <c r="D928" s="5"/>
      <c r="E928" s="5"/>
      <c r="F928" s="5"/>
      <c r="G928" s="5"/>
      <c r="H928" s="5"/>
      <c r="I928" s="5"/>
      <c r="J928" s="5"/>
      <c r="K928" s="5"/>
      <c r="L928" s="5"/>
    </row>
    <row r="929" spans="1:12" ht="12.75" x14ac:dyDescent="0.2">
      <c r="A929" s="5"/>
      <c r="B929" s="5"/>
      <c r="C929" s="4"/>
      <c r="D929" s="5"/>
      <c r="E929" s="5"/>
      <c r="F929" s="5"/>
      <c r="G929" s="5"/>
      <c r="H929" s="5"/>
      <c r="I929" s="5"/>
      <c r="J929" s="5"/>
      <c r="K929" s="5"/>
      <c r="L929" s="5"/>
    </row>
    <row r="930" spans="1:12" ht="12.75" x14ac:dyDescent="0.2">
      <c r="A930" s="5"/>
      <c r="B930" s="5"/>
      <c r="C930" s="4"/>
      <c r="D930" s="5"/>
      <c r="E930" s="5"/>
      <c r="F930" s="5"/>
      <c r="G930" s="5"/>
      <c r="H930" s="5"/>
      <c r="I930" s="5"/>
      <c r="J930" s="5"/>
      <c r="K930" s="5"/>
      <c r="L930" s="5"/>
    </row>
    <row r="931" spans="1:12" ht="12.75" x14ac:dyDescent="0.2">
      <c r="A931" s="5"/>
      <c r="B931" s="5"/>
      <c r="C931" s="4"/>
      <c r="D931" s="5"/>
      <c r="E931" s="5"/>
      <c r="F931" s="5"/>
      <c r="G931" s="5"/>
      <c r="H931" s="5"/>
      <c r="I931" s="5"/>
      <c r="J931" s="5"/>
      <c r="K931" s="5"/>
      <c r="L931" s="5"/>
    </row>
    <row r="932" spans="1:12" ht="12.75" x14ac:dyDescent="0.2">
      <c r="A932" s="5"/>
      <c r="B932" s="5"/>
      <c r="C932" s="4"/>
      <c r="D932" s="5"/>
      <c r="E932" s="5"/>
      <c r="F932" s="5"/>
      <c r="G932" s="5"/>
      <c r="H932" s="5"/>
      <c r="I932" s="5"/>
      <c r="J932" s="5"/>
      <c r="K932" s="5"/>
      <c r="L932" s="5"/>
    </row>
    <row r="933" spans="1:12" ht="12.75" x14ac:dyDescent="0.2">
      <c r="A933" s="5"/>
      <c r="B933" s="5"/>
      <c r="C933" s="4"/>
      <c r="D933" s="5"/>
      <c r="E933" s="5"/>
      <c r="F933" s="5"/>
      <c r="G933" s="5"/>
      <c r="H933" s="5"/>
      <c r="I933" s="5"/>
      <c r="J933" s="5"/>
      <c r="K933" s="5"/>
      <c r="L933" s="5"/>
    </row>
    <row r="934" spans="1:12" ht="12.75" x14ac:dyDescent="0.2">
      <c r="A934" s="5"/>
      <c r="B934" s="5"/>
      <c r="C934" s="4"/>
      <c r="D934" s="5"/>
      <c r="E934" s="5"/>
      <c r="F934" s="5"/>
      <c r="G934" s="5"/>
      <c r="H934" s="5"/>
      <c r="I934" s="5"/>
      <c r="J934" s="5"/>
      <c r="K934" s="5"/>
      <c r="L934" s="5"/>
    </row>
    <row r="935" spans="1:12" ht="12.75" x14ac:dyDescent="0.2">
      <c r="A935" s="5"/>
      <c r="B935" s="5"/>
      <c r="C935" s="4"/>
      <c r="D935" s="5"/>
      <c r="E935" s="5"/>
      <c r="F935" s="5"/>
      <c r="G935" s="5"/>
      <c r="H935" s="5"/>
      <c r="I935" s="5"/>
      <c r="J935" s="5"/>
      <c r="K935" s="5"/>
      <c r="L935" s="5"/>
    </row>
    <row r="936" spans="1:12" ht="12.75" x14ac:dyDescent="0.2">
      <c r="A936" s="5"/>
      <c r="B936" s="5"/>
      <c r="C936" s="4"/>
      <c r="D936" s="5"/>
      <c r="E936" s="5"/>
      <c r="F936" s="5"/>
      <c r="G936" s="5"/>
      <c r="H936" s="5"/>
      <c r="I936" s="5"/>
      <c r="J936" s="5"/>
      <c r="K936" s="5"/>
      <c r="L936" s="5"/>
    </row>
    <row r="937" spans="1:12" ht="12.75" x14ac:dyDescent="0.2">
      <c r="A937" s="5"/>
      <c r="B937" s="5"/>
      <c r="C937" s="4"/>
      <c r="D937" s="5"/>
      <c r="E937" s="5"/>
      <c r="F937" s="5"/>
      <c r="G937" s="5"/>
      <c r="H937" s="5"/>
      <c r="I937" s="5"/>
      <c r="J937" s="5"/>
      <c r="K937" s="5"/>
      <c r="L937" s="5"/>
    </row>
    <row r="938" spans="1:12" ht="12.75" x14ac:dyDescent="0.2">
      <c r="A938" s="5"/>
      <c r="B938" s="5"/>
      <c r="C938" s="4"/>
      <c r="D938" s="5"/>
      <c r="E938" s="5"/>
      <c r="F938" s="5"/>
      <c r="G938" s="5"/>
      <c r="H938" s="5"/>
      <c r="I938" s="5"/>
      <c r="J938" s="5"/>
      <c r="K938" s="5"/>
      <c r="L938" s="5"/>
    </row>
    <row r="939" spans="1:12" ht="12.75" x14ac:dyDescent="0.2">
      <c r="A939" s="5"/>
      <c r="B939" s="5"/>
      <c r="C939" s="4"/>
      <c r="D939" s="5"/>
      <c r="E939" s="5"/>
      <c r="F939" s="5"/>
      <c r="G939" s="5"/>
      <c r="H939" s="5"/>
      <c r="I939" s="5"/>
      <c r="J939" s="5"/>
      <c r="K939" s="5"/>
      <c r="L939" s="5"/>
    </row>
    <row r="940" spans="1:12" ht="12.75" x14ac:dyDescent="0.2">
      <c r="A940" s="5"/>
      <c r="B940" s="5"/>
      <c r="C940" s="4"/>
      <c r="D940" s="5"/>
      <c r="E940" s="5"/>
      <c r="F940" s="5"/>
      <c r="G940" s="5"/>
      <c r="H940" s="5"/>
      <c r="I940" s="5"/>
      <c r="J940" s="5"/>
      <c r="K940" s="5"/>
      <c r="L940" s="5"/>
    </row>
    <row r="941" spans="1:12" ht="12.75" x14ac:dyDescent="0.2">
      <c r="A941" s="5"/>
      <c r="B941" s="5"/>
      <c r="C941" s="4"/>
      <c r="D941" s="5"/>
      <c r="E941" s="5"/>
      <c r="F941" s="5"/>
      <c r="G941" s="5"/>
      <c r="H941" s="5"/>
      <c r="I941" s="5"/>
      <c r="J941" s="5"/>
      <c r="K941" s="5"/>
      <c r="L941" s="5"/>
    </row>
    <row r="942" spans="1:12" ht="12.75" x14ac:dyDescent="0.2">
      <c r="A942" s="5"/>
      <c r="B942" s="5"/>
      <c r="C942" s="4"/>
      <c r="D942" s="5"/>
      <c r="E942" s="5"/>
      <c r="F942" s="5"/>
      <c r="G942" s="5"/>
      <c r="H942" s="5"/>
      <c r="I942" s="5"/>
      <c r="J942" s="5"/>
      <c r="K942" s="5"/>
      <c r="L942" s="5"/>
    </row>
    <row r="943" spans="1:12" ht="12.75" x14ac:dyDescent="0.2">
      <c r="A943" s="5"/>
      <c r="B943" s="5"/>
      <c r="C943" s="4"/>
      <c r="D943" s="5"/>
      <c r="E943" s="5"/>
      <c r="F943" s="5"/>
      <c r="G943" s="5"/>
      <c r="H943" s="5"/>
      <c r="I943" s="5"/>
      <c r="J943" s="5"/>
      <c r="K943" s="5"/>
      <c r="L943" s="5"/>
    </row>
    <row r="944" spans="1:12" ht="12.75" x14ac:dyDescent="0.2">
      <c r="A944" s="5"/>
      <c r="B944" s="5"/>
      <c r="C944" s="4"/>
      <c r="D944" s="5"/>
      <c r="E944" s="5"/>
      <c r="F944" s="5"/>
      <c r="G944" s="5"/>
      <c r="H944" s="5"/>
      <c r="I944" s="5"/>
      <c r="J944" s="5"/>
      <c r="K944" s="5"/>
      <c r="L944" s="5"/>
    </row>
    <row r="945" spans="1:12" ht="12.75" x14ac:dyDescent="0.2">
      <c r="A945" s="5"/>
      <c r="B945" s="5"/>
      <c r="C945" s="4"/>
      <c r="D945" s="5"/>
      <c r="E945" s="5"/>
      <c r="F945" s="5"/>
      <c r="G945" s="5"/>
      <c r="H945" s="5"/>
      <c r="I945" s="5"/>
      <c r="J945" s="5"/>
      <c r="K945" s="5"/>
      <c r="L945" s="5"/>
    </row>
    <row r="946" spans="1:12" ht="12.75" x14ac:dyDescent="0.2">
      <c r="A946" s="5"/>
      <c r="B946" s="5"/>
      <c r="C946" s="4"/>
      <c r="D946" s="5"/>
      <c r="E946" s="5"/>
      <c r="F946" s="5"/>
      <c r="G946" s="5"/>
      <c r="H946" s="5"/>
      <c r="I946" s="5"/>
      <c r="J946" s="5"/>
      <c r="K946" s="5"/>
      <c r="L946" s="5"/>
    </row>
    <row r="947" spans="1:12" ht="12.75" x14ac:dyDescent="0.2">
      <c r="A947" s="5"/>
      <c r="B947" s="5"/>
      <c r="C947" s="4"/>
      <c r="D947" s="5"/>
      <c r="E947" s="5"/>
      <c r="F947" s="5"/>
      <c r="G947" s="5"/>
      <c r="H947" s="5"/>
      <c r="I947" s="5"/>
      <c r="J947" s="5"/>
      <c r="K947" s="5"/>
      <c r="L947" s="5"/>
    </row>
    <row r="948" spans="1:12" ht="12.75" x14ac:dyDescent="0.2">
      <c r="A948" s="5"/>
      <c r="B948" s="5"/>
      <c r="C948" s="4"/>
      <c r="D948" s="5"/>
      <c r="E948" s="5"/>
      <c r="F948" s="5"/>
      <c r="G948" s="5"/>
      <c r="H948" s="5"/>
      <c r="I948" s="5"/>
      <c r="J948" s="5"/>
      <c r="K948" s="5"/>
      <c r="L948" s="5"/>
    </row>
    <row r="949" spans="1:12" ht="12.75" x14ac:dyDescent="0.2">
      <c r="A949" s="5"/>
      <c r="B949" s="5"/>
      <c r="C949" s="4"/>
      <c r="D949" s="5"/>
      <c r="E949" s="5"/>
      <c r="F949" s="5"/>
      <c r="G949" s="5"/>
      <c r="H949" s="5"/>
      <c r="I949" s="5"/>
      <c r="J949" s="5"/>
      <c r="K949" s="5"/>
      <c r="L949" s="5"/>
    </row>
    <row r="950" spans="1:12" ht="12.75" x14ac:dyDescent="0.2">
      <c r="A950" s="5"/>
      <c r="B950" s="5"/>
      <c r="C950" s="4"/>
      <c r="D950" s="5"/>
      <c r="E950" s="5"/>
      <c r="F950" s="5"/>
      <c r="G950" s="5"/>
      <c r="H950" s="5"/>
      <c r="I950" s="5"/>
      <c r="J950" s="5"/>
      <c r="K950" s="5"/>
      <c r="L950" s="5"/>
    </row>
    <row r="951" spans="1:12" ht="12.75" x14ac:dyDescent="0.2">
      <c r="A951" s="5"/>
      <c r="B951" s="5"/>
      <c r="C951" s="4"/>
      <c r="D951" s="5"/>
      <c r="E951" s="5"/>
      <c r="F951" s="5"/>
      <c r="G951" s="5"/>
      <c r="H951" s="5"/>
      <c r="I951" s="5"/>
      <c r="J951" s="5"/>
      <c r="K951" s="5"/>
      <c r="L951" s="5"/>
    </row>
    <row r="952" spans="1:12" ht="12.75" x14ac:dyDescent="0.2">
      <c r="A952" s="5"/>
      <c r="B952" s="5"/>
      <c r="C952" s="4"/>
      <c r="D952" s="5"/>
      <c r="E952" s="5"/>
      <c r="F952" s="5"/>
      <c r="G952" s="5"/>
      <c r="H952" s="5"/>
      <c r="I952" s="5"/>
      <c r="J952" s="5"/>
      <c r="K952" s="5"/>
      <c r="L952" s="5"/>
    </row>
    <row r="953" spans="1:12" ht="12.75" x14ac:dyDescent="0.2">
      <c r="A953" s="5"/>
      <c r="B953" s="5"/>
      <c r="C953" s="4"/>
      <c r="D953" s="5"/>
      <c r="E953" s="5"/>
      <c r="F953" s="5"/>
      <c r="G953" s="5"/>
      <c r="H953" s="5"/>
      <c r="I953" s="5"/>
      <c r="J953" s="5"/>
      <c r="K953" s="5"/>
      <c r="L953" s="5"/>
    </row>
    <row r="954" spans="1:12" ht="12.75" x14ac:dyDescent="0.2">
      <c r="A954" s="5"/>
      <c r="B954" s="5"/>
      <c r="C954" s="4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2.75" x14ac:dyDescent="0.2">
      <c r="A955" s="5"/>
      <c r="B955" s="5"/>
      <c r="C955" s="4"/>
      <c r="D955" s="5"/>
      <c r="E955" s="5"/>
      <c r="F955" s="5"/>
      <c r="G955" s="5"/>
      <c r="H955" s="5"/>
      <c r="I955" s="5"/>
      <c r="J955" s="5"/>
      <c r="K955" s="5"/>
      <c r="L955" s="5"/>
    </row>
    <row r="956" spans="1:12" ht="12.75" x14ac:dyDescent="0.2">
      <c r="A956" s="5"/>
      <c r="B956" s="5"/>
      <c r="C956" s="4"/>
      <c r="D956" s="5"/>
      <c r="E956" s="5"/>
      <c r="F956" s="5"/>
      <c r="G956" s="5"/>
      <c r="H956" s="5"/>
      <c r="I956" s="5"/>
      <c r="J956" s="5"/>
      <c r="K956" s="5"/>
      <c r="L956" s="5"/>
    </row>
    <row r="957" spans="1:12" ht="12.75" x14ac:dyDescent="0.2">
      <c r="A957" s="5"/>
      <c r="B957" s="5"/>
      <c r="C957" s="4"/>
      <c r="D957" s="5"/>
      <c r="E957" s="5"/>
      <c r="F957" s="5"/>
      <c r="G957" s="5"/>
      <c r="H957" s="5"/>
      <c r="I957" s="5"/>
      <c r="J957" s="5"/>
      <c r="K957" s="5"/>
      <c r="L957" s="5"/>
    </row>
    <row r="958" spans="1:12" ht="12.75" x14ac:dyDescent="0.2">
      <c r="A958" s="5"/>
      <c r="B958" s="5"/>
      <c r="C958" s="4"/>
      <c r="D958" s="5"/>
      <c r="E958" s="5"/>
      <c r="F958" s="5"/>
      <c r="G958" s="5"/>
      <c r="H958" s="5"/>
      <c r="I958" s="5"/>
      <c r="J958" s="5"/>
      <c r="K958" s="5"/>
      <c r="L958" s="5"/>
    </row>
    <row r="959" spans="1:12" ht="12.75" x14ac:dyDescent="0.2">
      <c r="A959" s="5"/>
      <c r="B959" s="5"/>
      <c r="C959" s="4"/>
      <c r="D959" s="5"/>
      <c r="E959" s="5"/>
      <c r="F959" s="5"/>
      <c r="G959" s="5"/>
      <c r="H959" s="5"/>
      <c r="I959" s="5"/>
      <c r="J959" s="5"/>
      <c r="K959" s="5"/>
      <c r="L959" s="5"/>
    </row>
    <row r="960" spans="1:12" ht="12.75" x14ac:dyDescent="0.2">
      <c r="A960" s="5"/>
      <c r="B960" s="5"/>
      <c r="C960" s="4"/>
      <c r="D960" s="5"/>
      <c r="E960" s="5"/>
      <c r="F960" s="5"/>
      <c r="G960" s="5"/>
      <c r="H960" s="5"/>
      <c r="I960" s="5"/>
      <c r="J960" s="5"/>
      <c r="K960" s="5"/>
      <c r="L960" s="5"/>
    </row>
    <row r="961" spans="1:12" ht="12.75" x14ac:dyDescent="0.2">
      <c r="A961" s="5"/>
      <c r="B961" s="5"/>
      <c r="C961" s="4"/>
      <c r="D961" s="5"/>
      <c r="E961" s="5"/>
      <c r="F961" s="5"/>
      <c r="G961" s="5"/>
      <c r="H961" s="5"/>
      <c r="I961" s="5"/>
      <c r="J961" s="5"/>
      <c r="K961" s="5"/>
      <c r="L961" s="5"/>
    </row>
    <row r="962" spans="1:12" ht="12.75" x14ac:dyDescent="0.2">
      <c r="A962" s="5"/>
      <c r="B962" s="5"/>
      <c r="C962" s="4"/>
      <c r="D962" s="5"/>
      <c r="E962" s="5"/>
      <c r="F962" s="5"/>
      <c r="G962" s="5"/>
      <c r="H962" s="5"/>
      <c r="I962" s="5"/>
      <c r="J962" s="5"/>
      <c r="K962" s="5"/>
      <c r="L962" s="5"/>
    </row>
    <row r="963" spans="1:12" ht="12.75" x14ac:dyDescent="0.2">
      <c r="A963" s="5"/>
      <c r="B963" s="5"/>
      <c r="C963" s="4"/>
      <c r="D963" s="5"/>
      <c r="E963" s="5"/>
      <c r="F963" s="5"/>
      <c r="G963" s="5"/>
      <c r="H963" s="5"/>
      <c r="I963" s="5"/>
      <c r="J963" s="5"/>
      <c r="K963" s="5"/>
      <c r="L963" s="5"/>
    </row>
    <row r="964" spans="1:12" ht="12.75" x14ac:dyDescent="0.2">
      <c r="A964" s="5"/>
      <c r="B964" s="5"/>
      <c r="C964" s="4"/>
      <c r="D964" s="5"/>
      <c r="E964" s="5"/>
      <c r="F964" s="5"/>
      <c r="G964" s="5"/>
      <c r="H964" s="5"/>
      <c r="I964" s="5"/>
      <c r="J964" s="5"/>
      <c r="K964" s="5"/>
      <c r="L964" s="5"/>
    </row>
    <row r="965" spans="1:12" ht="12.75" x14ac:dyDescent="0.2">
      <c r="A965" s="5"/>
      <c r="B965" s="5"/>
      <c r="C965" s="4"/>
      <c r="D965" s="5"/>
      <c r="E965" s="5"/>
      <c r="F965" s="5"/>
      <c r="G965" s="5"/>
      <c r="H965" s="5"/>
      <c r="I965" s="5"/>
      <c r="J965" s="5"/>
      <c r="K965" s="5"/>
      <c r="L965" s="5"/>
    </row>
    <row r="966" spans="1:12" ht="12.75" x14ac:dyDescent="0.2">
      <c r="A966" s="5"/>
      <c r="B966" s="5"/>
      <c r="C966" s="4"/>
      <c r="D966" s="5"/>
      <c r="E966" s="5"/>
      <c r="F966" s="5"/>
      <c r="G966" s="5"/>
      <c r="H966" s="5"/>
      <c r="I966" s="5"/>
      <c r="J966" s="5"/>
      <c r="K966" s="5"/>
      <c r="L966" s="5"/>
    </row>
    <row r="967" spans="1:12" ht="12.75" x14ac:dyDescent="0.2">
      <c r="A967" s="5"/>
      <c r="B967" s="5"/>
      <c r="C967" s="4"/>
      <c r="D967" s="5"/>
      <c r="E967" s="5"/>
      <c r="F967" s="5"/>
      <c r="G967" s="5"/>
      <c r="H967" s="5"/>
      <c r="I967" s="5"/>
      <c r="J967" s="5"/>
      <c r="K967" s="5"/>
      <c r="L967" s="5"/>
    </row>
    <row r="968" spans="1:12" ht="12.75" x14ac:dyDescent="0.2">
      <c r="A968" s="5"/>
      <c r="B968" s="5"/>
      <c r="C968" s="4"/>
      <c r="D968" s="5"/>
      <c r="E968" s="5"/>
      <c r="F968" s="5"/>
      <c r="G968" s="5"/>
      <c r="H968" s="5"/>
      <c r="I968" s="5"/>
      <c r="J968" s="5"/>
      <c r="K968" s="5"/>
      <c r="L968" s="5"/>
    </row>
    <row r="969" spans="1:12" ht="12.75" x14ac:dyDescent="0.2">
      <c r="A969" s="5"/>
      <c r="B969" s="5"/>
      <c r="C969" s="4"/>
      <c r="D969" s="5"/>
      <c r="E969" s="5"/>
      <c r="F969" s="5"/>
      <c r="G969" s="5"/>
      <c r="H969" s="5"/>
      <c r="I969" s="5"/>
      <c r="J969" s="5"/>
      <c r="K969" s="5"/>
      <c r="L969" s="5"/>
    </row>
    <row r="970" spans="1:12" ht="12.75" x14ac:dyDescent="0.2">
      <c r="A970" s="5"/>
      <c r="B970" s="5"/>
      <c r="C970" s="4"/>
      <c r="D970" s="5"/>
      <c r="E970" s="5"/>
      <c r="F970" s="5"/>
      <c r="G970" s="5"/>
      <c r="H970" s="5"/>
      <c r="I970" s="5"/>
      <c r="J970" s="5"/>
      <c r="K970" s="5"/>
      <c r="L970" s="5"/>
    </row>
    <row r="971" spans="1:12" ht="12.75" x14ac:dyDescent="0.2">
      <c r="A971" s="5"/>
      <c r="B971" s="5"/>
      <c r="C971" s="4"/>
      <c r="D971" s="5"/>
      <c r="E971" s="5"/>
      <c r="F971" s="5"/>
      <c r="G971" s="5"/>
      <c r="H971" s="5"/>
      <c r="I971" s="5"/>
      <c r="J971" s="5"/>
      <c r="K971" s="5"/>
      <c r="L971" s="5"/>
    </row>
    <row r="972" spans="1:12" ht="12.75" x14ac:dyDescent="0.2">
      <c r="A972" s="5"/>
      <c r="B972" s="5"/>
      <c r="C972" s="4"/>
      <c r="D972" s="5"/>
      <c r="E972" s="5"/>
      <c r="F972" s="5"/>
      <c r="G972" s="5"/>
      <c r="H972" s="5"/>
      <c r="I972" s="5"/>
      <c r="J972" s="5"/>
      <c r="K972" s="5"/>
      <c r="L972" s="5"/>
    </row>
    <row r="973" spans="1:12" ht="12.75" x14ac:dyDescent="0.2">
      <c r="A973" s="5"/>
      <c r="B973" s="5"/>
      <c r="C973" s="4"/>
      <c r="D973" s="5"/>
      <c r="E973" s="5"/>
      <c r="F973" s="5"/>
      <c r="G973" s="5"/>
      <c r="H973" s="5"/>
      <c r="I973" s="5"/>
      <c r="J973" s="5"/>
      <c r="K973" s="5"/>
      <c r="L973" s="5"/>
    </row>
    <row r="974" spans="1:12" ht="12.75" x14ac:dyDescent="0.2">
      <c r="A974" s="5"/>
      <c r="B974" s="5"/>
      <c r="C974" s="4"/>
      <c r="D974" s="5"/>
      <c r="E974" s="5"/>
      <c r="F974" s="5"/>
      <c r="G974" s="5"/>
      <c r="H974" s="5"/>
      <c r="I974" s="5"/>
      <c r="J974" s="5"/>
      <c r="K974" s="5"/>
      <c r="L974" s="5"/>
    </row>
    <row r="975" spans="1:12" ht="12.75" x14ac:dyDescent="0.2">
      <c r="A975" s="5"/>
      <c r="B975" s="5"/>
      <c r="C975" s="4"/>
      <c r="D975" s="5"/>
      <c r="E975" s="5"/>
      <c r="F975" s="5"/>
      <c r="G975" s="5"/>
      <c r="H975" s="5"/>
      <c r="I975" s="5"/>
      <c r="J975" s="5"/>
      <c r="K975" s="5"/>
      <c r="L975" s="5"/>
    </row>
    <row r="976" spans="1:12" ht="12.75" x14ac:dyDescent="0.2">
      <c r="A976" s="5"/>
      <c r="B976" s="5"/>
      <c r="C976" s="4"/>
      <c r="D976" s="5"/>
      <c r="E976" s="5"/>
      <c r="F976" s="5"/>
      <c r="G976" s="5"/>
      <c r="H976" s="5"/>
      <c r="I976" s="5"/>
      <c r="J976" s="5"/>
      <c r="K976" s="5"/>
      <c r="L976" s="5"/>
    </row>
    <row r="977" spans="1:12" ht="12.75" x14ac:dyDescent="0.2">
      <c r="A977" s="5"/>
      <c r="B977" s="5"/>
      <c r="C977" s="4"/>
      <c r="D977" s="5"/>
      <c r="E977" s="5"/>
      <c r="F977" s="5"/>
      <c r="G977" s="5"/>
      <c r="H977" s="5"/>
      <c r="I977" s="5"/>
      <c r="J977" s="5"/>
      <c r="K977" s="5"/>
      <c r="L977" s="5"/>
    </row>
    <row r="978" spans="1:12" ht="12.75" x14ac:dyDescent="0.2">
      <c r="A978" s="5"/>
      <c r="B978" s="5"/>
      <c r="C978" s="4"/>
      <c r="D978" s="5"/>
      <c r="E978" s="5"/>
      <c r="F978" s="5"/>
      <c r="G978" s="5"/>
      <c r="H978" s="5"/>
      <c r="I978" s="5"/>
      <c r="J978" s="5"/>
      <c r="K978" s="5"/>
      <c r="L978" s="5"/>
    </row>
    <row r="979" spans="1:12" ht="12.75" x14ac:dyDescent="0.2">
      <c r="A979" s="5"/>
      <c r="B979" s="5"/>
      <c r="C979" s="4"/>
      <c r="D979" s="5"/>
      <c r="E979" s="5"/>
      <c r="F979" s="5"/>
      <c r="G979" s="5"/>
      <c r="H979" s="5"/>
      <c r="I979" s="5"/>
      <c r="J979" s="5"/>
      <c r="K979" s="5"/>
      <c r="L979" s="5"/>
    </row>
    <row r="980" spans="1:12" ht="12.75" x14ac:dyDescent="0.2">
      <c r="A980" s="5"/>
      <c r="B980" s="5"/>
      <c r="C980" s="4"/>
      <c r="D980" s="5"/>
      <c r="E980" s="5"/>
      <c r="F980" s="5"/>
      <c r="G980" s="5"/>
      <c r="H980" s="5"/>
      <c r="I980" s="5"/>
      <c r="J980" s="5"/>
      <c r="K980" s="5"/>
      <c r="L980" s="5"/>
    </row>
    <row r="981" spans="1:12" ht="12.75" x14ac:dyDescent="0.2">
      <c r="A981" s="5"/>
      <c r="B981" s="5"/>
      <c r="C981" s="4"/>
      <c r="D981" s="5"/>
      <c r="E981" s="5"/>
      <c r="F981" s="5"/>
      <c r="G981" s="5"/>
      <c r="H981" s="5"/>
      <c r="I981" s="5"/>
      <c r="J981" s="5"/>
      <c r="K981" s="5"/>
      <c r="L981" s="5"/>
    </row>
    <row r="982" spans="1:12" ht="12.75" x14ac:dyDescent="0.2">
      <c r="A982" s="5"/>
      <c r="B982" s="5"/>
      <c r="C982" s="4"/>
      <c r="D982" s="5"/>
      <c r="E982" s="5"/>
      <c r="F982" s="5"/>
      <c r="G982" s="5"/>
      <c r="H982" s="5"/>
      <c r="I982" s="5"/>
      <c r="J982" s="5"/>
      <c r="K982" s="5"/>
      <c r="L982" s="5"/>
    </row>
    <row r="983" spans="1:12" ht="12.75" x14ac:dyDescent="0.2">
      <c r="A983" s="5"/>
      <c r="B983" s="5"/>
      <c r="C983" s="4"/>
      <c r="D983" s="5"/>
      <c r="E983" s="5"/>
      <c r="F983" s="5"/>
      <c r="G983" s="5"/>
      <c r="H983" s="5"/>
      <c r="I983" s="5"/>
      <c r="J983" s="5"/>
      <c r="K983" s="5"/>
      <c r="L983" s="5"/>
    </row>
    <row r="984" spans="1:12" ht="12.75" x14ac:dyDescent="0.2">
      <c r="A984" s="5"/>
      <c r="B984" s="5"/>
      <c r="C984" s="4"/>
      <c r="D984" s="5"/>
      <c r="E984" s="5"/>
      <c r="F984" s="5"/>
      <c r="G984" s="5"/>
      <c r="H984" s="5"/>
      <c r="I984" s="5"/>
      <c r="J984" s="5"/>
      <c r="K984" s="5"/>
      <c r="L984" s="5"/>
    </row>
    <row r="985" spans="1:12" ht="12.75" x14ac:dyDescent="0.2">
      <c r="A985" s="5"/>
      <c r="B985" s="5"/>
      <c r="C985" s="4"/>
      <c r="D985" s="5"/>
      <c r="E985" s="5"/>
      <c r="F985" s="5"/>
      <c r="G985" s="5"/>
      <c r="H985" s="5"/>
      <c r="I985" s="5"/>
      <c r="J985" s="5"/>
      <c r="K985" s="5"/>
      <c r="L985" s="5"/>
    </row>
    <row r="986" spans="1:12" ht="12.75" x14ac:dyDescent="0.2">
      <c r="A986" s="5"/>
      <c r="B986" s="5"/>
      <c r="C986" s="4"/>
      <c r="D986" s="5"/>
      <c r="E986" s="5"/>
      <c r="F986" s="5"/>
      <c r="G986" s="5"/>
      <c r="H986" s="5"/>
      <c r="I986" s="5"/>
      <c r="J986" s="5"/>
      <c r="K986" s="5"/>
      <c r="L986" s="5"/>
    </row>
    <row r="987" spans="1:12" ht="12.75" x14ac:dyDescent="0.2">
      <c r="A987" s="5"/>
      <c r="B987" s="5"/>
      <c r="C987" s="4"/>
      <c r="D987" s="5"/>
      <c r="E987" s="5"/>
      <c r="F987" s="5"/>
      <c r="G987" s="5"/>
      <c r="H987" s="5"/>
      <c r="I987" s="5"/>
      <c r="J987" s="5"/>
      <c r="K987" s="5"/>
      <c r="L987" s="5"/>
    </row>
    <row r="988" spans="1:12" ht="12.75" x14ac:dyDescent="0.2">
      <c r="A988" s="5"/>
      <c r="B988" s="5"/>
      <c r="C988" s="4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2.75" x14ac:dyDescent="0.2">
      <c r="A989" s="5"/>
      <c r="B989" s="5"/>
      <c r="C989" s="4"/>
      <c r="D989" s="5"/>
      <c r="E989" s="5"/>
      <c r="F989" s="5"/>
      <c r="G989" s="5"/>
      <c r="H989" s="5"/>
      <c r="I989" s="5"/>
      <c r="J989" s="5"/>
      <c r="K989" s="5"/>
      <c r="L989" s="5"/>
    </row>
    <row r="990" spans="1:12" ht="12.75" x14ac:dyDescent="0.2">
      <c r="A990" s="5"/>
      <c r="B990" s="5"/>
      <c r="C990" s="4"/>
      <c r="D990" s="5"/>
      <c r="E990" s="5"/>
      <c r="F990" s="5"/>
      <c r="G990" s="5"/>
      <c r="H990" s="5"/>
      <c r="I990" s="5"/>
      <c r="J990" s="5"/>
      <c r="K990" s="5"/>
      <c r="L990" s="5"/>
    </row>
    <row r="991" spans="1:12" ht="12.75" x14ac:dyDescent="0.2">
      <c r="A991" s="5"/>
      <c r="B991" s="5"/>
      <c r="C991" s="4"/>
      <c r="D991" s="5"/>
      <c r="E991" s="5"/>
      <c r="F991" s="5"/>
      <c r="G991" s="5"/>
      <c r="H991" s="5"/>
      <c r="I991" s="5"/>
      <c r="J991" s="5"/>
      <c r="K991" s="5"/>
      <c r="L991" s="5"/>
    </row>
    <row r="992" spans="1:12" ht="12.75" x14ac:dyDescent="0.2">
      <c r="A992" s="5"/>
      <c r="B992" s="5"/>
      <c r="C992" s="4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2.75" x14ac:dyDescent="0.2">
      <c r="A993" s="5"/>
      <c r="B993" s="5"/>
      <c r="C993" s="4"/>
      <c r="D993" s="5"/>
      <c r="E993" s="5"/>
      <c r="F993" s="5"/>
      <c r="G993" s="5"/>
      <c r="H993" s="5"/>
      <c r="I993" s="5"/>
      <c r="J993" s="5"/>
      <c r="K993" s="5"/>
      <c r="L993" s="5"/>
    </row>
    <row r="994" spans="1:12" ht="12.75" x14ac:dyDescent="0.2">
      <c r="A994" s="5"/>
      <c r="B994" s="5"/>
      <c r="C994" s="4"/>
      <c r="D994" s="5"/>
      <c r="E994" s="5"/>
      <c r="F994" s="5"/>
      <c r="G994" s="5"/>
      <c r="H994" s="5"/>
      <c r="I994" s="5"/>
      <c r="J994" s="5"/>
      <c r="K994" s="5"/>
      <c r="L994" s="5"/>
    </row>
    <row r="995" spans="1:12" ht="12.75" x14ac:dyDescent="0.2">
      <c r="A995" s="5"/>
      <c r="B995" s="5"/>
      <c r="C995" s="4"/>
      <c r="D995" s="5"/>
      <c r="E995" s="5"/>
      <c r="F995" s="5"/>
      <c r="G995" s="5"/>
      <c r="H995" s="5"/>
      <c r="I995" s="5"/>
      <c r="J995" s="5"/>
      <c r="K995" s="5"/>
      <c r="L995" s="5"/>
    </row>
    <row r="996" spans="1:12" ht="12.75" x14ac:dyDescent="0.2">
      <c r="A996" s="5"/>
      <c r="B996" s="5"/>
      <c r="C996" s="4"/>
      <c r="D996" s="5"/>
      <c r="E996" s="5"/>
      <c r="F996" s="5"/>
      <c r="G996" s="5"/>
      <c r="H996" s="5"/>
      <c r="I996" s="5"/>
      <c r="J996" s="5"/>
      <c r="K996" s="5"/>
      <c r="L996" s="5"/>
    </row>
    <row r="997" spans="1:12" ht="12.75" x14ac:dyDescent="0.2">
      <c r="A997" s="5"/>
      <c r="B997" s="5"/>
      <c r="C997" s="4"/>
      <c r="D997" s="5"/>
      <c r="E997" s="5"/>
      <c r="F997" s="5"/>
      <c r="G997" s="5"/>
      <c r="H997" s="5"/>
      <c r="I997" s="5"/>
      <c r="J997" s="5"/>
      <c r="K997" s="5"/>
      <c r="L997" s="5"/>
    </row>
    <row r="998" spans="1:12" ht="12.75" x14ac:dyDescent="0.2">
      <c r="A998" s="5"/>
      <c r="B998" s="5"/>
      <c r="C998" s="4"/>
      <c r="D998" s="5"/>
      <c r="E998" s="5"/>
      <c r="F998" s="5"/>
      <c r="G998" s="5"/>
      <c r="H998" s="5"/>
      <c r="I998" s="5"/>
      <c r="J998" s="5"/>
      <c r="K998" s="5"/>
      <c r="L998" s="5"/>
    </row>
    <row r="999" spans="1:12" ht="12.75" x14ac:dyDescent="0.2">
      <c r="A999" s="5"/>
      <c r="B999" s="5"/>
      <c r="C999" s="4"/>
      <c r="D999" s="5"/>
      <c r="E999" s="5"/>
      <c r="F999" s="5"/>
      <c r="G999" s="5"/>
      <c r="H999" s="5"/>
      <c r="I999" s="5"/>
      <c r="J999" s="5"/>
      <c r="K999" s="5"/>
      <c r="L999" s="5"/>
    </row>
    <row r="1000" spans="1:12" ht="12.75" x14ac:dyDescent="0.2">
      <c r="A1000" s="5"/>
      <c r="B1000" s="5"/>
      <c r="C1000" s="4"/>
      <c r="D1000" s="5"/>
      <c r="E1000" s="5"/>
      <c r="F1000" s="5"/>
      <c r="G1000" s="5"/>
      <c r="H1000" s="5"/>
      <c r="I1000" s="5"/>
      <c r="J1000" s="5"/>
      <c r="K1000" s="5"/>
      <c r="L1000" s="5"/>
    </row>
    <row r="1001" spans="1:12" ht="12.75" x14ac:dyDescent="0.2">
      <c r="A1001" s="5"/>
      <c r="B1001" s="5"/>
      <c r="C1001" s="4"/>
      <c r="D1001" s="5"/>
      <c r="E1001" s="5"/>
      <c r="F1001" s="5"/>
      <c r="G1001" s="5"/>
      <c r="H1001" s="5"/>
      <c r="I1001" s="5"/>
      <c r="J1001" s="5"/>
      <c r="K1001" s="5"/>
      <c r="L1001" s="5"/>
    </row>
    <row r="1002" spans="1:12" ht="12.75" x14ac:dyDescent="0.2">
      <c r="A1002" s="5"/>
      <c r="B1002" s="5"/>
      <c r="C1002" s="4"/>
      <c r="D1002" s="5"/>
      <c r="E1002" s="5"/>
      <c r="F1002" s="5"/>
      <c r="G1002" s="5"/>
      <c r="H1002" s="5"/>
      <c r="I1002" s="5"/>
      <c r="J1002" s="5"/>
      <c r="K1002" s="5"/>
      <c r="L1002" s="5"/>
    </row>
    <row r="1003" spans="1:12" ht="12.75" x14ac:dyDescent="0.2">
      <c r="A1003" s="5"/>
      <c r="B1003" s="5"/>
      <c r="C1003" s="4"/>
      <c r="D1003" s="5"/>
      <c r="E1003" s="5"/>
      <c r="F1003" s="5"/>
      <c r="G1003" s="5"/>
      <c r="H1003" s="5"/>
      <c r="I1003" s="5"/>
      <c r="J1003" s="5"/>
      <c r="K1003" s="5"/>
      <c r="L1003" s="5"/>
    </row>
    <row r="1004" spans="1:12" ht="12.75" x14ac:dyDescent="0.2">
      <c r="A1004" s="5"/>
      <c r="B1004" s="5"/>
      <c r="C1004" s="4"/>
      <c r="D1004" s="5"/>
      <c r="E1004" s="5"/>
      <c r="F1004" s="5"/>
      <c r="G1004" s="5"/>
      <c r="H1004" s="5"/>
      <c r="I1004" s="5"/>
      <c r="J1004" s="5"/>
      <c r="K1004" s="5"/>
      <c r="L1004" s="5"/>
    </row>
    <row r="1005" spans="1:12" ht="15.75" customHeight="1" x14ac:dyDescent="0.2">
      <c r="A1005" s="5"/>
      <c r="B1005" s="5"/>
      <c r="C1005" s="4"/>
      <c r="D1005" s="5"/>
      <c r="E1005" s="5"/>
      <c r="F1005" s="5"/>
      <c r="G1005" s="5"/>
      <c r="H1005" s="5"/>
      <c r="I1005" s="5"/>
      <c r="J1005" s="5"/>
    </row>
    <row r="1006" spans="1:12" ht="15.75" customHeight="1" x14ac:dyDescent="0.2">
      <c r="A1006" s="5"/>
      <c r="B1006" s="5"/>
      <c r="C1006" s="4"/>
      <c r="D1006" s="5"/>
      <c r="E1006" s="5"/>
      <c r="F1006" s="5"/>
      <c r="G1006" s="5"/>
      <c r="H1006" s="5"/>
      <c r="I1006" s="5"/>
      <c r="J1006" s="5"/>
    </row>
    <row r="1007" spans="1:12" ht="15.75" customHeight="1" x14ac:dyDescent="0.2">
      <c r="A1007" s="5"/>
      <c r="B1007" s="5"/>
      <c r="C1007" s="4"/>
      <c r="D1007" s="5"/>
      <c r="E1007" s="5"/>
      <c r="F1007" s="5"/>
      <c r="G1007" s="5"/>
      <c r="H1007" s="5"/>
      <c r="I1007" s="5"/>
      <c r="J1007" s="5"/>
    </row>
    <row r="1008" spans="1:12" ht="15.75" customHeight="1" x14ac:dyDescent="0.2">
      <c r="A1008" s="5"/>
      <c r="B1008" s="5"/>
      <c r="C1008" s="4"/>
      <c r="D1008" s="5"/>
      <c r="E1008" s="5"/>
      <c r="F1008" s="5"/>
      <c r="G1008" s="5"/>
      <c r="H1008" s="5"/>
      <c r="I1008" s="5"/>
      <c r="J1008" s="5"/>
    </row>
    <row r="1009" spans="1:10" ht="15.75" customHeight="1" x14ac:dyDescent="0.2">
      <c r="A1009" s="5"/>
      <c r="B1009" s="5"/>
      <c r="C1009" s="4"/>
      <c r="D1009" s="5"/>
      <c r="E1009" s="5"/>
      <c r="F1009" s="5"/>
      <c r="G1009" s="5"/>
      <c r="H1009" s="5"/>
      <c r="I1009" s="5"/>
      <c r="J1009" s="5"/>
    </row>
    <row r="1010" spans="1:10" ht="15.75" customHeight="1" x14ac:dyDescent="0.2">
      <c r="A1010" s="5"/>
      <c r="B1010" s="5"/>
      <c r="C1010" s="4"/>
      <c r="D1010" s="5"/>
      <c r="E1010" s="5"/>
      <c r="F1010" s="5"/>
      <c r="G1010" s="5"/>
      <c r="H1010" s="5"/>
      <c r="I1010" s="5"/>
      <c r="J1010" s="5"/>
    </row>
    <row r="1011" spans="1:10" ht="15.75" customHeight="1" x14ac:dyDescent="0.2">
      <c r="A1011" s="5"/>
      <c r="B1011" s="5"/>
      <c r="C1011" s="4"/>
      <c r="D1011" s="5"/>
      <c r="E1011" s="5"/>
      <c r="F1011" s="5"/>
      <c r="G1011" s="5"/>
      <c r="H1011" s="5"/>
      <c r="I1011" s="5"/>
      <c r="J1011" s="5"/>
    </row>
    <row r="1012" spans="1:10" ht="15.75" customHeight="1" x14ac:dyDescent="0.2">
      <c r="A1012" s="5"/>
      <c r="B1012" s="5"/>
      <c r="C1012" s="4"/>
      <c r="D1012" s="5"/>
      <c r="E1012" s="5"/>
      <c r="F1012" s="5"/>
      <c r="G1012" s="5"/>
      <c r="H1012" s="5"/>
      <c r="I1012" s="5"/>
      <c r="J1012" s="5"/>
    </row>
    <row r="1013" spans="1:10" ht="15.75" customHeight="1" x14ac:dyDescent="0.2">
      <c r="A1013" s="5"/>
      <c r="B1013" s="5"/>
      <c r="C1013" s="4"/>
      <c r="D1013" s="5"/>
      <c r="E1013" s="5"/>
      <c r="F1013" s="5"/>
      <c r="G1013" s="5"/>
      <c r="H1013" s="5"/>
      <c r="I1013" s="5"/>
      <c r="J1013" s="5"/>
    </row>
    <row r="1014" spans="1:10" ht="15.75" customHeight="1" x14ac:dyDescent="0.2">
      <c r="A1014" s="5"/>
      <c r="B1014" s="5"/>
      <c r="C1014" s="4"/>
      <c r="D1014" s="5"/>
      <c r="E1014" s="5"/>
      <c r="F1014" s="5"/>
      <c r="G1014" s="5"/>
      <c r="H1014" s="5"/>
      <c r="I1014" s="5"/>
      <c r="J1014" s="5"/>
    </row>
    <row r="1015" spans="1:10" ht="15.75" customHeight="1" x14ac:dyDescent="0.2">
      <c r="A1015" s="5"/>
      <c r="B1015" s="5"/>
      <c r="C1015" s="4"/>
      <c r="D1015" s="5"/>
      <c r="E1015" s="5"/>
      <c r="F1015" s="5"/>
      <c r="G1015" s="5"/>
      <c r="H1015" s="5"/>
      <c r="I1015" s="5"/>
      <c r="J1015" s="5"/>
    </row>
    <row r="1016" spans="1:10" ht="15.75" customHeight="1" x14ac:dyDescent="0.2">
      <c r="A1016" s="5"/>
      <c r="B1016" s="5"/>
      <c r="C1016" s="4"/>
      <c r="D1016" s="5"/>
      <c r="E1016" s="5"/>
      <c r="F1016" s="5"/>
      <c r="G1016" s="5"/>
      <c r="H1016" s="5"/>
      <c r="I1016" s="5"/>
      <c r="J1016" s="5"/>
    </row>
    <row r="1017" spans="1:10" ht="15.75" customHeight="1" x14ac:dyDescent="0.2">
      <c r="A1017" s="5"/>
      <c r="B1017" s="5"/>
      <c r="C1017" s="4"/>
      <c r="D1017" s="5"/>
      <c r="E1017" s="5"/>
      <c r="F1017" s="5"/>
      <c r="G1017" s="5"/>
      <c r="H1017" s="5"/>
      <c r="I1017" s="5"/>
      <c r="J1017" s="5"/>
    </row>
    <row r="1018" spans="1:10" ht="15.75" customHeight="1" x14ac:dyDescent="0.2">
      <c r="A1018" s="5"/>
      <c r="B1018" s="5"/>
      <c r="C1018" s="4"/>
      <c r="D1018" s="5"/>
      <c r="E1018" s="5"/>
      <c r="F1018" s="5"/>
      <c r="G1018" s="5"/>
      <c r="H1018" s="5"/>
      <c r="I1018" s="5"/>
      <c r="J1018" s="5"/>
    </row>
    <row r="1019" spans="1:10" ht="15.75" customHeight="1" x14ac:dyDescent="0.2">
      <c r="A1019" s="5"/>
      <c r="B1019" s="5"/>
      <c r="C1019" s="4"/>
      <c r="D1019" s="5"/>
      <c r="E1019" s="5"/>
      <c r="F1019" s="5"/>
      <c r="G1019" s="5"/>
      <c r="H1019" s="5"/>
      <c r="I1019" s="5"/>
      <c r="J1019" s="5"/>
    </row>
    <row r="1020" spans="1:10" ht="15.75" customHeight="1" x14ac:dyDescent="0.2">
      <c r="A1020" s="5"/>
      <c r="B1020" s="5"/>
      <c r="C1020" s="4"/>
      <c r="D1020" s="5"/>
      <c r="E1020" s="5"/>
      <c r="F1020" s="5"/>
      <c r="G1020" s="5"/>
      <c r="H1020" s="5"/>
      <c r="I1020" s="5"/>
      <c r="J1020" s="5"/>
    </row>
    <row r="1021" spans="1:10" ht="15.75" customHeight="1" x14ac:dyDescent="0.2">
      <c r="A1021" s="5"/>
      <c r="B1021" s="5"/>
      <c r="C1021" s="4"/>
      <c r="D1021" s="5"/>
      <c r="E1021" s="5"/>
      <c r="F1021" s="5"/>
      <c r="G1021" s="5"/>
      <c r="H1021" s="5"/>
      <c r="I1021" s="5"/>
      <c r="J1021" s="5"/>
    </row>
    <row r="1022" spans="1:10" ht="15.75" customHeight="1" x14ac:dyDescent="0.2">
      <c r="A1022" s="5"/>
      <c r="B1022" s="5"/>
      <c r="C1022" s="4"/>
      <c r="D1022" s="5"/>
      <c r="E1022" s="5"/>
      <c r="F1022" s="5"/>
      <c r="G1022" s="5"/>
      <c r="H1022" s="5"/>
      <c r="I1022" s="5"/>
      <c r="J1022" s="5"/>
    </row>
    <row r="1023" spans="1:10" ht="15.75" customHeight="1" x14ac:dyDescent="0.2">
      <c r="A1023" s="5"/>
      <c r="B1023" s="5"/>
      <c r="C1023" s="4"/>
      <c r="D1023" s="5"/>
      <c r="E1023" s="5"/>
      <c r="F1023" s="5"/>
      <c r="G1023" s="5"/>
      <c r="H1023" s="5"/>
      <c r="I1023" s="5"/>
      <c r="J1023" s="5"/>
    </row>
    <row r="1024" spans="1:10" ht="15.75" customHeight="1" x14ac:dyDescent="0.2">
      <c r="A1024" s="5"/>
      <c r="B1024" s="5"/>
      <c r="C1024" s="4"/>
      <c r="D1024" s="5"/>
      <c r="E1024" s="5"/>
      <c r="F1024" s="5"/>
      <c r="G1024" s="5"/>
      <c r="H1024" s="5"/>
      <c r="I1024" s="5"/>
      <c r="J1024" s="5"/>
    </row>
    <row r="1025" spans="1:10" ht="15.75" customHeight="1" x14ac:dyDescent="0.2">
      <c r="A1025" s="5"/>
      <c r="B1025" s="5"/>
      <c r="C1025" s="4"/>
      <c r="D1025" s="5"/>
      <c r="E1025" s="5"/>
      <c r="F1025" s="5"/>
      <c r="G1025" s="5"/>
      <c r="H1025" s="5"/>
      <c r="I1025" s="5"/>
      <c r="J1025" s="5"/>
    </row>
    <row r="1026" spans="1:10" ht="15.75" customHeight="1" x14ac:dyDescent="0.2">
      <c r="A1026" s="5"/>
      <c r="B1026" s="5"/>
      <c r="C1026" s="4"/>
      <c r="D1026" s="5"/>
      <c r="E1026" s="5"/>
      <c r="F1026" s="5"/>
      <c r="G1026" s="5"/>
      <c r="H1026" s="5"/>
      <c r="I1026" s="5"/>
      <c r="J1026" s="5"/>
    </row>
    <row r="1027" spans="1:10" ht="15.75" customHeight="1" x14ac:dyDescent="0.2">
      <c r="A1027" s="5"/>
      <c r="B1027" s="5"/>
      <c r="C1027" s="4"/>
      <c r="D1027" s="5"/>
      <c r="E1027" s="5"/>
      <c r="F1027" s="5"/>
      <c r="G1027" s="5"/>
      <c r="H1027" s="5"/>
      <c r="I1027" s="5"/>
      <c r="J1027" s="5"/>
    </row>
    <row r="1028" spans="1:10" ht="15.75" customHeight="1" x14ac:dyDescent="0.2">
      <c r="A1028" s="5"/>
      <c r="B1028" s="5"/>
      <c r="C1028" s="4"/>
      <c r="D1028" s="5"/>
      <c r="E1028" s="5"/>
      <c r="F1028" s="5"/>
      <c r="G1028" s="5"/>
      <c r="H1028" s="5"/>
      <c r="I1028" s="5"/>
      <c r="J1028" s="5"/>
    </row>
    <row r="1029" spans="1:10" ht="15.75" customHeight="1" x14ac:dyDescent="0.2">
      <c r="A1029" s="5"/>
      <c r="B1029" s="5"/>
      <c r="C1029" s="4"/>
      <c r="D1029" s="5"/>
      <c r="E1029" s="5"/>
      <c r="F1029" s="5"/>
      <c r="G1029" s="5"/>
      <c r="H1029" s="5"/>
      <c r="I1029" s="5"/>
      <c r="J1029" s="5"/>
    </row>
    <row r="1030" spans="1:10" ht="15.75" customHeight="1" x14ac:dyDescent="0.2">
      <c r="A1030" s="5"/>
      <c r="B1030" s="5"/>
      <c r="C1030" s="4"/>
      <c r="D1030" s="5"/>
      <c r="E1030" s="5"/>
      <c r="F1030" s="5"/>
      <c r="G1030" s="5"/>
      <c r="H1030" s="5"/>
      <c r="I1030" s="5"/>
      <c r="J1030" s="5"/>
    </row>
    <row r="1031" spans="1:10" ht="15.75" customHeight="1" x14ac:dyDescent="0.2">
      <c r="A1031" s="5"/>
      <c r="B1031" s="5"/>
      <c r="C1031" s="4"/>
      <c r="D1031" s="5"/>
      <c r="E1031" s="5"/>
      <c r="F1031" s="5"/>
      <c r="G1031" s="5"/>
      <c r="H1031" s="5"/>
      <c r="I1031" s="5"/>
    </row>
  </sheetData>
  <mergeCells count="1">
    <mergeCell ref="A1:J5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D95C-0EE5-4DA6-9D94-59EA7B546A8D}">
  <sheetPr>
    <outlinePr summaryBelow="0" summaryRight="0"/>
  </sheetPr>
  <dimension ref="A1:N1069"/>
  <sheetViews>
    <sheetView topLeftCell="A4" zoomScale="120" zoomScaleNormal="120" workbookViewId="0">
      <selection activeCell="E50" sqref="E50"/>
    </sheetView>
  </sheetViews>
  <sheetFormatPr baseColWidth="10" defaultColWidth="12.5703125" defaultRowHeight="15.75" customHeight="1" x14ac:dyDescent="0.2"/>
  <cols>
    <col min="1" max="1" width="10.85546875" customWidth="1"/>
    <col min="2" max="2" width="16.7109375" customWidth="1"/>
    <col min="3" max="3" width="15.140625" customWidth="1"/>
    <col min="4" max="4" width="13.7109375" hidden="1" customWidth="1"/>
    <col min="5" max="5" width="11.140625" customWidth="1"/>
    <col min="6" max="6" width="13.85546875" bestFit="1" customWidth="1"/>
    <col min="7" max="7" width="12.28515625" hidden="1" customWidth="1"/>
    <col min="8" max="8" width="11.28515625" customWidth="1"/>
    <col min="9" max="9" width="26" customWidth="1"/>
    <col min="10" max="10" width="15.28515625" hidden="1" customWidth="1"/>
  </cols>
  <sheetData>
    <row r="1" spans="1:13" ht="12.75" customHeight="1" x14ac:dyDescent="0.2">
      <c r="A1" s="207" t="s">
        <v>206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5"/>
      <c r="M1" s="5"/>
    </row>
    <row r="2" spans="1:13" ht="12.75" x14ac:dyDescent="0.2">
      <c r="A2" s="207"/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5"/>
      <c r="M2" s="5"/>
    </row>
    <row r="3" spans="1:13" ht="12.75" x14ac:dyDescent="0.2">
      <c r="A3" s="207"/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5"/>
      <c r="M3" s="5"/>
    </row>
    <row r="4" spans="1:13" ht="12.75" x14ac:dyDescent="0.2">
      <c r="A4" s="207"/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5"/>
      <c r="M4" s="5"/>
    </row>
    <row r="5" spans="1:13" ht="12.75" x14ac:dyDescent="0.2">
      <c r="A5" s="207"/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5"/>
      <c r="M5" s="5"/>
    </row>
    <row r="6" spans="1:13" ht="25.5" customHeight="1" x14ac:dyDescent="0.2">
      <c r="A6" s="26" t="s">
        <v>11</v>
      </c>
      <c r="B6" s="27" t="s">
        <v>12</v>
      </c>
      <c r="C6" s="28" t="s">
        <v>15</v>
      </c>
      <c r="D6" s="29" t="s">
        <v>207</v>
      </c>
      <c r="E6" s="29" t="s">
        <v>208</v>
      </c>
      <c r="F6" s="30" t="s">
        <v>20</v>
      </c>
      <c r="G6" s="30" t="s">
        <v>21</v>
      </c>
      <c r="H6" s="30" t="s">
        <v>22</v>
      </c>
      <c r="I6" s="30" t="s">
        <v>23</v>
      </c>
      <c r="J6" s="30" t="s">
        <v>26</v>
      </c>
      <c r="K6" s="32" t="s">
        <v>209</v>
      </c>
      <c r="L6" s="5"/>
      <c r="M6" s="5"/>
    </row>
    <row r="7" spans="1:13" ht="12.75" hidden="1" x14ac:dyDescent="0.2">
      <c r="A7" s="24" t="s">
        <v>210</v>
      </c>
      <c r="B7" s="20">
        <v>46084</v>
      </c>
      <c r="C7" s="10">
        <v>30320</v>
      </c>
      <c r="D7" s="9"/>
      <c r="E7" s="9">
        <v>600</v>
      </c>
      <c r="F7" s="9" t="s">
        <v>4</v>
      </c>
      <c r="G7" s="9"/>
      <c r="H7" s="9" t="s">
        <v>143</v>
      </c>
      <c r="I7" s="9" t="s">
        <v>211</v>
      </c>
      <c r="J7" s="11">
        <f>+Tabla38[[#This Row],[PESO NETO KGS]]*10.8</f>
        <v>327456</v>
      </c>
      <c r="K7" s="59">
        <v>1928</v>
      </c>
      <c r="L7" s="5"/>
      <c r="M7" s="5"/>
    </row>
    <row r="8" spans="1:13" ht="12.75" hidden="1" x14ac:dyDescent="0.2">
      <c r="A8" s="24" t="s">
        <v>212</v>
      </c>
      <c r="B8" s="20">
        <v>46084</v>
      </c>
      <c r="C8" s="10">
        <v>25470</v>
      </c>
      <c r="D8" s="9"/>
      <c r="E8" s="9">
        <v>504</v>
      </c>
      <c r="F8" s="9" t="s">
        <v>4</v>
      </c>
      <c r="G8" s="9"/>
      <c r="H8" s="9" t="s">
        <v>143</v>
      </c>
      <c r="I8" s="9" t="s">
        <v>213</v>
      </c>
      <c r="J8" s="11">
        <f>+Tabla38[[#This Row],[PESO NETO KGS]]*10.8</f>
        <v>275076</v>
      </c>
      <c r="K8" s="59">
        <v>1928</v>
      </c>
      <c r="L8" s="5"/>
      <c r="M8" s="5"/>
    </row>
    <row r="9" spans="1:13" ht="12.75" hidden="1" x14ac:dyDescent="0.2">
      <c r="A9" s="24" t="s">
        <v>214</v>
      </c>
      <c r="B9" s="20">
        <v>46085</v>
      </c>
      <c r="C9" s="10">
        <v>30190</v>
      </c>
      <c r="D9" s="9"/>
      <c r="E9" s="143">
        <v>601</v>
      </c>
      <c r="F9" s="9" t="s">
        <v>4</v>
      </c>
      <c r="G9" s="9"/>
      <c r="H9" s="9" t="s">
        <v>143</v>
      </c>
      <c r="I9" s="9" t="s">
        <v>215</v>
      </c>
      <c r="J9" s="11">
        <f>+Tabla38[[#This Row],[PESO NETO KGS]]*10.8</f>
        <v>326052</v>
      </c>
      <c r="K9" s="59">
        <v>1928</v>
      </c>
      <c r="L9" s="5"/>
      <c r="M9" s="5"/>
    </row>
    <row r="10" spans="1:13" ht="12.75" hidden="1" x14ac:dyDescent="0.2">
      <c r="A10" s="24" t="s">
        <v>216</v>
      </c>
      <c r="B10" s="20">
        <v>46085</v>
      </c>
      <c r="C10" s="10">
        <v>30230</v>
      </c>
      <c r="D10" s="9"/>
      <c r="E10" s="143">
        <v>602</v>
      </c>
      <c r="F10" s="9" t="s">
        <v>4</v>
      </c>
      <c r="G10" s="9"/>
      <c r="H10" s="9" t="s">
        <v>143</v>
      </c>
      <c r="I10" s="9" t="s">
        <v>217</v>
      </c>
      <c r="J10" s="11">
        <f>+Tabla38[[#This Row],[PESO NETO KGS]]*10.8</f>
        <v>326484</v>
      </c>
      <c r="K10" s="59">
        <v>1928</v>
      </c>
      <c r="L10" s="5"/>
      <c r="M10" s="5"/>
    </row>
    <row r="11" spans="1:13" ht="12.75" hidden="1" x14ac:dyDescent="0.2">
      <c r="A11" s="24" t="s">
        <v>251</v>
      </c>
      <c r="B11" s="20">
        <v>46085</v>
      </c>
      <c r="C11" s="10">
        <v>15170</v>
      </c>
      <c r="D11" s="9"/>
      <c r="E11" s="9">
        <v>302</v>
      </c>
      <c r="F11" s="9" t="s">
        <v>4</v>
      </c>
      <c r="G11" s="9"/>
      <c r="H11" s="9" t="s">
        <v>143</v>
      </c>
      <c r="I11" s="9" t="s">
        <v>252</v>
      </c>
      <c r="J11" s="11">
        <f>+Tabla38[[#This Row],[PESO NETO KGS]]*10.8</f>
        <v>163836</v>
      </c>
      <c r="K11" s="59">
        <v>1928</v>
      </c>
      <c r="L11" s="5"/>
      <c r="M11" s="5"/>
    </row>
    <row r="12" spans="1:13" ht="12.75" hidden="1" x14ac:dyDescent="0.2">
      <c r="A12" s="24" t="s">
        <v>218</v>
      </c>
      <c r="B12" s="20">
        <v>46086</v>
      </c>
      <c r="C12" s="10">
        <v>29970</v>
      </c>
      <c r="D12" s="9"/>
      <c r="E12" s="9">
        <v>600</v>
      </c>
      <c r="F12" s="9" t="s">
        <v>4</v>
      </c>
      <c r="G12" s="9"/>
      <c r="H12" s="9" t="s">
        <v>143</v>
      </c>
      <c r="I12" s="9" t="s">
        <v>211</v>
      </c>
      <c r="J12" s="11">
        <f>+Tabla38[[#This Row],[PESO NETO KGS]]*10.8</f>
        <v>323676</v>
      </c>
      <c r="K12" s="59">
        <v>1928</v>
      </c>
      <c r="L12" s="5"/>
      <c r="M12" s="5"/>
    </row>
    <row r="13" spans="1:13" ht="12.75" hidden="1" x14ac:dyDescent="0.2">
      <c r="A13" s="24" t="s">
        <v>219</v>
      </c>
      <c r="B13" s="20">
        <v>46086</v>
      </c>
      <c r="C13" s="10">
        <v>30040</v>
      </c>
      <c r="D13" s="9"/>
      <c r="E13" s="9">
        <v>600</v>
      </c>
      <c r="F13" s="9" t="s">
        <v>4</v>
      </c>
      <c r="G13" s="9"/>
      <c r="H13" s="9" t="s">
        <v>143</v>
      </c>
      <c r="I13" s="9" t="s">
        <v>215</v>
      </c>
      <c r="J13" s="11">
        <f>+Tabla38[[#This Row],[PESO NETO KGS]]*10.8</f>
        <v>324432</v>
      </c>
      <c r="K13" s="59">
        <v>1928</v>
      </c>
      <c r="L13" s="5"/>
      <c r="M13" s="5"/>
    </row>
    <row r="14" spans="1:13" ht="12.75" hidden="1" x14ac:dyDescent="0.2">
      <c r="A14" s="24" t="s">
        <v>220</v>
      </c>
      <c r="B14" s="20">
        <v>46086</v>
      </c>
      <c r="C14" s="10">
        <v>30460</v>
      </c>
      <c r="D14" s="9"/>
      <c r="E14" s="9">
        <v>600</v>
      </c>
      <c r="F14" s="9" t="s">
        <v>4</v>
      </c>
      <c r="G14" s="9"/>
      <c r="H14" s="9" t="s">
        <v>143</v>
      </c>
      <c r="I14" s="9" t="s">
        <v>213</v>
      </c>
      <c r="J14" s="11">
        <f>+Tabla38[[#This Row],[PESO NETO KGS]]*10.8</f>
        <v>328968</v>
      </c>
      <c r="K14" s="59">
        <v>1928</v>
      </c>
      <c r="L14" s="5"/>
      <c r="M14" s="5"/>
    </row>
    <row r="15" spans="1:13" ht="12.75" hidden="1" x14ac:dyDescent="0.2">
      <c r="A15" s="24" t="s">
        <v>221</v>
      </c>
      <c r="B15" s="20">
        <v>46087</v>
      </c>
      <c r="C15" s="10">
        <v>29850</v>
      </c>
      <c r="D15" s="9"/>
      <c r="E15" s="143">
        <v>602</v>
      </c>
      <c r="F15" s="9" t="s">
        <v>4</v>
      </c>
      <c r="G15" s="9"/>
      <c r="H15" s="9" t="s">
        <v>143</v>
      </c>
      <c r="I15" s="9" t="s">
        <v>217</v>
      </c>
      <c r="J15" s="11">
        <f>+Tabla38[[#This Row],[PESO NETO KGS]]*10.8</f>
        <v>322380</v>
      </c>
      <c r="K15" s="59">
        <v>1928</v>
      </c>
      <c r="L15" s="5"/>
      <c r="M15" s="5"/>
    </row>
    <row r="16" spans="1:13" ht="12.75" hidden="1" x14ac:dyDescent="0.2">
      <c r="A16" s="24" t="s">
        <v>222</v>
      </c>
      <c r="B16" s="20">
        <v>46087</v>
      </c>
      <c r="C16" s="10">
        <v>30480</v>
      </c>
      <c r="D16" s="9"/>
      <c r="E16" s="143">
        <v>602</v>
      </c>
      <c r="F16" s="9" t="s">
        <v>4</v>
      </c>
      <c r="G16" s="9"/>
      <c r="H16" s="9" t="s">
        <v>143</v>
      </c>
      <c r="I16" s="9" t="s">
        <v>211</v>
      </c>
      <c r="J16" s="11">
        <f>+Tabla38[[#This Row],[PESO NETO KGS]]*10.8</f>
        <v>329184</v>
      </c>
      <c r="K16" s="59">
        <v>1928</v>
      </c>
      <c r="L16" s="5"/>
      <c r="M16" s="5"/>
    </row>
    <row r="17" spans="1:13" ht="12.75" hidden="1" x14ac:dyDescent="0.2">
      <c r="A17" s="24" t="s">
        <v>223</v>
      </c>
      <c r="B17" s="20">
        <v>46087</v>
      </c>
      <c r="C17" s="10">
        <v>30220</v>
      </c>
      <c r="D17" s="9"/>
      <c r="E17" s="9">
        <v>600</v>
      </c>
      <c r="F17" s="9" t="s">
        <v>4</v>
      </c>
      <c r="G17" s="9"/>
      <c r="H17" s="9" t="s">
        <v>143</v>
      </c>
      <c r="I17" s="9" t="s">
        <v>215</v>
      </c>
      <c r="J17" s="11">
        <f>+Tabla38[[#This Row],[PESO NETO KGS]]*10.8</f>
        <v>326376</v>
      </c>
      <c r="K17" s="59">
        <v>1928</v>
      </c>
      <c r="L17" s="5"/>
      <c r="M17" s="5"/>
    </row>
    <row r="18" spans="1:13" ht="12.75" hidden="1" x14ac:dyDescent="0.2">
      <c r="A18" s="24" t="s">
        <v>224</v>
      </c>
      <c r="B18" s="20">
        <v>46088</v>
      </c>
      <c r="C18" s="10">
        <v>30570</v>
      </c>
      <c r="D18" s="9"/>
      <c r="E18" s="9">
        <v>600</v>
      </c>
      <c r="F18" s="9" t="s">
        <v>4</v>
      </c>
      <c r="G18" s="9"/>
      <c r="H18" s="9" t="s">
        <v>143</v>
      </c>
      <c r="I18" s="9" t="s">
        <v>213</v>
      </c>
      <c r="J18" s="11">
        <f>+Tabla38[[#This Row],[PESO NETO KGS]]*10.8</f>
        <v>330156</v>
      </c>
      <c r="K18" s="59">
        <v>1928</v>
      </c>
      <c r="L18" s="5"/>
      <c r="M18" s="5"/>
    </row>
    <row r="19" spans="1:13" ht="12.75" hidden="1" x14ac:dyDescent="0.2">
      <c r="A19" s="24" t="s">
        <v>225</v>
      </c>
      <c r="B19" s="20">
        <v>46088</v>
      </c>
      <c r="C19" s="10">
        <v>30470</v>
      </c>
      <c r="D19" s="9"/>
      <c r="E19" s="9">
        <v>600</v>
      </c>
      <c r="F19" s="9" t="s">
        <v>4</v>
      </c>
      <c r="G19" s="9"/>
      <c r="H19" s="9" t="s">
        <v>143</v>
      </c>
      <c r="I19" s="9" t="s">
        <v>217</v>
      </c>
      <c r="J19" s="11">
        <f>+Tabla38[[#This Row],[PESO NETO KGS]]*10.8</f>
        <v>329076</v>
      </c>
      <c r="K19" s="59">
        <v>1928</v>
      </c>
      <c r="L19" s="5"/>
      <c r="M19" s="5"/>
    </row>
    <row r="20" spans="1:13" ht="12.75" hidden="1" x14ac:dyDescent="0.2">
      <c r="A20" s="24" t="s">
        <v>226</v>
      </c>
      <c r="B20" s="20">
        <v>46088</v>
      </c>
      <c r="C20" s="10">
        <v>30380</v>
      </c>
      <c r="D20" s="9"/>
      <c r="E20" s="9">
        <v>600</v>
      </c>
      <c r="F20" s="9" t="s">
        <v>4</v>
      </c>
      <c r="G20" s="9"/>
      <c r="H20" s="9" t="s">
        <v>143</v>
      </c>
      <c r="I20" s="9" t="s">
        <v>211</v>
      </c>
      <c r="J20" s="11">
        <f>+Tabla38[[#This Row],[PESO NETO KGS]]*10.8</f>
        <v>328104</v>
      </c>
      <c r="K20" s="59">
        <v>1928</v>
      </c>
      <c r="L20" s="5"/>
      <c r="M20" s="5"/>
    </row>
    <row r="21" spans="1:13" ht="12.75" hidden="1" x14ac:dyDescent="0.2">
      <c r="A21" s="24" t="s">
        <v>227</v>
      </c>
      <c r="B21" s="20">
        <v>46089</v>
      </c>
      <c r="C21" s="10">
        <v>30270</v>
      </c>
      <c r="D21" s="9"/>
      <c r="E21" s="9">
        <v>600</v>
      </c>
      <c r="F21" s="9" t="s">
        <v>4</v>
      </c>
      <c r="G21" s="9"/>
      <c r="H21" s="9" t="s">
        <v>143</v>
      </c>
      <c r="I21" s="9" t="s">
        <v>215</v>
      </c>
      <c r="J21" s="11">
        <f>+Tabla38[[#This Row],[PESO NETO KGS]]*10.8</f>
        <v>326916</v>
      </c>
      <c r="K21" s="59">
        <v>1928</v>
      </c>
      <c r="L21" s="5"/>
      <c r="M21" s="5"/>
    </row>
    <row r="22" spans="1:13" ht="12.75" hidden="1" x14ac:dyDescent="0.2">
      <c r="A22" s="24" t="s">
        <v>228</v>
      </c>
      <c r="B22" s="20">
        <v>46089</v>
      </c>
      <c r="C22" s="10">
        <v>30020</v>
      </c>
      <c r="D22" s="9"/>
      <c r="E22" s="9">
        <v>600</v>
      </c>
      <c r="F22" s="9" t="s">
        <v>4</v>
      </c>
      <c r="G22" s="9"/>
      <c r="H22" s="9" t="s">
        <v>143</v>
      </c>
      <c r="I22" s="9" t="s">
        <v>213</v>
      </c>
      <c r="J22" s="11">
        <f>+Tabla38[[#This Row],[PESO NETO KGS]]*10.8</f>
        <v>324216</v>
      </c>
      <c r="K22" s="59">
        <v>1928</v>
      </c>
      <c r="L22" s="5"/>
      <c r="M22" s="5"/>
    </row>
    <row r="23" spans="1:13" ht="12.75" hidden="1" x14ac:dyDescent="0.2">
      <c r="A23" s="24" t="s">
        <v>229</v>
      </c>
      <c r="B23" s="20">
        <v>46089</v>
      </c>
      <c r="C23" s="10">
        <v>30250</v>
      </c>
      <c r="D23" s="9"/>
      <c r="E23" s="9">
        <v>600</v>
      </c>
      <c r="F23" s="9" t="s">
        <v>4</v>
      </c>
      <c r="G23" s="9"/>
      <c r="H23" s="9" t="s">
        <v>143</v>
      </c>
      <c r="I23" s="9" t="s">
        <v>217</v>
      </c>
      <c r="J23" s="11">
        <f>+Tabla38[[#This Row],[PESO NETO KGS]]*10.8</f>
        <v>326700</v>
      </c>
      <c r="K23" s="59">
        <v>1928</v>
      </c>
      <c r="L23" s="5"/>
      <c r="M23" s="5"/>
    </row>
    <row r="24" spans="1:13" ht="12.75" hidden="1" x14ac:dyDescent="0.2">
      <c r="A24" s="24" t="s">
        <v>230</v>
      </c>
      <c r="B24" s="20">
        <v>46089</v>
      </c>
      <c r="C24" s="10">
        <v>8280</v>
      </c>
      <c r="D24" s="9"/>
      <c r="E24" s="9">
        <v>163</v>
      </c>
      <c r="F24" s="9" t="s">
        <v>4</v>
      </c>
      <c r="G24" s="9"/>
      <c r="H24" s="9" t="s">
        <v>143</v>
      </c>
      <c r="I24" s="9" t="s">
        <v>231</v>
      </c>
      <c r="J24" s="11">
        <f>+Tabla38[[#This Row],[PESO NETO KGS]]*10.8</f>
        <v>89424</v>
      </c>
      <c r="K24" s="59">
        <v>1928</v>
      </c>
      <c r="L24" s="5"/>
      <c r="M24" s="5"/>
    </row>
    <row r="25" spans="1:13" ht="12.75" hidden="1" x14ac:dyDescent="0.2">
      <c r="A25" s="24" t="s">
        <v>232</v>
      </c>
      <c r="B25" s="20">
        <v>46090</v>
      </c>
      <c r="C25" s="10">
        <v>30220</v>
      </c>
      <c r="D25" s="9"/>
      <c r="E25" s="9">
        <v>600</v>
      </c>
      <c r="F25" s="9" t="s">
        <v>4</v>
      </c>
      <c r="G25" s="9"/>
      <c r="H25" s="9" t="s">
        <v>143</v>
      </c>
      <c r="I25" s="9" t="s">
        <v>211</v>
      </c>
      <c r="J25" s="11">
        <f>+Tabla38[[#This Row],[PESO NETO KGS]]*10.8</f>
        <v>326376</v>
      </c>
      <c r="K25" s="59">
        <v>1928</v>
      </c>
      <c r="L25" s="5"/>
      <c r="M25" s="5"/>
    </row>
    <row r="26" spans="1:13" ht="12.75" hidden="1" x14ac:dyDescent="0.2">
      <c r="A26" s="24" t="s">
        <v>233</v>
      </c>
      <c r="B26" s="20">
        <v>46090</v>
      </c>
      <c r="C26" s="10">
        <v>13950</v>
      </c>
      <c r="D26" s="9"/>
      <c r="E26" s="9">
        <v>288</v>
      </c>
      <c r="F26" s="9" t="s">
        <v>4</v>
      </c>
      <c r="G26" s="9"/>
      <c r="H26" s="9" t="s">
        <v>143</v>
      </c>
      <c r="I26" s="9" t="s">
        <v>234</v>
      </c>
      <c r="J26" s="11">
        <f>+Tabla38[[#This Row],[PESO NETO KGS]]*10.8</f>
        <v>150660</v>
      </c>
      <c r="K26" s="59">
        <v>1928</v>
      </c>
      <c r="L26" s="5"/>
      <c r="M26" s="5"/>
    </row>
    <row r="27" spans="1:13" ht="12.75" hidden="1" x14ac:dyDescent="0.2">
      <c r="A27" s="24" t="s">
        <v>235</v>
      </c>
      <c r="B27" s="20">
        <v>46091</v>
      </c>
      <c r="C27" s="10">
        <v>30920</v>
      </c>
      <c r="D27" s="9"/>
      <c r="E27" s="143">
        <v>612</v>
      </c>
      <c r="F27" s="9" t="s">
        <v>4</v>
      </c>
      <c r="G27" s="9"/>
      <c r="H27" s="9" t="s">
        <v>143</v>
      </c>
      <c r="I27" s="9" t="s">
        <v>215</v>
      </c>
      <c r="J27" s="11">
        <f>+Tabla38[[#This Row],[PESO NETO KGS]]*10.8</f>
        <v>333936</v>
      </c>
      <c r="K27" s="59">
        <v>1928</v>
      </c>
      <c r="L27" s="5"/>
      <c r="M27" s="5"/>
    </row>
    <row r="28" spans="1:13" ht="12.75" hidden="1" x14ac:dyDescent="0.2">
      <c r="A28" s="24" t="s">
        <v>236</v>
      </c>
      <c r="B28" s="20">
        <v>46091</v>
      </c>
      <c r="C28" s="10">
        <v>30940</v>
      </c>
      <c r="D28" s="9"/>
      <c r="E28" s="9">
        <v>615</v>
      </c>
      <c r="F28" s="9" t="s">
        <v>4</v>
      </c>
      <c r="G28" s="9"/>
      <c r="H28" s="9" t="s">
        <v>143</v>
      </c>
      <c r="I28" s="9" t="s">
        <v>213</v>
      </c>
      <c r="J28" s="11">
        <f>+Tabla38[[#This Row],[PESO NETO KGS]]*10.8</f>
        <v>334152</v>
      </c>
      <c r="K28" s="59">
        <v>1928</v>
      </c>
      <c r="L28" s="5"/>
      <c r="M28" s="5"/>
    </row>
    <row r="29" spans="1:13" ht="12.75" hidden="1" x14ac:dyDescent="0.2">
      <c r="A29" s="24" t="s">
        <v>237</v>
      </c>
      <c r="B29" s="20">
        <v>46092</v>
      </c>
      <c r="C29" s="10">
        <v>31030</v>
      </c>
      <c r="D29" s="9"/>
      <c r="E29" s="9">
        <v>600</v>
      </c>
      <c r="F29" s="9" t="s">
        <v>4</v>
      </c>
      <c r="G29" s="9"/>
      <c r="H29" s="9" t="s">
        <v>143</v>
      </c>
      <c r="I29" s="9" t="s">
        <v>217</v>
      </c>
      <c r="J29" s="11">
        <f>+Tabla38[[#This Row],[PESO NETO KGS]]*10.8</f>
        <v>335124</v>
      </c>
      <c r="K29" s="59">
        <v>1928</v>
      </c>
      <c r="L29" s="5"/>
      <c r="M29" s="5"/>
    </row>
    <row r="30" spans="1:13" ht="12.75" hidden="1" x14ac:dyDescent="0.2">
      <c r="A30" s="24" t="s">
        <v>238</v>
      </c>
      <c r="B30" s="20">
        <v>46092</v>
      </c>
      <c r="C30" s="10">
        <v>31500</v>
      </c>
      <c r="D30" s="9"/>
      <c r="E30" s="9">
        <v>600</v>
      </c>
      <c r="F30" s="9" t="s">
        <v>4</v>
      </c>
      <c r="G30" s="9"/>
      <c r="H30" s="9" t="s">
        <v>143</v>
      </c>
      <c r="I30" s="9" t="s">
        <v>231</v>
      </c>
      <c r="J30" s="11">
        <f>+Tabla38[[#This Row],[PESO NETO KGS]]*10.8</f>
        <v>340200</v>
      </c>
      <c r="K30" s="59">
        <v>1928</v>
      </c>
      <c r="L30" s="5"/>
      <c r="M30" s="5"/>
    </row>
    <row r="31" spans="1:13" ht="12.75" hidden="1" x14ac:dyDescent="0.2">
      <c r="A31" s="24" t="s">
        <v>239</v>
      </c>
      <c r="B31" s="20">
        <v>46092</v>
      </c>
      <c r="C31" s="10">
        <v>30240</v>
      </c>
      <c r="D31" s="9"/>
      <c r="E31" s="9">
        <v>600</v>
      </c>
      <c r="F31" s="9" t="s">
        <v>4</v>
      </c>
      <c r="G31" s="9"/>
      <c r="H31" s="9" t="s">
        <v>143</v>
      </c>
      <c r="I31" s="9" t="s">
        <v>211</v>
      </c>
      <c r="J31" s="11">
        <f>+Tabla38[[#This Row],[PESO NETO KGS]]*10.8</f>
        <v>326592</v>
      </c>
      <c r="K31" s="59">
        <v>1928</v>
      </c>
      <c r="L31" s="5"/>
      <c r="M31" s="5"/>
    </row>
    <row r="32" spans="1:13" ht="12.75" hidden="1" x14ac:dyDescent="0.2">
      <c r="A32" s="24" t="s">
        <v>240</v>
      </c>
      <c r="B32" s="20">
        <v>46092</v>
      </c>
      <c r="C32" s="10">
        <v>30870</v>
      </c>
      <c r="D32" s="9"/>
      <c r="E32" s="9">
        <v>600</v>
      </c>
      <c r="F32" s="9" t="s">
        <v>4</v>
      </c>
      <c r="G32" s="9"/>
      <c r="H32" s="9" t="s">
        <v>143</v>
      </c>
      <c r="I32" s="9" t="s">
        <v>241</v>
      </c>
      <c r="J32" s="11">
        <f>+Tabla38[[#This Row],[PESO NETO KGS]]*10.8</f>
        <v>333396</v>
      </c>
      <c r="K32" s="59">
        <v>1928</v>
      </c>
      <c r="L32" s="5"/>
      <c r="M32" s="5"/>
    </row>
    <row r="33" spans="1:14" ht="12.75" hidden="1" x14ac:dyDescent="0.2">
      <c r="A33" s="24" t="s">
        <v>242</v>
      </c>
      <c r="B33" s="20">
        <v>46093</v>
      </c>
      <c r="C33" s="10">
        <v>30040</v>
      </c>
      <c r="D33" s="9"/>
      <c r="E33" s="143">
        <v>596</v>
      </c>
      <c r="F33" s="9" t="s">
        <v>4</v>
      </c>
      <c r="G33" s="9"/>
      <c r="H33" s="9" t="s">
        <v>143</v>
      </c>
      <c r="I33" s="9" t="s">
        <v>215</v>
      </c>
      <c r="J33" s="11">
        <f>+Tabla38[[#This Row],[PESO NETO KGS]]*10.8</f>
        <v>324432</v>
      </c>
      <c r="K33" s="59">
        <v>1928</v>
      </c>
      <c r="L33" s="5"/>
      <c r="M33" s="5"/>
    </row>
    <row r="34" spans="1:14" ht="12.75" hidden="1" x14ac:dyDescent="0.2">
      <c r="A34" s="24" t="s">
        <v>243</v>
      </c>
      <c r="B34" s="20">
        <v>46093</v>
      </c>
      <c r="C34" s="10">
        <v>28040</v>
      </c>
      <c r="D34" s="9"/>
      <c r="E34" s="143">
        <v>546</v>
      </c>
      <c r="F34" s="9" t="s">
        <v>4</v>
      </c>
      <c r="G34" s="9"/>
      <c r="H34" s="9" t="s">
        <v>143</v>
      </c>
      <c r="I34" s="9" t="s">
        <v>213</v>
      </c>
      <c r="J34" s="11">
        <f>+Tabla38[[#This Row],[PESO NETO KGS]]*10.8</f>
        <v>302832</v>
      </c>
      <c r="K34" s="59">
        <v>1928</v>
      </c>
      <c r="L34" s="5"/>
      <c r="M34" s="5"/>
    </row>
    <row r="35" spans="1:14" ht="12.75" hidden="1" x14ac:dyDescent="0.2">
      <c r="A35" s="24" t="s">
        <v>244</v>
      </c>
      <c r="B35" s="20">
        <v>46093</v>
      </c>
      <c r="C35" s="10">
        <v>32110</v>
      </c>
      <c r="D35" s="9"/>
      <c r="E35" s="143">
        <v>632</v>
      </c>
      <c r="F35" s="9" t="s">
        <v>4</v>
      </c>
      <c r="G35" s="9"/>
      <c r="H35" s="9" t="s">
        <v>143</v>
      </c>
      <c r="I35" s="9" t="s">
        <v>217</v>
      </c>
      <c r="J35" s="11">
        <f>+Tabla38[[#This Row],[PESO NETO KGS]]*10.8</f>
        <v>346788</v>
      </c>
      <c r="K35" s="59">
        <v>1928</v>
      </c>
      <c r="L35" s="5"/>
      <c r="M35" s="5"/>
    </row>
    <row r="36" spans="1:14" ht="12.75" hidden="1" x14ac:dyDescent="0.2">
      <c r="A36" s="24" t="s">
        <v>245</v>
      </c>
      <c r="B36" s="20">
        <v>46093</v>
      </c>
      <c r="C36" s="10">
        <v>30410</v>
      </c>
      <c r="D36" s="9"/>
      <c r="E36" s="9">
        <v>600</v>
      </c>
      <c r="F36" s="9" t="s">
        <v>4</v>
      </c>
      <c r="G36" s="9"/>
      <c r="H36" s="9" t="s">
        <v>143</v>
      </c>
      <c r="I36" s="9" t="s">
        <v>231</v>
      </c>
      <c r="J36" s="11">
        <f>+Tabla38[[#This Row],[PESO NETO KGS]]*10.8</f>
        <v>328428</v>
      </c>
      <c r="K36" s="59">
        <v>1928</v>
      </c>
      <c r="L36" s="5"/>
      <c r="M36" s="5"/>
    </row>
    <row r="37" spans="1:14" ht="12.75" hidden="1" x14ac:dyDescent="0.2">
      <c r="A37" s="24" t="s">
        <v>246</v>
      </c>
      <c r="B37" s="20">
        <v>46093</v>
      </c>
      <c r="C37" s="10">
        <v>30550</v>
      </c>
      <c r="D37" s="9"/>
      <c r="E37" s="9">
        <v>600</v>
      </c>
      <c r="F37" s="9" t="s">
        <v>4</v>
      </c>
      <c r="G37" s="9"/>
      <c r="H37" s="9" t="s">
        <v>143</v>
      </c>
      <c r="I37" s="9" t="s">
        <v>211</v>
      </c>
      <c r="J37" s="11">
        <f>+Tabla38[[#This Row],[PESO NETO KGS]]*10.8</f>
        <v>329940</v>
      </c>
      <c r="K37" s="59">
        <v>1928</v>
      </c>
      <c r="L37" s="5"/>
      <c r="M37" s="5"/>
    </row>
    <row r="38" spans="1:14" ht="12.75" hidden="1" x14ac:dyDescent="0.2">
      <c r="A38" s="24" t="s">
        <v>247</v>
      </c>
      <c r="B38" s="20">
        <v>46093</v>
      </c>
      <c r="C38" s="10">
        <v>8320</v>
      </c>
      <c r="D38" s="9"/>
      <c r="E38" s="9">
        <v>168</v>
      </c>
      <c r="F38" s="9" t="s">
        <v>4</v>
      </c>
      <c r="G38" s="9"/>
      <c r="H38" s="9" t="s">
        <v>143</v>
      </c>
      <c r="I38" s="9" t="s">
        <v>215</v>
      </c>
      <c r="J38" s="11">
        <f>+Tabla38[[#This Row],[PESO NETO KGS]]*10.8</f>
        <v>89856</v>
      </c>
      <c r="K38" s="9">
        <v>1928</v>
      </c>
      <c r="L38" s="208" t="s">
        <v>253</v>
      </c>
      <c r="M38" s="209"/>
      <c r="N38" s="209"/>
    </row>
    <row r="39" spans="1:14" ht="12.75" hidden="1" x14ac:dyDescent="0.2">
      <c r="A39" s="24" t="s">
        <v>254</v>
      </c>
      <c r="B39" s="20">
        <v>46098</v>
      </c>
      <c r="C39" s="10">
        <v>15270</v>
      </c>
      <c r="D39" s="9"/>
      <c r="E39" s="9">
        <v>300</v>
      </c>
      <c r="F39" s="9" t="s">
        <v>4</v>
      </c>
      <c r="G39" s="9"/>
      <c r="H39" s="9" t="s">
        <v>143</v>
      </c>
      <c r="I39" s="9" t="s">
        <v>252</v>
      </c>
      <c r="J39" s="11">
        <f>+Tabla38[[#This Row],[PESO NETO KGS]]*10.8</f>
        <v>164916</v>
      </c>
      <c r="K39" s="9">
        <v>405</v>
      </c>
      <c r="L39" s="5"/>
      <c r="M39" s="5"/>
    </row>
    <row r="40" spans="1:14" ht="12.75" x14ac:dyDescent="0.2">
      <c r="A40" s="24" t="s">
        <v>255</v>
      </c>
      <c r="B40" s="20">
        <v>46098</v>
      </c>
      <c r="C40" s="10">
        <v>30610</v>
      </c>
      <c r="D40" s="9"/>
      <c r="E40" s="9">
        <v>600</v>
      </c>
      <c r="F40" s="9" t="s">
        <v>4</v>
      </c>
      <c r="G40" s="9"/>
      <c r="H40" s="9" t="s">
        <v>143</v>
      </c>
      <c r="I40" s="9" t="s">
        <v>211</v>
      </c>
      <c r="J40" s="11">
        <f>+Tabla38[[#This Row],[PESO NETO KGS]]*10.8</f>
        <v>330588</v>
      </c>
      <c r="K40" s="9">
        <v>405</v>
      </c>
      <c r="L40" s="5"/>
      <c r="M40" s="5"/>
    </row>
    <row r="41" spans="1:14" ht="12.75" x14ac:dyDescent="0.2">
      <c r="A41" s="24" t="s">
        <v>256</v>
      </c>
      <c r="B41" s="20">
        <v>46100</v>
      </c>
      <c r="C41" s="10">
        <v>29760</v>
      </c>
      <c r="D41" s="9"/>
      <c r="E41" s="9">
        <v>594</v>
      </c>
      <c r="F41" s="9" t="s">
        <v>4</v>
      </c>
      <c r="G41" s="9"/>
      <c r="H41" s="9" t="s">
        <v>143</v>
      </c>
      <c r="I41" s="9" t="s">
        <v>211</v>
      </c>
      <c r="J41" s="11">
        <f>+Tabla38[[#This Row],[PESO NETO KGS]]*10.8</f>
        <v>321408</v>
      </c>
      <c r="K41" s="9">
        <v>405</v>
      </c>
      <c r="L41" s="5"/>
      <c r="M41" s="5"/>
    </row>
    <row r="42" spans="1:14" ht="12.75" x14ac:dyDescent="0.2">
      <c r="A42" s="24" t="s">
        <v>257</v>
      </c>
      <c r="B42" s="20">
        <v>46100</v>
      </c>
      <c r="C42" s="10">
        <v>30990</v>
      </c>
      <c r="D42" s="9"/>
      <c r="E42" s="9">
        <v>600</v>
      </c>
      <c r="F42" s="9" t="s">
        <v>4</v>
      </c>
      <c r="G42" s="9"/>
      <c r="H42" s="9" t="s">
        <v>143</v>
      </c>
      <c r="I42" s="9" t="s">
        <v>211</v>
      </c>
      <c r="J42" s="11">
        <f>+Tabla38[[#This Row],[PESO NETO KGS]]*10.8</f>
        <v>334692</v>
      </c>
      <c r="K42" s="9">
        <v>405</v>
      </c>
      <c r="L42" s="5"/>
      <c r="M42" s="5"/>
    </row>
    <row r="43" spans="1:14" ht="12.75" x14ac:dyDescent="0.2">
      <c r="A43" s="24" t="s">
        <v>258</v>
      </c>
      <c r="B43" s="20">
        <v>46101</v>
      </c>
      <c r="C43" s="10">
        <v>31000</v>
      </c>
      <c r="D43" s="9"/>
      <c r="E43" s="9">
        <v>600</v>
      </c>
      <c r="F43" s="9" t="s">
        <v>4</v>
      </c>
      <c r="G43" s="9"/>
      <c r="H43" s="9" t="s">
        <v>143</v>
      </c>
      <c r="I43" s="9" t="s">
        <v>211</v>
      </c>
      <c r="J43" s="11">
        <f>+Tabla38[[#This Row],[PESO NETO KGS]]*10.8</f>
        <v>334800</v>
      </c>
      <c r="K43" s="9">
        <v>405</v>
      </c>
      <c r="L43" s="5"/>
      <c r="M43" s="5"/>
    </row>
    <row r="44" spans="1:14" ht="12.75" x14ac:dyDescent="0.2">
      <c r="A44" s="24" t="s">
        <v>259</v>
      </c>
      <c r="B44" s="20">
        <v>46103</v>
      </c>
      <c r="C44" s="10">
        <v>31080</v>
      </c>
      <c r="D44" s="9"/>
      <c r="E44" s="9">
        <v>600</v>
      </c>
      <c r="F44" s="9" t="s">
        <v>4</v>
      </c>
      <c r="G44" s="9"/>
      <c r="H44" s="9" t="s">
        <v>143</v>
      </c>
      <c r="I44" s="9" t="s">
        <v>211</v>
      </c>
      <c r="J44" s="11">
        <f>+Tabla38[[#This Row],[PESO NETO KGS]]*10.8</f>
        <v>335664</v>
      </c>
      <c r="K44" s="9">
        <v>405</v>
      </c>
      <c r="L44" s="5"/>
      <c r="M44" s="5"/>
    </row>
    <row r="45" spans="1:14" ht="12.75" hidden="1" x14ac:dyDescent="0.2">
      <c r="A45" s="24" t="s">
        <v>260</v>
      </c>
      <c r="B45" s="20">
        <v>46100</v>
      </c>
      <c r="C45" s="10">
        <v>12800</v>
      </c>
      <c r="D45" s="9"/>
      <c r="E45" s="9">
        <v>272</v>
      </c>
      <c r="F45" s="9" t="s">
        <v>4</v>
      </c>
      <c r="G45" s="9"/>
      <c r="H45" s="9" t="s">
        <v>143</v>
      </c>
      <c r="I45" s="9" t="s">
        <v>252</v>
      </c>
      <c r="J45" s="11">
        <f>+Tabla38[[#This Row],[PESO NETO KGS]]*10.8</f>
        <v>138240</v>
      </c>
      <c r="K45" s="9">
        <v>405</v>
      </c>
      <c r="L45" s="5"/>
      <c r="M45" s="5"/>
    </row>
    <row r="46" spans="1:14" ht="12.75" hidden="1" x14ac:dyDescent="0.2">
      <c r="A46" s="24" t="s">
        <v>261</v>
      </c>
      <c r="B46" s="20">
        <v>46100</v>
      </c>
      <c r="C46" s="10">
        <v>27440</v>
      </c>
      <c r="D46" s="9"/>
      <c r="E46" s="9">
        <v>538</v>
      </c>
      <c r="F46" s="9" t="s">
        <v>4</v>
      </c>
      <c r="G46" s="9"/>
      <c r="H46" s="9" t="s">
        <v>143</v>
      </c>
      <c r="I46" s="9" t="s">
        <v>262</v>
      </c>
      <c r="J46" s="11">
        <f>+Tabla38[[#This Row],[PESO NETO KGS]]*10.8</f>
        <v>296352</v>
      </c>
      <c r="K46" s="9">
        <v>405</v>
      </c>
      <c r="L46" s="5"/>
      <c r="M46" s="5"/>
    </row>
    <row r="47" spans="1:14" ht="12.75" x14ac:dyDescent="0.2">
      <c r="A47" s="24" t="s">
        <v>263</v>
      </c>
      <c r="B47" s="20">
        <v>46105</v>
      </c>
      <c r="C47" s="10">
        <v>31300</v>
      </c>
      <c r="D47" s="9"/>
      <c r="E47" s="9">
        <v>603</v>
      </c>
      <c r="F47" s="9" t="s">
        <v>4</v>
      </c>
      <c r="G47" s="9"/>
      <c r="H47" s="9" t="s">
        <v>143</v>
      </c>
      <c r="I47" s="9" t="s">
        <v>211</v>
      </c>
      <c r="J47" s="11">
        <f>+Tabla38[[#This Row],[PESO NETO KGS]]*10.8</f>
        <v>338040</v>
      </c>
      <c r="K47" s="9">
        <v>405</v>
      </c>
      <c r="L47" s="5"/>
      <c r="M47" s="5"/>
    </row>
    <row r="48" spans="1:14" ht="12.75" x14ac:dyDescent="0.2">
      <c r="A48" s="57" t="s">
        <v>264</v>
      </c>
      <c r="B48" s="20">
        <v>46106</v>
      </c>
      <c r="C48" s="10">
        <v>30820</v>
      </c>
      <c r="D48" s="9"/>
      <c r="E48" s="9">
        <v>600</v>
      </c>
      <c r="F48" s="9" t="s">
        <v>4</v>
      </c>
      <c r="G48" s="9"/>
      <c r="H48" s="9" t="s">
        <v>143</v>
      </c>
      <c r="I48" s="9" t="s">
        <v>211</v>
      </c>
      <c r="J48" s="11">
        <f>+Tabla38[[#This Row],[PESO NETO KGS]]*10.8</f>
        <v>332856</v>
      </c>
      <c r="K48" s="9">
        <v>405</v>
      </c>
      <c r="L48" s="5"/>
      <c r="M48" s="5"/>
    </row>
    <row r="49" spans="1:13" ht="12.75" x14ac:dyDescent="0.2">
      <c r="A49" s="57" t="s">
        <v>265</v>
      </c>
      <c r="B49" s="20">
        <v>46108</v>
      </c>
      <c r="C49" s="10">
        <v>30740</v>
      </c>
      <c r="D49" s="9"/>
      <c r="E49" s="9">
        <v>600</v>
      </c>
      <c r="F49" s="9" t="s">
        <v>4</v>
      </c>
      <c r="G49" s="9"/>
      <c r="H49" s="9" t="s">
        <v>143</v>
      </c>
      <c r="I49" s="9" t="s">
        <v>211</v>
      </c>
      <c r="J49" s="11">
        <f>+Tabla38[[#This Row],[PESO NETO KGS]]*10.8</f>
        <v>331992</v>
      </c>
      <c r="K49" s="9">
        <v>405</v>
      </c>
      <c r="L49" s="5"/>
      <c r="M49" s="5"/>
    </row>
    <row r="50" spans="1:13" ht="12.75" x14ac:dyDescent="0.2">
      <c r="A50" s="24" t="s">
        <v>266</v>
      </c>
      <c r="B50" s="20">
        <v>46099</v>
      </c>
      <c r="C50" s="10">
        <v>30920</v>
      </c>
      <c r="D50" s="9"/>
      <c r="E50" s="9">
        <v>595</v>
      </c>
      <c r="F50" s="9" t="s">
        <v>4</v>
      </c>
      <c r="G50" s="9"/>
      <c r="H50" s="9" t="s">
        <v>143</v>
      </c>
      <c r="I50" s="9" t="s">
        <v>217</v>
      </c>
      <c r="J50" s="11">
        <f>+Tabla38[[#This Row],[PESO NETO KGS]]*10.8</f>
        <v>333936</v>
      </c>
      <c r="K50" s="9">
        <v>405</v>
      </c>
      <c r="L50" s="5"/>
      <c r="M50" s="5"/>
    </row>
    <row r="51" spans="1:13" ht="12.75" hidden="1" x14ac:dyDescent="0.2">
      <c r="A51" s="24" t="s">
        <v>267</v>
      </c>
      <c r="B51" s="20">
        <v>46101</v>
      </c>
      <c r="C51" s="10">
        <v>4897</v>
      </c>
      <c r="D51" s="9"/>
      <c r="E51" s="9">
        <v>96</v>
      </c>
      <c r="F51" s="9" t="s">
        <v>4</v>
      </c>
      <c r="G51" s="9"/>
      <c r="H51" s="9" t="s">
        <v>143</v>
      </c>
      <c r="I51" s="9" t="s">
        <v>262</v>
      </c>
      <c r="J51" s="11">
        <f>+Tabla38[[#This Row],[PESO NETO KGS]]*10.8</f>
        <v>52887.600000000006</v>
      </c>
      <c r="K51" s="9">
        <v>405</v>
      </c>
      <c r="L51" s="5"/>
      <c r="M51" s="5"/>
    </row>
    <row r="52" spans="1:13" ht="12.75" hidden="1" x14ac:dyDescent="0.2">
      <c r="A52" s="24" t="s">
        <v>267</v>
      </c>
      <c r="B52" s="20">
        <v>46118</v>
      </c>
      <c r="C52" s="10">
        <v>25693</v>
      </c>
      <c r="D52" s="9"/>
      <c r="E52" s="9">
        <v>504</v>
      </c>
      <c r="F52" s="9" t="s">
        <v>4</v>
      </c>
      <c r="G52" s="9"/>
      <c r="H52" s="9" t="s">
        <v>143</v>
      </c>
      <c r="I52" s="9" t="s">
        <v>262</v>
      </c>
      <c r="J52" s="11">
        <f>+Tabla38[[#This Row],[PESO NETO KGS]]*10.8</f>
        <v>277484.40000000002</v>
      </c>
      <c r="K52" s="9">
        <v>405</v>
      </c>
      <c r="L52" s="5"/>
      <c r="M52" s="5"/>
    </row>
    <row r="53" spans="1:13" ht="12.75" x14ac:dyDescent="0.2">
      <c r="A53" s="24" t="s">
        <v>268</v>
      </c>
      <c r="B53" s="20">
        <v>46101</v>
      </c>
      <c r="C53" s="10">
        <v>11276</v>
      </c>
      <c r="D53" s="9"/>
      <c r="E53" s="9">
        <v>222</v>
      </c>
      <c r="F53" s="9" t="s">
        <v>4</v>
      </c>
      <c r="G53" s="9"/>
      <c r="H53" s="9" t="s">
        <v>143</v>
      </c>
      <c r="I53" s="9" t="s">
        <v>217</v>
      </c>
      <c r="J53" s="11">
        <f>+Tabla38[[#This Row],[PESO NETO KGS]]*10.8</f>
        <v>121780.8</v>
      </c>
      <c r="K53" s="9">
        <v>405</v>
      </c>
      <c r="L53" s="5"/>
      <c r="M53" s="5"/>
    </row>
    <row r="54" spans="1:13" ht="12.75" x14ac:dyDescent="0.2">
      <c r="A54" s="24" t="s">
        <v>268</v>
      </c>
      <c r="B54" s="20">
        <v>46118</v>
      </c>
      <c r="C54" s="10">
        <v>19194</v>
      </c>
      <c r="D54" s="9"/>
      <c r="E54" s="9">
        <v>378</v>
      </c>
      <c r="F54" s="9" t="s">
        <v>4</v>
      </c>
      <c r="G54" s="9"/>
      <c r="H54" s="9" t="s">
        <v>143</v>
      </c>
      <c r="I54" s="9" t="s">
        <v>217</v>
      </c>
      <c r="J54" s="11">
        <f>+Tabla38[[#This Row],[PESO NETO KGS]]*10.8</f>
        <v>207295.2</v>
      </c>
      <c r="K54" s="9">
        <v>405</v>
      </c>
      <c r="L54" s="5"/>
      <c r="M54" s="5"/>
    </row>
    <row r="55" spans="1:13" ht="12.75" x14ac:dyDescent="0.2">
      <c r="A55" s="24" t="s">
        <v>269</v>
      </c>
      <c r="B55" s="20">
        <v>46102</v>
      </c>
      <c r="C55" s="10">
        <v>1530</v>
      </c>
      <c r="D55" s="9"/>
      <c r="E55" s="9">
        <v>30</v>
      </c>
      <c r="F55" s="9" t="s">
        <v>4</v>
      </c>
      <c r="G55" s="9"/>
      <c r="H55" s="9" t="s">
        <v>143</v>
      </c>
      <c r="I55" s="9" t="s">
        <v>217</v>
      </c>
      <c r="J55" s="11">
        <f>+Tabla38[[#This Row],[PESO NETO KGS]]*10.8</f>
        <v>16524</v>
      </c>
      <c r="K55" s="9">
        <v>405</v>
      </c>
      <c r="L55" s="5"/>
      <c r="M55" s="5"/>
    </row>
    <row r="56" spans="1:13" ht="12.75" x14ac:dyDescent="0.2">
      <c r="A56" s="24" t="s">
        <v>269</v>
      </c>
      <c r="B56" s="20">
        <v>46118</v>
      </c>
      <c r="C56" s="10">
        <v>7952</v>
      </c>
      <c r="D56" s="9"/>
      <c r="E56" s="9">
        <v>156</v>
      </c>
      <c r="F56" s="9" t="s">
        <v>4</v>
      </c>
      <c r="G56" s="9"/>
      <c r="H56" s="9" t="s">
        <v>143</v>
      </c>
      <c r="I56" s="9" t="s">
        <v>217</v>
      </c>
      <c r="J56" s="11">
        <f>+Tabla38[[#This Row],[PESO NETO KGS]]*10.8</f>
        <v>85881.600000000006</v>
      </c>
      <c r="K56" s="9">
        <v>405</v>
      </c>
      <c r="L56" s="5"/>
      <c r="M56" s="5"/>
    </row>
    <row r="57" spans="1:13" ht="12.75" x14ac:dyDescent="0.2">
      <c r="A57" s="24" t="s">
        <v>269</v>
      </c>
      <c r="B57" s="20">
        <v>46102</v>
      </c>
      <c r="C57" s="10">
        <v>21108</v>
      </c>
      <c r="D57" s="9"/>
      <c r="E57" s="9">
        <v>414</v>
      </c>
      <c r="F57" s="9" t="s">
        <v>4</v>
      </c>
      <c r="G57" s="9"/>
      <c r="H57" s="9" t="s">
        <v>143</v>
      </c>
      <c r="I57" s="9" t="s">
        <v>217</v>
      </c>
      <c r="J57" s="11">
        <f>+Tabla38[[#This Row],[PESO NETO KGS]]*10.8</f>
        <v>227966.40000000002</v>
      </c>
      <c r="K57" s="9">
        <v>405</v>
      </c>
      <c r="L57" s="5"/>
      <c r="M57" s="5"/>
    </row>
    <row r="58" spans="1:13" ht="12.75" x14ac:dyDescent="0.2">
      <c r="A58" s="24" t="s">
        <v>270</v>
      </c>
      <c r="B58" s="20">
        <v>46104</v>
      </c>
      <c r="C58" s="10">
        <v>30800</v>
      </c>
      <c r="D58" s="9"/>
      <c r="E58" s="9">
        <v>600</v>
      </c>
      <c r="F58" s="9" t="s">
        <v>4</v>
      </c>
      <c r="G58" s="9"/>
      <c r="H58" s="9" t="s">
        <v>143</v>
      </c>
      <c r="I58" s="9" t="s">
        <v>217</v>
      </c>
      <c r="J58" s="11">
        <f>+Tabla38[[#This Row],[PESO NETO KGS]]*10.8</f>
        <v>332640</v>
      </c>
      <c r="K58" s="9">
        <v>405</v>
      </c>
      <c r="L58" s="5"/>
      <c r="M58" s="5"/>
    </row>
    <row r="59" spans="1:13" ht="12.75" hidden="1" x14ac:dyDescent="0.2">
      <c r="A59" s="92" t="s">
        <v>271</v>
      </c>
      <c r="B59" s="20">
        <v>46102</v>
      </c>
      <c r="C59" s="10">
        <v>27220</v>
      </c>
      <c r="D59" s="9"/>
      <c r="E59" s="9">
        <v>523</v>
      </c>
      <c r="F59" s="9" t="s">
        <v>4</v>
      </c>
      <c r="G59" s="9"/>
      <c r="H59" s="9" t="s">
        <v>143</v>
      </c>
      <c r="I59" s="9" t="s">
        <v>262</v>
      </c>
      <c r="J59" s="11">
        <f>+Tabla38[[#This Row],[PESO NETO KGS]]*10.8</f>
        <v>293976</v>
      </c>
      <c r="K59" s="9">
        <v>405</v>
      </c>
      <c r="L59" s="5"/>
      <c r="M59" s="5"/>
    </row>
    <row r="60" spans="1:13" ht="12.75" hidden="1" x14ac:dyDescent="0.2">
      <c r="A60" s="57" t="s">
        <v>272</v>
      </c>
      <c r="B60" s="20">
        <v>46102</v>
      </c>
      <c r="C60" s="10">
        <v>31260</v>
      </c>
      <c r="D60" s="9"/>
      <c r="E60" s="9">
        <v>600</v>
      </c>
      <c r="F60" s="9" t="s">
        <v>4</v>
      </c>
      <c r="G60" s="9"/>
      <c r="H60" s="9" t="s">
        <v>143</v>
      </c>
      <c r="I60" s="9" t="s">
        <v>273</v>
      </c>
      <c r="J60" s="11">
        <f>+Tabla38[[#This Row],[PESO NETO KGS]]*10.8</f>
        <v>337608</v>
      </c>
      <c r="K60" s="9">
        <v>405</v>
      </c>
      <c r="L60" s="5"/>
      <c r="M60" s="5"/>
    </row>
    <row r="61" spans="1:13" ht="12.75" x14ac:dyDescent="0.2">
      <c r="A61" s="57" t="s">
        <v>274</v>
      </c>
      <c r="B61" s="20">
        <v>46106</v>
      </c>
      <c r="C61" s="10">
        <v>31270</v>
      </c>
      <c r="D61" s="9"/>
      <c r="E61" s="9">
        <v>604</v>
      </c>
      <c r="F61" s="9" t="s">
        <v>4</v>
      </c>
      <c r="G61" s="9"/>
      <c r="H61" s="9" t="s">
        <v>143</v>
      </c>
      <c r="I61" s="9" t="s">
        <v>217</v>
      </c>
      <c r="J61" s="11">
        <f>+Tabla38[[#This Row],[PESO NETO KGS]]*10.8</f>
        <v>337716</v>
      </c>
      <c r="K61" s="9">
        <v>405</v>
      </c>
      <c r="L61" s="5"/>
      <c r="M61" s="5"/>
    </row>
    <row r="62" spans="1:13" ht="12.75" hidden="1" x14ac:dyDescent="0.2">
      <c r="A62" s="91" t="s">
        <v>275</v>
      </c>
      <c r="B62" s="102">
        <v>46103</v>
      </c>
      <c r="C62" s="83">
        <v>28920</v>
      </c>
      <c r="D62" s="33"/>
      <c r="E62" s="33">
        <v>569</v>
      </c>
      <c r="F62" s="9" t="s">
        <v>4</v>
      </c>
      <c r="G62" s="9"/>
      <c r="H62" s="9" t="s">
        <v>143</v>
      </c>
      <c r="I62" s="33" t="s">
        <v>276</v>
      </c>
      <c r="J62" s="11">
        <f>+Tabla38[[#This Row],[PESO NETO KGS]]*10.8</f>
        <v>312336</v>
      </c>
      <c r="K62" s="9">
        <v>405</v>
      </c>
      <c r="L62" s="5"/>
      <c r="M62" s="5"/>
    </row>
    <row r="63" spans="1:13" ht="12.75" x14ac:dyDescent="0.2">
      <c r="A63" s="145" t="s">
        <v>277</v>
      </c>
      <c r="B63" s="102">
        <v>46107</v>
      </c>
      <c r="C63" s="83">
        <v>30790</v>
      </c>
      <c r="D63" s="33"/>
      <c r="E63" s="33">
        <v>600</v>
      </c>
      <c r="F63" s="9" t="s">
        <v>4</v>
      </c>
      <c r="G63" s="9"/>
      <c r="H63" s="9" t="s">
        <v>143</v>
      </c>
      <c r="I63" s="33" t="s">
        <v>217</v>
      </c>
      <c r="J63" s="11">
        <f>+Tabla38[[#This Row],[PESO NETO KGS]]*10.8</f>
        <v>332532</v>
      </c>
      <c r="K63" s="9">
        <v>405</v>
      </c>
      <c r="L63" s="5"/>
      <c r="M63" s="5"/>
    </row>
    <row r="64" spans="1:13" ht="12.75" x14ac:dyDescent="0.2">
      <c r="A64" s="91" t="s">
        <v>278</v>
      </c>
      <c r="B64" s="102">
        <v>46099</v>
      </c>
      <c r="C64" s="83">
        <v>17790</v>
      </c>
      <c r="D64" s="33"/>
      <c r="E64" s="33">
        <v>354</v>
      </c>
      <c r="F64" s="9" t="s">
        <v>4</v>
      </c>
      <c r="G64" s="9"/>
      <c r="H64" s="9" t="s">
        <v>143</v>
      </c>
      <c r="I64" s="33" t="s">
        <v>231</v>
      </c>
      <c r="J64" s="11">
        <f>+Tabla38[[#This Row],[PESO NETO KGS]]*10.8</f>
        <v>192132</v>
      </c>
      <c r="K64" s="9">
        <v>405</v>
      </c>
      <c r="L64" s="5"/>
      <c r="M64" s="5"/>
    </row>
    <row r="65" spans="1:13" ht="12.75" hidden="1" x14ac:dyDescent="0.2">
      <c r="A65" s="91" t="s">
        <v>279</v>
      </c>
      <c r="B65" s="102">
        <v>46105</v>
      </c>
      <c r="C65" s="83">
        <v>27580</v>
      </c>
      <c r="D65" s="33"/>
      <c r="E65" s="33">
        <v>540</v>
      </c>
      <c r="F65" s="9" t="s">
        <v>4</v>
      </c>
      <c r="G65" s="9"/>
      <c r="H65" s="9" t="s">
        <v>143</v>
      </c>
      <c r="I65" s="33" t="s">
        <v>262</v>
      </c>
      <c r="J65" s="11">
        <f>+Tabla38[[#This Row],[PESO NETO KGS]]*10.8</f>
        <v>297864</v>
      </c>
      <c r="K65" s="9">
        <v>405</v>
      </c>
      <c r="L65" s="5"/>
      <c r="M65" s="5"/>
    </row>
    <row r="66" spans="1:13" ht="12.75" hidden="1" x14ac:dyDescent="0.2">
      <c r="A66" s="91" t="s">
        <v>280</v>
      </c>
      <c r="B66" s="102">
        <v>46105</v>
      </c>
      <c r="C66" s="83">
        <v>8780</v>
      </c>
      <c r="D66" s="33"/>
      <c r="E66" s="33">
        <v>172</v>
      </c>
      <c r="F66" s="9" t="s">
        <v>4</v>
      </c>
      <c r="G66" s="9"/>
      <c r="H66" s="9" t="s">
        <v>143</v>
      </c>
      <c r="I66" s="33" t="s">
        <v>273</v>
      </c>
      <c r="J66" s="11">
        <f>+Tabla38[[#This Row],[PESO NETO KGS]]*10.8</f>
        <v>94824</v>
      </c>
      <c r="K66" s="9">
        <v>405</v>
      </c>
      <c r="L66" s="5"/>
      <c r="M66" s="5"/>
    </row>
    <row r="67" spans="1:13" ht="12.75" x14ac:dyDescent="0.2">
      <c r="A67" s="91" t="s">
        <v>281</v>
      </c>
      <c r="B67" s="102">
        <v>46100</v>
      </c>
      <c r="C67" s="83">
        <v>30430</v>
      </c>
      <c r="D67" s="33"/>
      <c r="E67" s="33">
        <v>600</v>
      </c>
      <c r="F67" s="9" t="s">
        <v>4</v>
      </c>
      <c r="G67" s="9"/>
      <c r="H67" s="9" t="s">
        <v>143</v>
      </c>
      <c r="I67" s="33" t="s">
        <v>231</v>
      </c>
      <c r="J67" s="11">
        <f>+Tabla38[[#This Row],[PESO NETO KGS]]*10.8</f>
        <v>328644</v>
      </c>
      <c r="K67" s="9">
        <v>405</v>
      </c>
      <c r="L67" s="5"/>
      <c r="M67" s="5"/>
    </row>
    <row r="68" spans="1:13" ht="12.75" hidden="1" x14ac:dyDescent="0.2">
      <c r="A68" s="91" t="s">
        <v>282</v>
      </c>
      <c r="B68" s="102">
        <v>46105</v>
      </c>
      <c r="C68" s="83">
        <v>30920</v>
      </c>
      <c r="D68" s="33"/>
      <c r="E68" s="33">
        <v>600</v>
      </c>
      <c r="F68" s="9" t="s">
        <v>4</v>
      </c>
      <c r="G68" s="9"/>
      <c r="H68" s="9" t="s">
        <v>143</v>
      </c>
      <c r="I68" s="33" t="s">
        <v>276</v>
      </c>
      <c r="J68" s="11">
        <f>+Tabla38[[#This Row],[PESO NETO KGS]]*10.8</f>
        <v>333936</v>
      </c>
      <c r="K68" s="9">
        <v>405</v>
      </c>
      <c r="L68" s="5"/>
      <c r="M68" s="5"/>
    </row>
    <row r="69" spans="1:13" ht="12.75" x14ac:dyDescent="0.2">
      <c r="A69" s="91" t="s">
        <v>283</v>
      </c>
      <c r="B69" s="102">
        <v>46101</v>
      </c>
      <c r="C69" s="83">
        <v>30690</v>
      </c>
      <c r="D69" s="33"/>
      <c r="E69" s="33">
        <v>600</v>
      </c>
      <c r="F69" s="9" t="s">
        <v>4</v>
      </c>
      <c r="G69" s="9"/>
      <c r="H69" s="9" t="s">
        <v>143</v>
      </c>
      <c r="I69" s="33" t="s">
        <v>231</v>
      </c>
      <c r="J69" s="11">
        <f>+Tabla38[[#This Row],[PESO NETO KGS]]*10.8</f>
        <v>331452</v>
      </c>
      <c r="K69" s="9">
        <v>405</v>
      </c>
      <c r="L69" s="5"/>
      <c r="M69" s="5"/>
    </row>
    <row r="70" spans="1:13" ht="12.75" hidden="1" x14ac:dyDescent="0.2">
      <c r="A70" s="91" t="s">
        <v>284</v>
      </c>
      <c r="B70" s="102">
        <v>46106</v>
      </c>
      <c r="C70" s="83">
        <v>31040</v>
      </c>
      <c r="D70" s="33"/>
      <c r="E70" s="33">
        <v>600</v>
      </c>
      <c r="F70" s="9" t="s">
        <v>4</v>
      </c>
      <c r="G70" s="9"/>
      <c r="H70" s="9" t="s">
        <v>143</v>
      </c>
      <c r="I70" s="33" t="s">
        <v>273</v>
      </c>
      <c r="J70" s="11">
        <f>+Tabla38[[#This Row],[PESO NETO KGS]]*10.8</f>
        <v>335232</v>
      </c>
      <c r="K70" s="9">
        <v>405</v>
      </c>
      <c r="L70" s="5"/>
      <c r="M70" s="5"/>
    </row>
    <row r="71" spans="1:13" ht="12.75" x14ac:dyDescent="0.2">
      <c r="A71" s="24" t="s">
        <v>285</v>
      </c>
      <c r="B71" s="20">
        <v>46101</v>
      </c>
      <c r="C71" s="10">
        <v>30950</v>
      </c>
      <c r="D71" s="9"/>
      <c r="E71" s="9">
        <v>600</v>
      </c>
      <c r="F71" s="9" t="s">
        <v>4</v>
      </c>
      <c r="G71" s="9"/>
      <c r="H71" s="9" t="s">
        <v>143</v>
      </c>
      <c r="I71" s="9" t="s">
        <v>231</v>
      </c>
      <c r="J71" s="11">
        <f>+Tabla38[[#This Row],[PESO NETO KGS]]*10.8</f>
        <v>334260</v>
      </c>
      <c r="K71" s="9">
        <v>405</v>
      </c>
      <c r="L71" s="5"/>
      <c r="M71" s="5"/>
    </row>
    <row r="72" spans="1:13" ht="12.75" hidden="1" x14ac:dyDescent="0.2">
      <c r="A72" s="57" t="s">
        <v>286</v>
      </c>
      <c r="B72" s="20">
        <v>46106</v>
      </c>
      <c r="C72" s="10">
        <v>29730</v>
      </c>
      <c r="D72" s="9"/>
      <c r="E72" s="9">
        <v>568</v>
      </c>
      <c r="F72" s="9" t="s">
        <v>4</v>
      </c>
      <c r="G72" s="9"/>
      <c r="H72" s="9" t="s">
        <v>143</v>
      </c>
      <c r="I72" s="9" t="s">
        <v>262</v>
      </c>
      <c r="J72" s="11">
        <f>+Tabla38[[#This Row],[PESO NETO KGS]]*10.8</f>
        <v>321084</v>
      </c>
      <c r="K72" s="9">
        <v>405</v>
      </c>
      <c r="L72" s="5"/>
      <c r="M72" s="5"/>
    </row>
    <row r="73" spans="1:13" ht="12.75" x14ac:dyDescent="0.2">
      <c r="A73" s="57" t="s">
        <v>287</v>
      </c>
      <c r="B73" s="20">
        <v>46106</v>
      </c>
      <c r="C73" s="10">
        <v>31160</v>
      </c>
      <c r="D73" s="9"/>
      <c r="E73" s="9">
        <v>600</v>
      </c>
      <c r="F73" s="9" t="s">
        <v>4</v>
      </c>
      <c r="G73" s="9"/>
      <c r="H73" s="9" t="s">
        <v>143</v>
      </c>
      <c r="I73" s="9" t="s">
        <v>231</v>
      </c>
      <c r="J73" s="11">
        <f>+Tabla38[[#This Row],[PESO NETO KGS]]*10.8</f>
        <v>336528</v>
      </c>
      <c r="K73" s="9">
        <v>405</v>
      </c>
      <c r="L73" s="5"/>
      <c r="M73" s="5"/>
    </row>
    <row r="74" spans="1:13" ht="12.75" hidden="1" x14ac:dyDescent="0.2">
      <c r="A74" s="57" t="s">
        <v>288</v>
      </c>
      <c r="B74" s="20">
        <v>46106</v>
      </c>
      <c r="C74" s="10">
        <v>31290</v>
      </c>
      <c r="D74" s="9"/>
      <c r="E74" s="9">
        <v>600</v>
      </c>
      <c r="F74" s="9" t="s">
        <v>4</v>
      </c>
      <c r="G74" s="9"/>
      <c r="H74" s="9" t="s">
        <v>143</v>
      </c>
      <c r="I74" s="9" t="s">
        <v>276</v>
      </c>
      <c r="J74" s="11">
        <f>+Tabla38[[#This Row],[PESO NETO KGS]]*10.8</f>
        <v>337932</v>
      </c>
      <c r="K74" s="9">
        <v>405</v>
      </c>
      <c r="L74" s="5"/>
      <c r="M74" s="5"/>
    </row>
    <row r="75" spans="1:13" ht="12.75" x14ac:dyDescent="0.2">
      <c r="A75" s="57" t="s">
        <v>289</v>
      </c>
      <c r="B75" s="20">
        <v>46108</v>
      </c>
      <c r="C75" s="10">
        <v>30560</v>
      </c>
      <c r="D75" s="9"/>
      <c r="E75" s="9">
        <v>600</v>
      </c>
      <c r="F75" s="9" t="s">
        <v>4</v>
      </c>
      <c r="G75" s="9"/>
      <c r="H75" s="9" t="s">
        <v>143</v>
      </c>
      <c r="I75" s="9" t="s">
        <v>231</v>
      </c>
      <c r="J75" s="11">
        <f>+Tabla38[[#This Row],[PESO NETO KGS]]*10.8</f>
        <v>330048</v>
      </c>
      <c r="K75" s="9">
        <v>405</v>
      </c>
      <c r="L75" s="5"/>
      <c r="M75" s="5"/>
    </row>
    <row r="76" spans="1:13" ht="12.75" x14ac:dyDescent="0.2">
      <c r="A76" s="24" t="s">
        <v>290</v>
      </c>
      <c r="B76" s="20">
        <v>46102</v>
      </c>
      <c r="C76" s="10">
        <v>30590</v>
      </c>
      <c r="D76" s="9"/>
      <c r="E76" s="9">
        <v>601</v>
      </c>
      <c r="F76" s="9" t="s">
        <v>4</v>
      </c>
      <c r="G76" s="9"/>
      <c r="H76" s="9" t="s">
        <v>143</v>
      </c>
      <c r="I76" s="9" t="s">
        <v>215</v>
      </c>
      <c r="J76" s="11">
        <f>+Tabla38[[#This Row],[PESO NETO KGS]]*10.8</f>
        <v>330372</v>
      </c>
      <c r="K76" s="9">
        <v>405</v>
      </c>
      <c r="L76" s="5"/>
      <c r="M76" s="5"/>
    </row>
    <row r="77" spans="1:13" ht="12.75" x14ac:dyDescent="0.2">
      <c r="A77" s="24" t="s">
        <v>291</v>
      </c>
      <c r="B77" s="20">
        <v>46104</v>
      </c>
      <c r="C77" s="10">
        <v>31200</v>
      </c>
      <c r="D77" s="9"/>
      <c r="E77" s="9">
        <v>600</v>
      </c>
      <c r="F77" s="9" t="s">
        <v>4</v>
      </c>
      <c r="G77" s="9"/>
      <c r="H77" s="9" t="s">
        <v>143</v>
      </c>
      <c r="I77" s="9" t="s">
        <v>215</v>
      </c>
      <c r="J77" s="11">
        <f>+Tabla38[[#This Row],[PESO NETO KGS]]*10.8</f>
        <v>336960</v>
      </c>
      <c r="K77" s="9">
        <v>405</v>
      </c>
      <c r="L77" s="5"/>
      <c r="M77" s="5"/>
    </row>
    <row r="78" spans="1:13" ht="12.75" hidden="1" x14ac:dyDescent="0.2">
      <c r="A78" s="57" t="s">
        <v>292</v>
      </c>
      <c r="B78" s="20">
        <v>46107</v>
      </c>
      <c r="C78" s="10">
        <v>30530</v>
      </c>
      <c r="D78" s="9"/>
      <c r="E78" s="9">
        <v>594</v>
      </c>
      <c r="F78" s="9" t="s">
        <v>4</v>
      </c>
      <c r="G78" s="9"/>
      <c r="H78" s="9" t="s">
        <v>143</v>
      </c>
      <c r="I78" s="9" t="s">
        <v>273</v>
      </c>
      <c r="J78" s="11">
        <f>+Tabla38[[#This Row],[PESO NETO KGS]]*10.8</f>
        <v>329724</v>
      </c>
      <c r="K78" s="9">
        <v>405</v>
      </c>
      <c r="L78" s="5"/>
      <c r="M78" s="5"/>
    </row>
    <row r="79" spans="1:13" ht="12.75" hidden="1" x14ac:dyDescent="0.2">
      <c r="A79" s="57" t="s">
        <v>293</v>
      </c>
      <c r="B79" s="20">
        <v>46108</v>
      </c>
      <c r="C79" s="10">
        <v>30030</v>
      </c>
      <c r="D79" s="9"/>
      <c r="E79" s="9">
        <v>587</v>
      </c>
      <c r="F79" s="9" t="s">
        <v>4</v>
      </c>
      <c r="G79" s="9"/>
      <c r="H79" s="9" t="s">
        <v>143</v>
      </c>
      <c r="I79" s="9" t="s">
        <v>262</v>
      </c>
      <c r="J79" s="11">
        <f>+Tabla38[[#This Row],[PESO NETO KGS]]*10.8</f>
        <v>324324</v>
      </c>
      <c r="K79" s="9">
        <v>405</v>
      </c>
      <c r="L79" s="5"/>
      <c r="M79" s="5"/>
    </row>
    <row r="80" spans="1:13" ht="12.75" x14ac:dyDescent="0.2">
      <c r="A80" s="24" t="s">
        <v>294</v>
      </c>
      <c r="B80" s="20">
        <v>46105</v>
      </c>
      <c r="C80" s="10">
        <v>31380</v>
      </c>
      <c r="D80" s="9"/>
      <c r="E80" s="9">
        <v>600</v>
      </c>
      <c r="F80" s="9" t="s">
        <v>4</v>
      </c>
      <c r="G80" s="9"/>
      <c r="H80" s="9" t="s">
        <v>143</v>
      </c>
      <c r="I80" s="9" t="s">
        <v>215</v>
      </c>
      <c r="J80" s="11">
        <f>+Tabla38[[#This Row],[PESO NETO KGS]]*10.8</f>
        <v>338904</v>
      </c>
      <c r="K80" s="9">
        <v>405</v>
      </c>
      <c r="L80" s="5"/>
      <c r="M80" s="5"/>
    </row>
    <row r="81" spans="1:13" ht="12.75" x14ac:dyDescent="0.2">
      <c r="A81" s="57" t="s">
        <v>295</v>
      </c>
      <c r="B81" s="20">
        <v>46106</v>
      </c>
      <c r="C81" s="10">
        <v>31240</v>
      </c>
      <c r="D81" s="9"/>
      <c r="E81" s="9">
        <v>600</v>
      </c>
      <c r="F81" s="9" t="s">
        <v>4</v>
      </c>
      <c r="G81" s="9"/>
      <c r="H81" s="9" t="s">
        <v>143</v>
      </c>
      <c r="I81" s="9" t="s">
        <v>215</v>
      </c>
      <c r="J81" s="11">
        <f>+Tabla38[[#This Row],[PESO NETO KGS]]*10.8</f>
        <v>337392</v>
      </c>
      <c r="K81" s="9">
        <v>405</v>
      </c>
      <c r="L81" s="5"/>
      <c r="M81" s="5"/>
    </row>
    <row r="82" spans="1:13" ht="12.75" x14ac:dyDescent="0.2">
      <c r="A82" s="57" t="s">
        <v>296</v>
      </c>
      <c r="B82" s="20">
        <v>46108</v>
      </c>
      <c r="C82" s="10">
        <v>30890</v>
      </c>
      <c r="D82" s="9"/>
      <c r="E82" s="9">
        <v>602</v>
      </c>
      <c r="F82" s="9" t="s">
        <v>4</v>
      </c>
      <c r="G82" s="9"/>
      <c r="H82" s="9" t="s">
        <v>143</v>
      </c>
      <c r="I82" s="9" t="s">
        <v>215</v>
      </c>
      <c r="J82" s="11">
        <f>+Tabla38[[#This Row],[PESO NETO KGS]]*10.8</f>
        <v>333612</v>
      </c>
      <c r="K82" s="9">
        <v>405</v>
      </c>
      <c r="L82" s="5"/>
      <c r="M82" s="5"/>
    </row>
    <row r="83" spans="1:13" ht="12.75" hidden="1" x14ac:dyDescent="0.2">
      <c r="A83" s="57" t="s">
        <v>297</v>
      </c>
      <c r="B83" s="20">
        <v>46108</v>
      </c>
      <c r="C83" s="10">
        <v>6170</v>
      </c>
      <c r="D83" s="9"/>
      <c r="E83" s="9">
        <v>117</v>
      </c>
      <c r="F83" s="9" t="s">
        <v>4</v>
      </c>
      <c r="G83" s="9"/>
      <c r="H83" s="9" t="s">
        <v>143</v>
      </c>
      <c r="I83" s="9" t="s">
        <v>298</v>
      </c>
      <c r="J83" s="11">
        <f>+Tabla38[[#This Row],[PESO NETO KGS]]*10.8</f>
        <v>66636</v>
      </c>
      <c r="K83" s="9">
        <v>405</v>
      </c>
      <c r="L83" s="5"/>
      <c r="M83" s="5"/>
    </row>
    <row r="84" spans="1:13" ht="12.75" hidden="1" x14ac:dyDescent="0.2">
      <c r="A84" s="57" t="s">
        <v>299</v>
      </c>
      <c r="B84" s="20">
        <v>46108</v>
      </c>
      <c r="C84" s="10">
        <v>8480</v>
      </c>
      <c r="D84" s="9"/>
      <c r="E84" s="9">
        <v>167</v>
      </c>
      <c r="F84" s="9" t="s">
        <v>4</v>
      </c>
      <c r="G84" s="9"/>
      <c r="H84" s="9" t="s">
        <v>143</v>
      </c>
      <c r="I84" s="9" t="s">
        <v>300</v>
      </c>
      <c r="J84" s="11">
        <f>+Tabla38[[#This Row],[PESO NETO KGS]]*10.8</f>
        <v>91584</v>
      </c>
      <c r="K84" s="9">
        <v>405</v>
      </c>
      <c r="L84" s="5"/>
      <c r="M84" s="5"/>
    </row>
    <row r="85" spans="1:13" ht="12.75" x14ac:dyDescent="0.2">
      <c r="A85" s="33"/>
      <c r="B85" s="33"/>
      <c r="C85" s="36">
        <f>SUBTOTAL(109,Tabla38[PESO NETO KGS])</f>
        <v>758020</v>
      </c>
      <c r="D85" s="33"/>
      <c r="E85" s="33">
        <f>SUM(Tabla38[ARPILLAS 3RAS])</f>
        <v>40333</v>
      </c>
      <c r="F85" s="33"/>
      <c r="G85" s="33"/>
      <c r="H85" s="33"/>
      <c r="I85" s="33"/>
      <c r="J85" s="37">
        <f>SUBTOTAL(109,Tabla38[TOTAL])</f>
        <v>8186616</v>
      </c>
      <c r="K85" s="33"/>
      <c r="L85" s="5"/>
      <c r="M85" s="5"/>
    </row>
    <row r="86" spans="1:13" ht="12.75" x14ac:dyDescent="0.2">
      <c r="A86" s="12"/>
      <c r="B86" s="12"/>
      <c r="C86" s="13"/>
      <c r="D86" s="13"/>
      <c r="E86" s="13"/>
      <c r="F86" s="12"/>
      <c r="G86" s="12"/>
      <c r="H86" s="12"/>
      <c r="I86" s="12"/>
      <c r="J86" s="14"/>
      <c r="K86" s="5"/>
      <c r="L86" s="5"/>
      <c r="M86" s="5"/>
    </row>
    <row r="87" spans="1:13" ht="12.75" x14ac:dyDescent="0.2">
      <c r="K87" s="5"/>
      <c r="L87" s="5"/>
      <c r="M87" s="5"/>
    </row>
    <row r="88" spans="1:13" ht="12.75" x14ac:dyDescent="0.2">
      <c r="K88" s="5"/>
      <c r="L88" s="5"/>
      <c r="M88" s="5"/>
    </row>
    <row r="89" spans="1:13" ht="12.75" x14ac:dyDescent="0.2">
      <c r="D89" s="19"/>
      <c r="K89" s="5"/>
      <c r="L89" s="5"/>
      <c r="M89" s="5"/>
    </row>
    <row r="90" spans="1:13" ht="12.75" x14ac:dyDescent="0.2">
      <c r="K90" s="5"/>
      <c r="L90" s="5"/>
      <c r="M90" s="5"/>
    </row>
    <row r="91" spans="1:13" ht="12.75" x14ac:dyDescent="0.2">
      <c r="K91" s="5"/>
      <c r="L91" s="5"/>
      <c r="M91" s="5"/>
    </row>
    <row r="92" spans="1:13" ht="12.75" x14ac:dyDescent="0.2">
      <c r="K92" s="5"/>
      <c r="L92" s="5"/>
      <c r="M92" s="5"/>
    </row>
    <row r="93" spans="1:13" ht="12.75" x14ac:dyDescent="0.2">
      <c r="K93" s="5"/>
      <c r="L93" s="5"/>
      <c r="M93" s="5"/>
    </row>
    <row r="94" spans="1:13" ht="12.75" x14ac:dyDescent="0.2">
      <c r="K94" s="5"/>
      <c r="L94" s="5"/>
      <c r="M94" s="5"/>
    </row>
    <row r="95" spans="1:13" ht="12.75" x14ac:dyDescent="0.2">
      <c r="K95" s="5"/>
      <c r="L95" s="5"/>
      <c r="M95" s="5"/>
    </row>
    <row r="96" spans="1:13" ht="12.75" x14ac:dyDescent="0.2">
      <c r="K96" s="5"/>
      <c r="L96" s="5"/>
      <c r="M96" s="5"/>
    </row>
    <row r="97" spans="1:13" ht="12.75" x14ac:dyDescent="0.2">
      <c r="K97" s="5"/>
      <c r="L97" s="5"/>
      <c r="M97" s="5"/>
    </row>
    <row r="98" spans="1:13" ht="12.75" x14ac:dyDescent="0.2">
      <c r="K98" s="5"/>
      <c r="L98" s="5"/>
      <c r="M98" s="5"/>
    </row>
    <row r="99" spans="1:13" ht="12.75" x14ac:dyDescent="0.2">
      <c r="K99" s="5"/>
      <c r="L99" s="5"/>
      <c r="M99" s="5"/>
    </row>
    <row r="100" spans="1:13" ht="12.75" x14ac:dyDescent="0.2">
      <c r="K100" s="5"/>
      <c r="L100" s="5"/>
      <c r="M100" s="5"/>
    </row>
    <row r="101" spans="1:13" ht="12.75" x14ac:dyDescent="0.2">
      <c r="K101" s="5"/>
      <c r="L101" s="5"/>
      <c r="M101" s="5"/>
    </row>
    <row r="102" spans="1:13" ht="12.75" x14ac:dyDescent="0.2">
      <c r="K102" s="5"/>
      <c r="L102" s="5"/>
      <c r="M102" s="5"/>
    </row>
    <row r="103" spans="1:13" ht="12.75" x14ac:dyDescent="0.2">
      <c r="K103" s="5"/>
      <c r="L103" s="5"/>
      <c r="M103" s="5"/>
    </row>
    <row r="104" spans="1:13" ht="12.75" x14ac:dyDescent="0.2">
      <c r="K104" s="5"/>
      <c r="L104" s="5"/>
      <c r="M104" s="5"/>
    </row>
    <row r="105" spans="1:13" ht="12.75" x14ac:dyDescent="0.2">
      <c r="K105" s="5"/>
      <c r="L105" s="5"/>
      <c r="M105" s="5"/>
    </row>
    <row r="106" spans="1:13" ht="12.75" x14ac:dyDescent="0.2">
      <c r="K106" s="5"/>
      <c r="L106" s="5"/>
      <c r="M106" s="5"/>
    </row>
    <row r="107" spans="1:13" ht="12.75" x14ac:dyDescent="0.2">
      <c r="K107" s="5"/>
      <c r="L107" s="5"/>
      <c r="M107" s="5"/>
    </row>
    <row r="108" spans="1:13" ht="12.75" x14ac:dyDescent="0.2">
      <c r="K108" s="5"/>
      <c r="L108" s="5"/>
      <c r="M108" s="5"/>
    </row>
    <row r="109" spans="1:13" ht="12.75" x14ac:dyDescent="0.2">
      <c r="K109" s="5"/>
      <c r="L109" s="5"/>
      <c r="M109" s="5"/>
    </row>
    <row r="110" spans="1:13" ht="12.75" x14ac:dyDescent="0.2">
      <c r="A110" s="5"/>
      <c r="B110" s="5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2.75" x14ac:dyDescent="0.2">
      <c r="A111" s="5"/>
      <c r="B111" s="5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12.75" x14ac:dyDescent="0.2">
      <c r="A112" s="5"/>
      <c r="B112" s="5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12.75" x14ac:dyDescent="0.2">
      <c r="A113" s="5"/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12.75" x14ac:dyDescent="0.2">
      <c r="A114" s="5"/>
      <c r="B114" s="5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12.75" x14ac:dyDescent="0.2">
      <c r="A115" s="5"/>
      <c r="B115" s="5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12.75" x14ac:dyDescent="0.2">
      <c r="A116" s="5"/>
      <c r="B116" s="5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12.75" x14ac:dyDescent="0.2">
      <c r="A117" s="5"/>
      <c r="B117" s="5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12.75" x14ac:dyDescent="0.2">
      <c r="A118" s="5"/>
      <c r="B118" s="5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2.75" x14ac:dyDescent="0.2">
      <c r="A119" s="5"/>
      <c r="B119" s="5"/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12.75" x14ac:dyDescent="0.2">
      <c r="A120" s="5"/>
      <c r="B120" s="5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12.75" x14ac:dyDescent="0.2">
      <c r="A121" s="5"/>
      <c r="B121" s="5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spans="1:13" ht="12.75" x14ac:dyDescent="0.2">
      <c r="A122" s="5"/>
      <c r="B122" s="5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spans="1:13" ht="12.75" x14ac:dyDescent="0.2">
      <c r="A123" s="5"/>
      <c r="B123" s="5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spans="1:13" ht="12.75" x14ac:dyDescent="0.2">
      <c r="A124" s="5"/>
      <c r="B124" s="5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spans="1:13" ht="12.75" x14ac:dyDescent="0.2">
      <c r="A125" s="5"/>
      <c r="B125" s="5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spans="1:13" ht="12.75" x14ac:dyDescent="0.2">
      <c r="A126" s="5"/>
      <c r="B126" s="5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 ht="12.75" x14ac:dyDescent="0.2">
      <c r="A127" s="5"/>
      <c r="B127" s="5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2.75" x14ac:dyDescent="0.2">
      <c r="A128" s="5"/>
      <c r="B128" s="5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spans="1:13" ht="12.75" x14ac:dyDescent="0.2">
      <c r="A129" s="5"/>
      <c r="B129" s="5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spans="1:13" ht="12.75" x14ac:dyDescent="0.2">
      <c r="A130" s="5"/>
      <c r="B130" s="5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spans="1:13" ht="12.75" x14ac:dyDescent="0.2">
      <c r="A131" s="5"/>
      <c r="B131" s="5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2.75" x14ac:dyDescent="0.2">
      <c r="A132" s="5"/>
      <c r="B132" s="5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13" ht="12.75" x14ac:dyDescent="0.2">
      <c r="A133" s="5"/>
      <c r="B133" s="5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spans="1:13" ht="12.75" x14ac:dyDescent="0.2">
      <c r="A134" s="5"/>
      <c r="B134" s="5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spans="1:13" ht="12.75" x14ac:dyDescent="0.2">
      <c r="A135" s="5"/>
      <c r="B135" s="5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spans="1:13" ht="12.75" x14ac:dyDescent="0.2">
      <c r="A136" s="5"/>
      <c r="B136" s="5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13" ht="12.75" x14ac:dyDescent="0.2">
      <c r="A137" s="5"/>
      <c r="B137" s="5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13" ht="12.75" x14ac:dyDescent="0.2">
      <c r="A138" s="5"/>
      <c r="B138" s="5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13" ht="12.75" x14ac:dyDescent="0.2">
      <c r="A139" s="5"/>
      <c r="B139" s="5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2.75" x14ac:dyDescent="0.2">
      <c r="A140" s="5"/>
      <c r="B140" s="5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spans="1:13" ht="12.75" x14ac:dyDescent="0.2">
      <c r="A141" s="5"/>
      <c r="B141" s="5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spans="1:13" ht="12.75" x14ac:dyDescent="0.2">
      <c r="A142" s="5"/>
      <c r="B142" s="5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spans="1:13" ht="12.75" x14ac:dyDescent="0.2">
      <c r="A143" s="5"/>
      <c r="B143" s="5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spans="1:13" ht="12.75" x14ac:dyDescent="0.2">
      <c r="A144" s="5"/>
      <c r="B144" s="5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spans="1:13" ht="12.75" x14ac:dyDescent="0.2">
      <c r="A145" s="5"/>
      <c r="B145" s="5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 ht="12.75" x14ac:dyDescent="0.2">
      <c r="A146" s="5"/>
      <c r="B146" s="5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spans="1:13" ht="12.75" x14ac:dyDescent="0.2">
      <c r="A147" s="5"/>
      <c r="B147" s="5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spans="1:13" ht="12.75" x14ac:dyDescent="0.2">
      <c r="A148" s="5"/>
      <c r="B148" s="5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spans="1:13" ht="12.75" x14ac:dyDescent="0.2">
      <c r="A149" s="5"/>
      <c r="B149" s="5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spans="1:13" ht="12.75" x14ac:dyDescent="0.2">
      <c r="A150" s="5"/>
      <c r="B150" s="5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spans="1:13" ht="12.75" x14ac:dyDescent="0.2">
      <c r="A151" s="5"/>
      <c r="B151" s="5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spans="1:13" ht="12.75" x14ac:dyDescent="0.2">
      <c r="A152" s="5"/>
      <c r="B152" s="5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spans="1:13" ht="12.75" x14ac:dyDescent="0.2">
      <c r="A153" s="5"/>
      <c r="B153" s="5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2.75" x14ac:dyDescent="0.2">
      <c r="A154" s="5"/>
      <c r="B154" s="5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spans="1:13" ht="12.75" x14ac:dyDescent="0.2">
      <c r="A155" s="5"/>
      <c r="B155" s="5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spans="1:13" ht="12.75" x14ac:dyDescent="0.2">
      <c r="A156" s="5"/>
      <c r="B156" s="5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spans="1:13" ht="12.75" x14ac:dyDescent="0.2">
      <c r="A157" s="5"/>
      <c r="B157" s="5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spans="1:13" ht="12.75" x14ac:dyDescent="0.2">
      <c r="A158" s="5"/>
      <c r="B158" s="5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spans="1:13" ht="12.75" x14ac:dyDescent="0.2">
      <c r="A159" s="5"/>
      <c r="B159" s="5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spans="1:13" ht="12.75" x14ac:dyDescent="0.2">
      <c r="A160" s="5"/>
      <c r="B160" s="5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spans="1:13" ht="12.75" x14ac:dyDescent="0.2">
      <c r="A161" s="5"/>
      <c r="B161" s="5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spans="1:13" ht="12.75" x14ac:dyDescent="0.2">
      <c r="A162" s="5"/>
      <c r="B162" s="5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spans="1:13" ht="12.75" x14ac:dyDescent="0.2">
      <c r="A163" s="5"/>
      <c r="B163" s="5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spans="1:13" ht="12.75" x14ac:dyDescent="0.2">
      <c r="A164" s="5"/>
      <c r="B164" s="5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spans="1:13" ht="12.75" x14ac:dyDescent="0.2">
      <c r="A165" s="5"/>
      <c r="B165" s="5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spans="1:13" ht="12.75" x14ac:dyDescent="0.2">
      <c r="A166" s="5"/>
      <c r="B166" s="5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spans="1:13" ht="12.75" x14ac:dyDescent="0.2">
      <c r="A167" s="5"/>
      <c r="B167" s="5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spans="1:13" ht="12.75" x14ac:dyDescent="0.2">
      <c r="A168" s="5"/>
      <c r="B168" s="5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spans="1:13" ht="12.75" x14ac:dyDescent="0.2">
      <c r="A169" s="5"/>
      <c r="B169" s="5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spans="1:13" ht="12.75" x14ac:dyDescent="0.2">
      <c r="A170" s="5"/>
      <c r="B170" s="5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spans="1:13" ht="12.75" x14ac:dyDescent="0.2">
      <c r="A171" s="5"/>
      <c r="B171" s="5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spans="1:13" ht="12.75" x14ac:dyDescent="0.2">
      <c r="A172" s="5"/>
      <c r="B172" s="5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spans="1:13" ht="12.75" x14ac:dyDescent="0.2">
      <c r="A173" s="5"/>
      <c r="B173" s="5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spans="1:13" ht="12.75" x14ac:dyDescent="0.2">
      <c r="A174" s="5"/>
      <c r="B174" s="5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spans="1:13" ht="12.75" x14ac:dyDescent="0.2">
      <c r="A175" s="5"/>
      <c r="B175" s="5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spans="1:13" ht="12.75" x14ac:dyDescent="0.2">
      <c r="A176" s="5"/>
      <c r="B176" s="5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spans="1:13" ht="12.75" x14ac:dyDescent="0.2">
      <c r="A177" s="5"/>
      <c r="B177" s="5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spans="1:13" ht="12.75" x14ac:dyDescent="0.2">
      <c r="A178" s="5"/>
      <c r="B178" s="5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spans="1:13" ht="12.75" x14ac:dyDescent="0.2">
      <c r="A179" s="5"/>
      <c r="B179" s="5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spans="1:13" ht="12.75" x14ac:dyDescent="0.2">
      <c r="A180" s="5"/>
      <c r="B180" s="5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spans="1:13" ht="12.75" x14ac:dyDescent="0.2">
      <c r="A181" s="5"/>
      <c r="B181" s="5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spans="1:13" ht="12.75" x14ac:dyDescent="0.2">
      <c r="A182" s="5"/>
      <c r="B182" s="5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spans="1:13" ht="12.75" x14ac:dyDescent="0.2">
      <c r="A183" s="5"/>
      <c r="B183" s="5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spans="1:13" ht="12.75" x14ac:dyDescent="0.2">
      <c r="A184" s="5"/>
      <c r="B184" s="5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spans="1:13" ht="12.75" x14ac:dyDescent="0.2">
      <c r="A185" s="5"/>
      <c r="B185" s="5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spans="1:13" ht="12.75" x14ac:dyDescent="0.2">
      <c r="A186" s="5"/>
      <c r="B186" s="5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spans="1:13" ht="12.75" x14ac:dyDescent="0.2">
      <c r="A187" s="5"/>
      <c r="B187" s="5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spans="1:13" ht="12.75" x14ac:dyDescent="0.2">
      <c r="A188" s="5"/>
      <c r="B188" s="5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spans="1:13" ht="12.75" x14ac:dyDescent="0.2">
      <c r="A189" s="5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spans="1:13" ht="12.75" x14ac:dyDescent="0.2">
      <c r="A190" s="5"/>
      <c r="B190" s="5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spans="1:13" ht="12.75" x14ac:dyDescent="0.2">
      <c r="A191" s="5"/>
      <c r="B191" s="5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spans="1:13" ht="12.75" x14ac:dyDescent="0.2">
      <c r="A192" s="5"/>
      <c r="B192" s="5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spans="1:13" ht="12.75" x14ac:dyDescent="0.2">
      <c r="A193" s="5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spans="1:13" ht="12.75" x14ac:dyDescent="0.2">
      <c r="A194" s="5"/>
      <c r="B194" s="5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spans="1:13" ht="12.75" x14ac:dyDescent="0.2">
      <c r="A195" s="5"/>
      <c r="B195" s="5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spans="1:13" ht="12.75" x14ac:dyDescent="0.2">
      <c r="A196" s="5"/>
      <c r="B196" s="5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spans="1:13" ht="12.75" x14ac:dyDescent="0.2">
      <c r="A197" s="5"/>
      <c r="B197" s="5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spans="1:13" ht="12.75" x14ac:dyDescent="0.2">
      <c r="A198" s="5"/>
      <c r="B198" s="5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spans="1:13" ht="12.75" x14ac:dyDescent="0.2">
      <c r="A199" s="5"/>
      <c r="B199" s="5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spans="1:13" ht="12.75" x14ac:dyDescent="0.2">
      <c r="A200" s="5"/>
      <c r="B200" s="5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spans="1:13" ht="12.75" x14ac:dyDescent="0.2">
      <c r="A201" s="5"/>
      <c r="B201" s="5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spans="1:13" ht="12.75" x14ac:dyDescent="0.2">
      <c r="A202" s="5"/>
      <c r="B202" s="5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spans="1:13" ht="12.75" x14ac:dyDescent="0.2">
      <c r="A203" s="5"/>
      <c r="B203" s="5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spans="1:13" ht="12.75" x14ac:dyDescent="0.2">
      <c r="A204" s="5"/>
      <c r="B204" s="5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spans="1:13" ht="12.75" x14ac:dyDescent="0.2">
      <c r="A205" s="5"/>
      <c r="B205" s="5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spans="1:13" ht="12.75" x14ac:dyDescent="0.2">
      <c r="A206" s="5"/>
      <c r="B206" s="5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spans="1:13" ht="12.75" x14ac:dyDescent="0.2">
      <c r="A207" s="5"/>
      <c r="B207" s="5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spans="1:13" ht="12.75" x14ac:dyDescent="0.2">
      <c r="A208" s="5"/>
      <c r="B208" s="5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spans="1:13" ht="12.75" x14ac:dyDescent="0.2">
      <c r="A209" s="5"/>
      <c r="B209" s="5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spans="1:13" ht="12.75" x14ac:dyDescent="0.2">
      <c r="A210" s="5"/>
      <c r="B210" s="5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spans="1:13" ht="12.75" x14ac:dyDescent="0.2">
      <c r="A211" s="5"/>
      <c r="B211" s="5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spans="1:13" ht="12.75" x14ac:dyDescent="0.2">
      <c r="A212" s="5"/>
      <c r="B212" s="5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spans="1:13" ht="12.75" x14ac:dyDescent="0.2">
      <c r="A213" s="5"/>
      <c r="B213" s="5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spans="1:13" ht="12.75" x14ac:dyDescent="0.2">
      <c r="A214" s="5"/>
      <c r="B214" s="5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spans="1:13" ht="12.75" x14ac:dyDescent="0.2">
      <c r="A215" s="5"/>
      <c r="B215" s="5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spans="1:13" ht="12.75" x14ac:dyDescent="0.2">
      <c r="A216" s="5"/>
      <c r="B216" s="5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spans="1:13" ht="12.75" x14ac:dyDescent="0.2">
      <c r="A217" s="5"/>
      <c r="B217" s="5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spans="1:13" ht="12.75" x14ac:dyDescent="0.2">
      <c r="A218" s="5"/>
      <c r="B218" s="5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spans="1:13" ht="12.75" x14ac:dyDescent="0.2">
      <c r="A219" s="5"/>
      <c r="B219" s="5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spans="1:13" ht="12.75" x14ac:dyDescent="0.2">
      <c r="A220" s="5"/>
      <c r="B220" s="5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spans="1:13" ht="12.75" x14ac:dyDescent="0.2">
      <c r="A221" s="5"/>
      <c r="B221" s="5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spans="1:13" ht="12.75" x14ac:dyDescent="0.2">
      <c r="A222" s="5"/>
      <c r="B222" s="5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spans="1:13" ht="12.75" x14ac:dyDescent="0.2">
      <c r="A223" s="5"/>
      <c r="B223" s="5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spans="1:13" ht="12.75" x14ac:dyDescent="0.2">
      <c r="A224" s="5"/>
      <c r="B224" s="5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spans="1:13" ht="12.75" x14ac:dyDescent="0.2">
      <c r="A225" s="5"/>
      <c r="B225" s="5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spans="1:13" ht="12.75" x14ac:dyDescent="0.2">
      <c r="A226" s="5"/>
      <c r="B226" s="5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spans="1:13" ht="12.75" x14ac:dyDescent="0.2">
      <c r="A227" s="5"/>
      <c r="B227" s="5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spans="1:13" ht="12.75" x14ac:dyDescent="0.2">
      <c r="A228" s="5"/>
      <c r="B228" s="5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spans="1:13" ht="12.75" x14ac:dyDescent="0.2">
      <c r="A229" s="5"/>
      <c r="B229" s="5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spans="1:13" ht="12.75" x14ac:dyDescent="0.2">
      <c r="A230" s="5"/>
      <c r="B230" s="5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spans="1:13" ht="12.75" x14ac:dyDescent="0.2">
      <c r="A231" s="5"/>
      <c r="B231" s="5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spans="1:13" ht="12.75" x14ac:dyDescent="0.2">
      <c r="A232" s="5"/>
      <c r="B232" s="5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spans="1:13" ht="12.75" x14ac:dyDescent="0.2">
      <c r="A233" s="5"/>
      <c r="B233" s="5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spans="1:13" ht="12.75" x14ac:dyDescent="0.2">
      <c r="A234" s="5"/>
      <c r="B234" s="5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spans="1:13" ht="12.75" x14ac:dyDescent="0.2">
      <c r="A235" s="5"/>
      <c r="B235" s="5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spans="1:13" ht="12.75" x14ac:dyDescent="0.2">
      <c r="A236" s="5"/>
      <c r="B236" s="5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spans="1:13" ht="12.75" x14ac:dyDescent="0.2">
      <c r="A237" s="5"/>
      <c r="B237" s="5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spans="1:13" ht="12.75" x14ac:dyDescent="0.2">
      <c r="A238" s="5"/>
      <c r="B238" s="5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spans="1:13" ht="12.75" x14ac:dyDescent="0.2">
      <c r="A239" s="5"/>
      <c r="B239" s="5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spans="1:13" ht="12.75" x14ac:dyDescent="0.2">
      <c r="A240" s="5"/>
      <c r="B240" s="5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spans="1:13" ht="12.75" x14ac:dyDescent="0.2">
      <c r="A241" s="5"/>
      <c r="B241" s="5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spans="1:13" ht="12.75" x14ac:dyDescent="0.2">
      <c r="A242" s="5"/>
      <c r="B242" s="5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spans="1:13" ht="12.75" x14ac:dyDescent="0.2">
      <c r="A243" s="5"/>
      <c r="B243" s="5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spans="1:13" ht="12.75" x14ac:dyDescent="0.2">
      <c r="A244" s="5"/>
      <c r="B244" s="5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spans="1:13" ht="12.75" x14ac:dyDescent="0.2">
      <c r="A245" s="5"/>
      <c r="B245" s="5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spans="1:13" ht="12.75" x14ac:dyDescent="0.2">
      <c r="A246" s="5"/>
      <c r="B246" s="5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spans="1:13" ht="12.75" x14ac:dyDescent="0.2">
      <c r="A247" s="5"/>
      <c r="B247" s="5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spans="1:13" ht="12.75" x14ac:dyDescent="0.2">
      <c r="A248" s="5"/>
      <c r="B248" s="5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spans="1:13" ht="12.75" x14ac:dyDescent="0.2">
      <c r="A249" s="5"/>
      <c r="B249" s="5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spans="1:13" ht="12.75" x14ac:dyDescent="0.2">
      <c r="A250" s="5"/>
      <c r="B250" s="5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spans="1:13" ht="12.75" x14ac:dyDescent="0.2">
      <c r="A251" s="5"/>
      <c r="B251" s="5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spans="1:13" ht="12.75" x14ac:dyDescent="0.2">
      <c r="A252" s="5"/>
      <c r="B252" s="5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spans="1:13" ht="12.75" x14ac:dyDescent="0.2">
      <c r="A253" s="5"/>
      <c r="B253" s="5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spans="1:13" ht="12.75" x14ac:dyDescent="0.2">
      <c r="A254" s="5"/>
      <c r="B254" s="5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spans="1:13" ht="12.75" x14ac:dyDescent="0.2">
      <c r="A255" s="5"/>
      <c r="B255" s="5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spans="1:13" ht="12.75" x14ac:dyDescent="0.2">
      <c r="A256" s="5"/>
      <c r="B256" s="5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spans="1:13" ht="12.75" x14ac:dyDescent="0.2">
      <c r="A257" s="5"/>
      <c r="B257" s="5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spans="1:13" ht="12.75" x14ac:dyDescent="0.2">
      <c r="A258" s="5"/>
      <c r="B258" s="5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spans="1:13" ht="12.75" x14ac:dyDescent="0.2">
      <c r="A259" s="5"/>
      <c r="B259" s="5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spans="1:13" ht="12.75" x14ac:dyDescent="0.2">
      <c r="A260" s="5"/>
      <c r="B260" s="5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spans="1:13" ht="12.75" x14ac:dyDescent="0.2">
      <c r="A261" s="5"/>
      <c r="B261" s="5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spans="1:13" ht="12.75" x14ac:dyDescent="0.2">
      <c r="A262" s="5"/>
      <c r="B262" s="5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spans="1:13" ht="12.75" x14ac:dyDescent="0.2">
      <c r="A263" s="5"/>
      <c r="B263" s="5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spans="1:13" ht="12.75" x14ac:dyDescent="0.2">
      <c r="A264" s="5"/>
      <c r="B264" s="5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spans="1:13" ht="12.75" x14ac:dyDescent="0.2">
      <c r="A265" s="5"/>
      <c r="B265" s="5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spans="1:13" ht="12.75" x14ac:dyDescent="0.2">
      <c r="A266" s="5"/>
      <c r="B266" s="5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spans="1:13" ht="12.75" x14ac:dyDescent="0.2">
      <c r="A267" s="5"/>
      <c r="B267" s="5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spans="1:13" ht="12.75" x14ac:dyDescent="0.2">
      <c r="A268" s="5"/>
      <c r="B268" s="5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spans="1:13" ht="12.75" x14ac:dyDescent="0.2">
      <c r="A269" s="5"/>
      <c r="B269" s="5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spans="1:13" ht="12.75" x14ac:dyDescent="0.2">
      <c r="A270" s="5"/>
      <c r="B270" s="5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spans="1:13" ht="12.75" x14ac:dyDescent="0.2">
      <c r="A271" s="5"/>
      <c r="B271" s="5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spans="1:13" ht="12.75" x14ac:dyDescent="0.2">
      <c r="A272" s="5"/>
      <c r="B272" s="5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spans="1:13" ht="12.75" x14ac:dyDescent="0.2">
      <c r="A273" s="5"/>
      <c r="B273" s="5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spans="1:13" ht="12.75" x14ac:dyDescent="0.2">
      <c r="A274" s="5"/>
      <c r="B274" s="5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spans="1:13" ht="12.75" x14ac:dyDescent="0.2">
      <c r="A275" s="5"/>
      <c r="B275" s="5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spans="1:13" ht="12.75" x14ac:dyDescent="0.2">
      <c r="A276" s="5"/>
      <c r="B276" s="5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spans="1:13" ht="12.75" x14ac:dyDescent="0.2">
      <c r="A277" s="5"/>
      <c r="B277" s="5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ht="12.75" x14ac:dyDescent="0.2">
      <c r="A278" s="5"/>
      <c r="B278" s="5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ht="12.75" x14ac:dyDescent="0.2">
      <c r="A279" s="5"/>
      <c r="B279" s="5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ht="12.75" x14ac:dyDescent="0.2">
      <c r="A280" s="5"/>
      <c r="B280" s="5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ht="12.75" x14ac:dyDescent="0.2">
      <c r="A281" s="5"/>
      <c r="B281" s="5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ht="12.75" x14ac:dyDescent="0.2">
      <c r="A282" s="5"/>
      <c r="B282" s="5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ht="12.75" x14ac:dyDescent="0.2">
      <c r="A283" s="5"/>
      <c r="B283" s="5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ht="12.75" x14ac:dyDescent="0.2">
      <c r="A284" s="5"/>
      <c r="B284" s="5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ht="12.75" x14ac:dyDescent="0.2">
      <c r="A285" s="5"/>
      <c r="B285" s="5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ht="12.75" x14ac:dyDescent="0.2">
      <c r="A286" s="5"/>
      <c r="B286" s="5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ht="12.75" x14ac:dyDescent="0.2">
      <c r="A287" s="5"/>
      <c r="B287" s="5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ht="12.75" x14ac:dyDescent="0.2">
      <c r="A288" s="5"/>
      <c r="B288" s="5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ht="12.75" x14ac:dyDescent="0.2">
      <c r="A289" s="5"/>
      <c r="B289" s="5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ht="12.75" x14ac:dyDescent="0.2">
      <c r="A290" s="5"/>
      <c r="B290" s="5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ht="12.75" x14ac:dyDescent="0.2">
      <c r="A291" s="5"/>
      <c r="B291" s="5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ht="12.75" x14ac:dyDescent="0.2">
      <c r="A292" s="5"/>
      <c r="B292" s="5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ht="12.75" x14ac:dyDescent="0.2">
      <c r="A293" s="5"/>
      <c r="B293" s="5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ht="12.75" x14ac:dyDescent="0.2">
      <c r="A294" s="5"/>
      <c r="B294" s="5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ht="12.75" x14ac:dyDescent="0.2">
      <c r="A295" s="5"/>
      <c r="B295" s="5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ht="12.75" x14ac:dyDescent="0.2">
      <c r="A296" s="5"/>
      <c r="B296" s="5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ht="12.75" x14ac:dyDescent="0.2">
      <c r="A297" s="5"/>
      <c r="B297" s="5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ht="12.75" x14ac:dyDescent="0.2">
      <c r="A298" s="5"/>
      <c r="B298" s="5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ht="12.75" x14ac:dyDescent="0.2">
      <c r="A299" s="5"/>
      <c r="B299" s="5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ht="12.75" x14ac:dyDescent="0.2">
      <c r="A300" s="5"/>
      <c r="B300" s="5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2.75" x14ac:dyDescent="0.2">
      <c r="A301" s="5"/>
      <c r="B301" s="5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ht="12.75" x14ac:dyDescent="0.2">
      <c r="A302" s="5"/>
      <c r="B302" s="5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spans="1:13" ht="12.75" x14ac:dyDescent="0.2">
      <c r="A303" s="5"/>
      <c r="B303" s="5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spans="1:13" ht="12.75" x14ac:dyDescent="0.2">
      <c r="A304" s="5"/>
      <c r="B304" s="5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spans="1:13" ht="12.75" x14ac:dyDescent="0.2">
      <c r="A305" s="5"/>
      <c r="B305" s="5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spans="1:13" ht="12.75" x14ac:dyDescent="0.2">
      <c r="A306" s="5"/>
      <c r="B306" s="5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spans="1:13" ht="12.75" x14ac:dyDescent="0.2">
      <c r="A307" s="5"/>
      <c r="B307" s="5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spans="1:13" ht="12.75" x14ac:dyDescent="0.2">
      <c r="A308" s="5"/>
      <c r="B308" s="5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spans="1:13" ht="12.75" x14ac:dyDescent="0.2">
      <c r="A309" s="5"/>
      <c r="B309" s="5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spans="1:13" ht="12.75" x14ac:dyDescent="0.2">
      <c r="A310" s="5"/>
      <c r="B310" s="5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spans="1:13" ht="12.75" x14ac:dyDescent="0.2">
      <c r="A311" s="5"/>
      <c r="B311" s="5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3" ht="12.75" x14ac:dyDescent="0.2">
      <c r="A312" s="5"/>
      <c r="B312" s="5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spans="1:13" ht="12.75" x14ac:dyDescent="0.2">
      <c r="A313" s="5"/>
      <c r="B313" s="5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spans="1:13" ht="12.75" x14ac:dyDescent="0.2">
      <c r="A314" s="5"/>
      <c r="B314" s="5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spans="1:13" ht="12.75" x14ac:dyDescent="0.2">
      <c r="A315" s="5"/>
      <c r="B315" s="5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spans="1:13" ht="12.75" x14ac:dyDescent="0.2">
      <c r="A316" s="5"/>
      <c r="B316" s="5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spans="1:13" ht="12.75" x14ac:dyDescent="0.2">
      <c r="A317" s="5"/>
      <c r="B317" s="5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spans="1:13" ht="12.75" x14ac:dyDescent="0.2">
      <c r="A318" s="5"/>
      <c r="B318" s="5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spans="1:13" ht="12.75" x14ac:dyDescent="0.2">
      <c r="A319" s="5"/>
      <c r="B319" s="5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spans="1:13" ht="12.75" x14ac:dyDescent="0.2">
      <c r="A320" s="5"/>
      <c r="B320" s="5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spans="1:13" ht="12.75" x14ac:dyDescent="0.2">
      <c r="A321" s="5"/>
      <c r="B321" s="5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spans="1:13" ht="12.75" x14ac:dyDescent="0.2">
      <c r="A322" s="5"/>
      <c r="B322" s="5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spans="1:13" ht="12.75" x14ac:dyDescent="0.2">
      <c r="A323" s="5"/>
      <c r="B323" s="5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spans="1:13" ht="12.75" x14ac:dyDescent="0.2">
      <c r="A324" s="5"/>
      <c r="B324" s="5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spans="1:13" ht="12.75" x14ac:dyDescent="0.2">
      <c r="A325" s="5"/>
      <c r="B325" s="5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spans="1:13" ht="12.75" x14ac:dyDescent="0.2">
      <c r="A326" s="5"/>
      <c r="B326" s="5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spans="1:13" ht="12.75" x14ac:dyDescent="0.2">
      <c r="A327" s="5"/>
      <c r="B327" s="5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spans="1:13" ht="12.75" x14ac:dyDescent="0.2">
      <c r="A328" s="5"/>
      <c r="B328" s="5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spans="1:13" ht="12.75" x14ac:dyDescent="0.2">
      <c r="A329" s="5"/>
      <c r="B329" s="5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spans="1:13" ht="12.75" x14ac:dyDescent="0.2">
      <c r="A330" s="5"/>
      <c r="B330" s="5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spans="1:13" ht="12.75" x14ac:dyDescent="0.2">
      <c r="A331" s="5"/>
      <c r="B331" s="5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spans="1:13" ht="12.75" x14ac:dyDescent="0.2">
      <c r="A332" s="5"/>
      <c r="B332" s="5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spans="1:13" ht="12.75" x14ac:dyDescent="0.2">
      <c r="A333" s="5"/>
      <c r="B333" s="5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spans="1:13" ht="12.75" x14ac:dyDescent="0.2">
      <c r="A334" s="5"/>
      <c r="B334" s="5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spans="1:13" ht="12.75" x14ac:dyDescent="0.2">
      <c r="A335" s="5"/>
      <c r="B335" s="5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spans="1:13" ht="12.75" x14ac:dyDescent="0.2">
      <c r="A336" s="5"/>
      <c r="B336" s="5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spans="1:13" ht="12.75" x14ac:dyDescent="0.2">
      <c r="A337" s="5"/>
      <c r="B337" s="5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spans="1:13" ht="12.75" x14ac:dyDescent="0.2">
      <c r="A338" s="5"/>
      <c r="B338" s="5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spans="1:13" ht="12.75" x14ac:dyDescent="0.2">
      <c r="A339" s="5"/>
      <c r="B339" s="5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spans="1:13" ht="12.75" x14ac:dyDescent="0.2">
      <c r="A340" s="5"/>
      <c r="B340" s="5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spans="1:13" ht="12.75" x14ac:dyDescent="0.2">
      <c r="A341" s="5"/>
      <c r="B341" s="5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spans="1:13" ht="12.75" x14ac:dyDescent="0.2">
      <c r="A342" s="5"/>
      <c r="B342" s="5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spans="1:13" ht="12.75" x14ac:dyDescent="0.2">
      <c r="A343" s="5"/>
      <c r="B343" s="5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spans="1:13" ht="12.75" x14ac:dyDescent="0.2">
      <c r="A344" s="5"/>
      <c r="B344" s="5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spans="1:13" ht="12.75" x14ac:dyDescent="0.2">
      <c r="A345" s="5"/>
      <c r="B345" s="5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spans="1:13" ht="12.75" x14ac:dyDescent="0.2">
      <c r="A346" s="5"/>
      <c r="B346" s="5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spans="1:13" ht="12.75" x14ac:dyDescent="0.2">
      <c r="A347" s="5"/>
      <c r="B347" s="5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spans="1:13" ht="12.75" x14ac:dyDescent="0.2">
      <c r="A348" s="5"/>
      <c r="B348" s="5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spans="1:13" ht="12.75" x14ac:dyDescent="0.2">
      <c r="A349" s="5"/>
      <c r="B349" s="5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spans="1:13" ht="12.75" x14ac:dyDescent="0.2">
      <c r="A350" s="5"/>
      <c r="B350" s="5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spans="1:13" ht="12.75" x14ac:dyDescent="0.2">
      <c r="A351" s="5"/>
      <c r="B351" s="5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spans="1:13" ht="12.75" x14ac:dyDescent="0.2">
      <c r="A352" s="5"/>
      <c r="B352" s="5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spans="1:13" ht="12.75" x14ac:dyDescent="0.2">
      <c r="A353" s="5"/>
      <c r="B353" s="5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spans="1:13" ht="12.75" x14ac:dyDescent="0.2">
      <c r="A354" s="5"/>
      <c r="B354" s="5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spans="1:13" ht="12.75" x14ac:dyDescent="0.2">
      <c r="A355" s="5"/>
      <c r="B355" s="5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spans="1:13" ht="12.75" x14ac:dyDescent="0.2">
      <c r="A356" s="5"/>
      <c r="B356" s="5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spans="1:13" ht="12.75" x14ac:dyDescent="0.2">
      <c r="A357" s="5"/>
      <c r="B357" s="5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spans="1:13" ht="12.75" x14ac:dyDescent="0.2">
      <c r="A358" s="5"/>
      <c r="B358" s="5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spans="1:13" ht="12.75" x14ac:dyDescent="0.2">
      <c r="A359" s="5"/>
      <c r="B359" s="5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spans="1:13" ht="12.75" x14ac:dyDescent="0.2">
      <c r="A360" s="5"/>
      <c r="B360" s="5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spans="1:13" ht="12.75" x14ac:dyDescent="0.2">
      <c r="A361" s="5"/>
      <c r="B361" s="5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spans="1:13" ht="12.75" x14ac:dyDescent="0.2">
      <c r="A362" s="5"/>
      <c r="B362" s="5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spans="1:13" ht="12.75" x14ac:dyDescent="0.2">
      <c r="A363" s="5"/>
      <c r="B363" s="5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spans="1:13" ht="12.75" x14ac:dyDescent="0.2">
      <c r="A364" s="5"/>
      <c r="B364" s="5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spans="1:13" ht="12.75" x14ac:dyDescent="0.2">
      <c r="A365" s="5"/>
      <c r="B365" s="5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ht="12.75" x14ac:dyDescent="0.2">
      <c r="A366" s="5"/>
      <c r="B366" s="5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ht="12.75" x14ac:dyDescent="0.2">
      <c r="A367" s="5"/>
      <c r="B367" s="5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ht="12.75" x14ac:dyDescent="0.2">
      <c r="A368" s="5"/>
      <c r="B368" s="5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ht="12.75" x14ac:dyDescent="0.2">
      <c r="A369" s="5"/>
      <c r="B369" s="5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ht="12.75" x14ac:dyDescent="0.2">
      <c r="A370" s="5"/>
      <c r="B370" s="5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ht="12.75" x14ac:dyDescent="0.2">
      <c r="A371" s="5"/>
      <c r="B371" s="5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ht="12.75" x14ac:dyDescent="0.2">
      <c r="A372" s="5"/>
      <c r="B372" s="5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ht="12.75" x14ac:dyDescent="0.2">
      <c r="A373" s="5"/>
      <c r="B373" s="5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ht="12.75" x14ac:dyDescent="0.2">
      <c r="A374" s="5"/>
      <c r="B374" s="5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ht="12.75" x14ac:dyDescent="0.2">
      <c r="A375" s="5"/>
      <c r="B375" s="5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ht="12.75" x14ac:dyDescent="0.2">
      <c r="A376" s="5"/>
      <c r="B376" s="5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ht="12.75" x14ac:dyDescent="0.2">
      <c r="A377" s="5"/>
      <c r="B377" s="5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ht="12.75" x14ac:dyDescent="0.2">
      <c r="A378" s="5"/>
      <c r="B378" s="5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ht="12.75" x14ac:dyDescent="0.2">
      <c r="A379" s="5"/>
      <c r="B379" s="5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ht="12.75" x14ac:dyDescent="0.2">
      <c r="A380" s="5"/>
      <c r="B380" s="5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ht="12.75" x14ac:dyDescent="0.2">
      <c r="A381" s="5"/>
      <c r="B381" s="5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ht="12.75" x14ac:dyDescent="0.2">
      <c r="A382" s="5"/>
      <c r="B382" s="5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ht="12.75" x14ac:dyDescent="0.2">
      <c r="A383" s="5"/>
      <c r="B383" s="5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ht="12.75" x14ac:dyDescent="0.2">
      <c r="A384" s="5"/>
      <c r="B384" s="5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ht="12.75" x14ac:dyDescent="0.2">
      <c r="A385" s="5"/>
      <c r="B385" s="5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ht="12.75" x14ac:dyDescent="0.2">
      <c r="A386" s="5"/>
      <c r="B386" s="5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ht="12.75" x14ac:dyDescent="0.2">
      <c r="A387" s="5"/>
      <c r="B387" s="5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ht="12.75" x14ac:dyDescent="0.2">
      <c r="A388" s="5"/>
      <c r="B388" s="5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ht="12.75" x14ac:dyDescent="0.2">
      <c r="A389" s="5"/>
      <c r="B389" s="5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ht="12.75" x14ac:dyDescent="0.2">
      <c r="A390" s="5"/>
      <c r="B390" s="5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ht="12.75" x14ac:dyDescent="0.2">
      <c r="A391" s="5"/>
      <c r="B391" s="5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ht="12.75" x14ac:dyDescent="0.2">
      <c r="A392" s="5"/>
      <c r="B392" s="5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ht="12.75" x14ac:dyDescent="0.2">
      <c r="A393" s="5"/>
      <c r="B393" s="5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ht="12.75" x14ac:dyDescent="0.2">
      <c r="A394" s="5"/>
      <c r="B394" s="5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ht="12.75" x14ac:dyDescent="0.2">
      <c r="A395" s="5"/>
      <c r="B395" s="5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ht="12.75" x14ac:dyDescent="0.2">
      <c r="A396" s="5"/>
      <c r="B396" s="5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ht="12.75" x14ac:dyDescent="0.2">
      <c r="A397" s="5"/>
      <c r="B397" s="5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ht="12.75" x14ac:dyDescent="0.2">
      <c r="A398" s="5"/>
      <c r="B398" s="5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ht="12.75" x14ac:dyDescent="0.2">
      <c r="A399" s="5"/>
      <c r="B399" s="5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ht="12.75" x14ac:dyDescent="0.2">
      <c r="A400" s="5"/>
      <c r="B400" s="5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ht="12.75" x14ac:dyDescent="0.2">
      <c r="A401" s="5"/>
      <c r="B401" s="5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ht="12.75" x14ac:dyDescent="0.2">
      <c r="A402" s="5"/>
      <c r="B402" s="5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ht="12.75" x14ac:dyDescent="0.2">
      <c r="A403" s="5"/>
      <c r="B403" s="5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ht="12.75" x14ac:dyDescent="0.2">
      <c r="A404" s="5"/>
      <c r="B404" s="5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ht="12.75" x14ac:dyDescent="0.2">
      <c r="A405" s="5"/>
      <c r="B405" s="5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ht="12.75" x14ac:dyDescent="0.2">
      <c r="A406" s="5"/>
      <c r="B406" s="5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ht="12.75" x14ac:dyDescent="0.2">
      <c r="A407" s="5"/>
      <c r="B407" s="5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ht="12.75" x14ac:dyDescent="0.2">
      <c r="A408" s="5"/>
      <c r="B408" s="5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ht="12.75" x14ac:dyDescent="0.2">
      <c r="A409" s="5"/>
      <c r="B409" s="5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ht="12.75" x14ac:dyDescent="0.2">
      <c r="A410" s="5"/>
      <c r="B410" s="5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ht="12.75" x14ac:dyDescent="0.2">
      <c r="A411" s="5"/>
      <c r="B411" s="5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ht="12.75" x14ac:dyDescent="0.2">
      <c r="A412" s="5"/>
      <c r="B412" s="5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ht="12.75" x14ac:dyDescent="0.2">
      <c r="A413" s="5"/>
      <c r="B413" s="5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ht="12.75" x14ac:dyDescent="0.2">
      <c r="A414" s="5"/>
      <c r="B414" s="5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ht="12.75" x14ac:dyDescent="0.2">
      <c r="A415" s="5"/>
      <c r="B415" s="5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ht="12.75" x14ac:dyDescent="0.2">
      <c r="A416" s="5"/>
      <c r="B416" s="5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ht="12.75" x14ac:dyDescent="0.2">
      <c r="A417" s="5"/>
      <c r="B417" s="5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ht="12.75" x14ac:dyDescent="0.2">
      <c r="A418" s="5"/>
      <c r="B418" s="5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ht="12.75" x14ac:dyDescent="0.2">
      <c r="A419" s="5"/>
      <c r="B419" s="5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ht="12.75" x14ac:dyDescent="0.2">
      <c r="A420" s="5"/>
      <c r="B420" s="5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ht="12.75" x14ac:dyDescent="0.2">
      <c r="A421" s="5"/>
      <c r="B421" s="5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ht="12.75" x14ac:dyDescent="0.2">
      <c r="A422" s="5"/>
      <c r="B422" s="5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ht="12.75" x14ac:dyDescent="0.2">
      <c r="A423" s="5"/>
      <c r="B423" s="5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ht="12.75" x14ac:dyDescent="0.2">
      <c r="A424" s="5"/>
      <c r="B424" s="5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ht="12.75" x14ac:dyDescent="0.2">
      <c r="A425" s="5"/>
      <c r="B425" s="5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ht="12.75" x14ac:dyDescent="0.2">
      <c r="A426" s="5"/>
      <c r="B426" s="5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ht="12.75" x14ac:dyDescent="0.2">
      <c r="A427" s="5"/>
      <c r="B427" s="5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ht="12.75" x14ac:dyDescent="0.2">
      <c r="A428" s="5"/>
      <c r="B428" s="5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ht="12.75" x14ac:dyDescent="0.2">
      <c r="A429" s="5"/>
      <c r="B429" s="5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ht="12.75" x14ac:dyDescent="0.2">
      <c r="A430" s="5"/>
      <c r="B430" s="5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ht="12.75" x14ac:dyDescent="0.2">
      <c r="A431" s="5"/>
      <c r="B431" s="5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ht="12.75" x14ac:dyDescent="0.2">
      <c r="A432" s="5"/>
      <c r="B432" s="5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ht="12.75" x14ac:dyDescent="0.2">
      <c r="A433" s="5"/>
      <c r="B433" s="5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ht="12.75" x14ac:dyDescent="0.2">
      <c r="A434" s="5"/>
      <c r="B434" s="5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ht="12.75" x14ac:dyDescent="0.2">
      <c r="A435" s="5"/>
      <c r="B435" s="5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ht="12.75" x14ac:dyDescent="0.2">
      <c r="A436" s="5"/>
      <c r="B436" s="5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ht="12.75" x14ac:dyDescent="0.2">
      <c r="A437" s="5"/>
      <c r="B437" s="5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ht="12.75" x14ac:dyDescent="0.2">
      <c r="A438" s="5"/>
      <c r="B438" s="5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ht="12.75" x14ac:dyDescent="0.2">
      <c r="A439" s="5"/>
      <c r="B439" s="5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ht="12.75" x14ac:dyDescent="0.2">
      <c r="A440" s="5"/>
      <c r="B440" s="5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ht="12.75" x14ac:dyDescent="0.2">
      <c r="A441" s="5"/>
      <c r="B441" s="5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ht="12.75" x14ac:dyDescent="0.2">
      <c r="A442" s="5"/>
      <c r="B442" s="5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ht="12.75" x14ac:dyDescent="0.2">
      <c r="A443" s="5"/>
      <c r="B443" s="5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ht="12.75" x14ac:dyDescent="0.2">
      <c r="A444" s="5"/>
      <c r="B444" s="5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ht="12.75" x14ac:dyDescent="0.2">
      <c r="A445" s="5"/>
      <c r="B445" s="5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ht="12.75" x14ac:dyDescent="0.2">
      <c r="A446" s="5"/>
      <c r="B446" s="5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ht="12.75" x14ac:dyDescent="0.2">
      <c r="A447" s="5"/>
      <c r="B447" s="5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ht="12.75" x14ac:dyDescent="0.2">
      <c r="A448" s="5"/>
      <c r="B448" s="5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ht="12.75" x14ac:dyDescent="0.2">
      <c r="A449" s="5"/>
      <c r="B449" s="5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ht="12.75" x14ac:dyDescent="0.2">
      <c r="A450" s="5"/>
      <c r="B450" s="5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ht="12.75" x14ac:dyDescent="0.2">
      <c r="A451" s="5"/>
      <c r="B451" s="5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ht="12.75" x14ac:dyDescent="0.2">
      <c r="A452" s="5"/>
      <c r="B452" s="5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spans="1:13" ht="12.75" x14ac:dyDescent="0.2">
      <c r="A453" s="5"/>
      <c r="B453" s="5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spans="1:13" ht="12.75" x14ac:dyDescent="0.2">
      <c r="A454" s="5"/>
      <c r="B454" s="5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spans="1:13" ht="12.75" x14ac:dyDescent="0.2">
      <c r="A455" s="5"/>
      <c r="B455" s="5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spans="1:13" ht="12.75" x14ac:dyDescent="0.2">
      <c r="A456" s="5"/>
      <c r="B456" s="5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spans="1:13" ht="12.75" x14ac:dyDescent="0.2">
      <c r="A457" s="5"/>
      <c r="B457" s="5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spans="1:13" ht="12.75" x14ac:dyDescent="0.2">
      <c r="A458" s="5"/>
      <c r="B458" s="5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spans="1:13" ht="12.75" x14ac:dyDescent="0.2">
      <c r="A459" s="5"/>
      <c r="B459" s="5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spans="1:13" ht="12.75" x14ac:dyDescent="0.2">
      <c r="A460" s="5"/>
      <c r="B460" s="5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spans="1:13" ht="12.75" x14ac:dyDescent="0.2">
      <c r="A461" s="5"/>
      <c r="B461" s="5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spans="1:13" ht="12.75" x14ac:dyDescent="0.2">
      <c r="A462" s="5"/>
      <c r="B462" s="5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spans="1:13" ht="12.75" x14ac:dyDescent="0.2">
      <c r="A463" s="5"/>
      <c r="B463" s="5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spans="1:13" ht="12.75" x14ac:dyDescent="0.2">
      <c r="A464" s="5"/>
      <c r="B464" s="5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spans="1:13" ht="12.75" x14ac:dyDescent="0.2">
      <c r="A465" s="5"/>
      <c r="B465" s="5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spans="1:13" ht="12.75" x14ac:dyDescent="0.2">
      <c r="A466" s="5"/>
      <c r="B466" s="5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spans="1:13" ht="12.75" x14ac:dyDescent="0.2">
      <c r="A467" s="5"/>
      <c r="B467" s="5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spans="1:13" ht="12.75" x14ac:dyDescent="0.2">
      <c r="A468" s="5"/>
      <c r="B468" s="5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spans="1:13" ht="12.75" x14ac:dyDescent="0.2">
      <c r="A469" s="5"/>
      <c r="B469" s="5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spans="1:13" ht="12.75" x14ac:dyDescent="0.2">
      <c r="A470" s="5"/>
      <c r="B470" s="5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spans="1:13" ht="12.75" x14ac:dyDescent="0.2">
      <c r="A471" s="5"/>
      <c r="B471" s="5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spans="1:13" ht="12.75" x14ac:dyDescent="0.2">
      <c r="A472" s="5"/>
      <c r="B472" s="5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spans="1:13" ht="12.75" x14ac:dyDescent="0.2">
      <c r="A473" s="5"/>
      <c r="B473" s="5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spans="1:13" ht="12.75" x14ac:dyDescent="0.2">
      <c r="A474" s="5"/>
      <c r="B474" s="5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spans="1:13" ht="12.75" x14ac:dyDescent="0.2">
      <c r="A475" s="5"/>
      <c r="B475" s="5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spans="1:13" ht="12.75" x14ac:dyDescent="0.2">
      <c r="A476" s="5"/>
      <c r="B476" s="5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spans="1:13" ht="12.75" x14ac:dyDescent="0.2">
      <c r="A477" s="5"/>
      <c r="B477" s="5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spans="1:13" ht="12.75" x14ac:dyDescent="0.2">
      <c r="A478" s="5"/>
      <c r="B478" s="5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spans="1:13" ht="12.75" x14ac:dyDescent="0.2">
      <c r="A479" s="5"/>
      <c r="B479" s="5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spans="1:13" ht="12.75" x14ac:dyDescent="0.2">
      <c r="A480" s="5"/>
      <c r="B480" s="5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spans="1:13" ht="12.75" x14ac:dyDescent="0.2">
      <c r="A481" s="5"/>
      <c r="B481" s="5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spans="1:13" ht="12.75" x14ac:dyDescent="0.2">
      <c r="A482" s="5"/>
      <c r="B482" s="5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spans="1:13" ht="12.75" x14ac:dyDescent="0.2">
      <c r="A483" s="5"/>
      <c r="B483" s="5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spans="1:13" ht="12.75" x14ac:dyDescent="0.2">
      <c r="A484" s="5"/>
      <c r="B484" s="5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spans="1:13" ht="12.75" x14ac:dyDescent="0.2">
      <c r="A485" s="5"/>
      <c r="B485" s="5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spans="1:13" ht="12.75" x14ac:dyDescent="0.2">
      <c r="A486" s="5"/>
      <c r="B486" s="5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spans="1:13" ht="12.75" x14ac:dyDescent="0.2">
      <c r="A487" s="5"/>
      <c r="B487" s="5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spans="1:13" ht="12.75" x14ac:dyDescent="0.2">
      <c r="A488" s="5"/>
      <c r="B488" s="5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spans="1:13" ht="12.75" x14ac:dyDescent="0.2">
      <c r="A489" s="5"/>
      <c r="B489" s="5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spans="1:13" ht="12.75" x14ac:dyDescent="0.2">
      <c r="A490" s="5"/>
      <c r="B490" s="5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spans="1:13" ht="12.75" x14ac:dyDescent="0.2">
      <c r="A491" s="5"/>
      <c r="B491" s="5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spans="1:13" ht="12.75" x14ac:dyDescent="0.2">
      <c r="A492" s="5"/>
      <c r="B492" s="5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spans="1:13" ht="12.75" x14ac:dyDescent="0.2">
      <c r="A493" s="5"/>
      <c r="B493" s="5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spans="1:13" ht="12.75" x14ac:dyDescent="0.2">
      <c r="A494" s="5"/>
      <c r="B494" s="5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spans="1:13" ht="12.75" x14ac:dyDescent="0.2">
      <c r="A495" s="5"/>
      <c r="B495" s="5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spans="1:13" ht="12.75" x14ac:dyDescent="0.2">
      <c r="A496" s="5"/>
      <c r="B496" s="5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spans="1:13" ht="12.75" x14ac:dyDescent="0.2">
      <c r="A497" s="5"/>
      <c r="B497" s="5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spans="1:13" ht="12.75" x14ac:dyDescent="0.2">
      <c r="A498" s="5"/>
      <c r="B498" s="5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spans="1:13" ht="12.75" x14ac:dyDescent="0.2">
      <c r="A499" s="5"/>
      <c r="B499" s="5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spans="1:13" ht="12.75" x14ac:dyDescent="0.2">
      <c r="A500" s="5"/>
      <c r="B500" s="5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spans="1:13" ht="12.75" x14ac:dyDescent="0.2">
      <c r="A501" s="5"/>
      <c r="B501" s="5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spans="1:13" ht="12.75" x14ac:dyDescent="0.2">
      <c r="A502" s="5"/>
      <c r="B502" s="5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spans="1:13" ht="12.75" x14ac:dyDescent="0.2">
      <c r="A503" s="5"/>
      <c r="B503" s="5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spans="1:13" ht="12.75" x14ac:dyDescent="0.2">
      <c r="A504" s="5"/>
      <c r="B504" s="5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spans="1:13" ht="12.75" x14ac:dyDescent="0.2">
      <c r="A505" s="5"/>
      <c r="B505" s="5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spans="1:13" ht="12.75" x14ac:dyDescent="0.2">
      <c r="A506" s="5"/>
      <c r="B506" s="5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spans="1:13" ht="12.75" x14ac:dyDescent="0.2">
      <c r="A507" s="5"/>
      <c r="B507" s="5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spans="1:13" ht="12.75" x14ac:dyDescent="0.2">
      <c r="A508" s="5"/>
      <c r="B508" s="5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spans="1:13" ht="12.75" x14ac:dyDescent="0.2">
      <c r="A509" s="5"/>
      <c r="B509" s="5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spans="1:13" ht="12.75" x14ac:dyDescent="0.2">
      <c r="A510" s="5"/>
      <c r="B510" s="5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spans="1:13" ht="12.75" x14ac:dyDescent="0.2">
      <c r="A511" s="5"/>
      <c r="B511" s="5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spans="1:13" ht="12.75" x14ac:dyDescent="0.2">
      <c r="A512" s="5"/>
      <c r="B512" s="5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spans="1:13" ht="12.75" x14ac:dyDescent="0.2">
      <c r="A513" s="5"/>
      <c r="B513" s="5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spans="1:13" ht="12.75" x14ac:dyDescent="0.2">
      <c r="A514" s="5"/>
      <c r="B514" s="5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spans="1:13" ht="12.75" x14ac:dyDescent="0.2">
      <c r="A515" s="5"/>
      <c r="B515" s="5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spans="1:13" ht="12.75" x14ac:dyDescent="0.2">
      <c r="A516" s="5"/>
      <c r="B516" s="5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spans="1:13" ht="12.75" x14ac:dyDescent="0.2">
      <c r="A517" s="5"/>
      <c r="B517" s="5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spans="1:13" ht="12.75" x14ac:dyDescent="0.2">
      <c r="A518" s="5"/>
      <c r="B518" s="5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spans="1:13" ht="12.75" x14ac:dyDescent="0.2">
      <c r="A519" s="5"/>
      <c r="B519" s="5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spans="1:13" ht="12.75" x14ac:dyDescent="0.2">
      <c r="A520" s="5"/>
      <c r="B520" s="5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spans="1:13" ht="12.75" x14ac:dyDescent="0.2">
      <c r="A521" s="5"/>
      <c r="B521" s="5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spans="1:13" ht="12.75" x14ac:dyDescent="0.2">
      <c r="A522" s="5"/>
      <c r="B522" s="5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spans="1:13" ht="12.75" x14ac:dyDescent="0.2">
      <c r="A523" s="5"/>
      <c r="B523" s="5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spans="1:13" ht="12.75" x14ac:dyDescent="0.2">
      <c r="A524" s="5"/>
      <c r="B524" s="5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spans="1:13" ht="12.75" x14ac:dyDescent="0.2">
      <c r="A525" s="5"/>
      <c r="B525" s="5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spans="1:13" ht="12.75" x14ac:dyDescent="0.2">
      <c r="A526" s="5"/>
      <c r="B526" s="5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spans="1:13" ht="12.75" x14ac:dyDescent="0.2">
      <c r="A527" s="5"/>
      <c r="B527" s="5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spans="1:13" ht="12.75" x14ac:dyDescent="0.2">
      <c r="A528" s="5"/>
      <c r="B528" s="5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spans="1:13" ht="12.75" x14ac:dyDescent="0.2">
      <c r="A529" s="5"/>
      <c r="B529" s="5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spans="1:13" ht="12.75" x14ac:dyDescent="0.2">
      <c r="A530" s="5"/>
      <c r="B530" s="5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spans="1:13" ht="12.75" x14ac:dyDescent="0.2">
      <c r="A531" s="5"/>
      <c r="B531" s="5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spans="1:13" ht="12.75" x14ac:dyDescent="0.2">
      <c r="A532" s="5"/>
      <c r="B532" s="5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spans="1:13" ht="12.75" x14ac:dyDescent="0.2">
      <c r="A533" s="5"/>
      <c r="B533" s="5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spans="1:13" ht="12.75" x14ac:dyDescent="0.2">
      <c r="A534" s="5"/>
      <c r="B534" s="5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spans="1:13" ht="12.75" x14ac:dyDescent="0.2">
      <c r="A535" s="5"/>
      <c r="B535" s="5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spans="1:13" ht="12.75" x14ac:dyDescent="0.2">
      <c r="A536" s="5"/>
      <c r="B536" s="5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spans="1:13" ht="12.75" x14ac:dyDescent="0.2">
      <c r="A537" s="5"/>
      <c r="B537" s="5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spans="1:13" ht="12.75" x14ac:dyDescent="0.2">
      <c r="A538" s="5"/>
      <c r="B538" s="5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spans="1:13" ht="12.75" x14ac:dyDescent="0.2">
      <c r="A539" s="5"/>
      <c r="B539" s="5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spans="1:13" ht="12.75" x14ac:dyDescent="0.2">
      <c r="A540" s="5"/>
      <c r="B540" s="5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spans="1:13" ht="12.75" x14ac:dyDescent="0.2">
      <c r="A541" s="5"/>
      <c r="B541" s="5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spans="1:13" ht="12.75" x14ac:dyDescent="0.2">
      <c r="A542" s="5"/>
      <c r="B542" s="5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spans="1:13" ht="12.75" x14ac:dyDescent="0.2">
      <c r="A543" s="5"/>
      <c r="B543" s="5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spans="1:13" ht="12.75" x14ac:dyDescent="0.2">
      <c r="A544" s="5"/>
      <c r="B544" s="5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spans="1:13" ht="12.75" x14ac:dyDescent="0.2">
      <c r="A545" s="5"/>
      <c r="B545" s="5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spans="1:13" ht="12.75" x14ac:dyDescent="0.2">
      <c r="A546" s="5"/>
      <c r="B546" s="5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spans="1:13" ht="12.75" x14ac:dyDescent="0.2">
      <c r="A547" s="5"/>
      <c r="B547" s="5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spans="1:13" ht="12.75" x14ac:dyDescent="0.2">
      <c r="A548" s="5"/>
      <c r="B548" s="5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spans="1:13" ht="12.75" x14ac:dyDescent="0.2">
      <c r="A549" s="5"/>
      <c r="B549" s="5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spans="1:13" ht="12.75" x14ac:dyDescent="0.2">
      <c r="A550" s="5"/>
      <c r="B550" s="5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spans="1:13" ht="12.75" x14ac:dyDescent="0.2">
      <c r="A551" s="5"/>
      <c r="B551" s="5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spans="1:13" ht="12.75" x14ac:dyDescent="0.2">
      <c r="A552" s="5"/>
      <c r="B552" s="5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spans="1:13" ht="12.75" x14ac:dyDescent="0.2">
      <c r="A553" s="5"/>
      <c r="B553" s="5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spans="1:13" ht="12.75" x14ac:dyDescent="0.2">
      <c r="A554" s="5"/>
      <c r="B554" s="5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spans="1:13" ht="12.75" x14ac:dyDescent="0.2">
      <c r="A555" s="5"/>
      <c r="B555" s="5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spans="1:13" ht="12.75" x14ac:dyDescent="0.2">
      <c r="A556" s="5"/>
      <c r="B556" s="5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spans="1:13" ht="12.75" x14ac:dyDescent="0.2">
      <c r="A557" s="5"/>
      <c r="B557" s="5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spans="1:13" ht="12.75" x14ac:dyDescent="0.2">
      <c r="A558" s="5"/>
      <c r="B558" s="5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spans="1:13" ht="12.75" x14ac:dyDescent="0.2">
      <c r="A559" s="5"/>
      <c r="B559" s="5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spans="1:13" ht="12.75" x14ac:dyDescent="0.2">
      <c r="A560" s="5"/>
      <c r="B560" s="5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spans="1:13" ht="12.75" x14ac:dyDescent="0.2">
      <c r="A561" s="5"/>
      <c r="B561" s="5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spans="1:13" ht="12.75" x14ac:dyDescent="0.2">
      <c r="A562" s="5"/>
      <c r="B562" s="5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spans="1:13" ht="12.75" x14ac:dyDescent="0.2">
      <c r="A563" s="5"/>
      <c r="B563" s="5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spans="1:13" ht="12.75" x14ac:dyDescent="0.2">
      <c r="A564" s="5"/>
      <c r="B564" s="5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spans="1:13" ht="12.75" x14ac:dyDescent="0.2">
      <c r="A565" s="5"/>
      <c r="B565" s="5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spans="1:13" ht="12.75" x14ac:dyDescent="0.2">
      <c r="A566" s="5"/>
      <c r="B566" s="5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spans="1:13" ht="12.75" x14ac:dyDescent="0.2">
      <c r="A567" s="5"/>
      <c r="B567" s="5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spans="1:13" ht="12.75" x14ac:dyDescent="0.2">
      <c r="A568" s="5"/>
      <c r="B568" s="5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spans="1:13" ht="12.75" x14ac:dyDescent="0.2">
      <c r="A569" s="5"/>
      <c r="B569" s="5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spans="1:13" ht="12.75" x14ac:dyDescent="0.2">
      <c r="A570" s="5"/>
      <c r="B570" s="5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spans="1:13" ht="12.75" x14ac:dyDescent="0.2">
      <c r="A571" s="5"/>
      <c r="B571" s="5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spans="1:13" ht="12.75" x14ac:dyDescent="0.2">
      <c r="A572" s="5"/>
      <c r="B572" s="5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spans="1:13" ht="12.75" x14ac:dyDescent="0.2">
      <c r="A573" s="5"/>
      <c r="B573" s="5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spans="1:13" ht="12.75" x14ac:dyDescent="0.2">
      <c r="A574" s="5"/>
      <c r="B574" s="5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spans="1:13" ht="12.75" x14ac:dyDescent="0.2">
      <c r="A575" s="5"/>
      <c r="B575" s="5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spans="1:13" ht="12.75" x14ac:dyDescent="0.2">
      <c r="A576" s="5"/>
      <c r="B576" s="5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spans="1:13" ht="12.75" x14ac:dyDescent="0.2">
      <c r="A577" s="5"/>
      <c r="B577" s="5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spans="1:13" ht="12.75" x14ac:dyDescent="0.2">
      <c r="A578" s="5"/>
      <c r="B578" s="5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spans="1:13" ht="12.75" x14ac:dyDescent="0.2">
      <c r="A579" s="5"/>
      <c r="B579" s="5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spans="1:13" ht="12.75" x14ac:dyDescent="0.2">
      <c r="A580" s="5"/>
      <c r="B580" s="5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spans="1:13" ht="12.75" x14ac:dyDescent="0.2">
      <c r="A581" s="5"/>
      <c r="B581" s="5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spans="1:13" ht="12.75" x14ac:dyDescent="0.2">
      <c r="A582" s="5"/>
      <c r="B582" s="5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spans="1:13" ht="12.75" x14ac:dyDescent="0.2">
      <c r="A583" s="5"/>
      <c r="B583" s="5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spans="1:13" ht="12.75" x14ac:dyDescent="0.2">
      <c r="A584" s="5"/>
      <c r="B584" s="5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spans="1:13" ht="12.75" x14ac:dyDescent="0.2">
      <c r="A585" s="5"/>
      <c r="B585" s="5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spans="1:13" ht="12.75" x14ac:dyDescent="0.2">
      <c r="A586" s="5"/>
      <c r="B586" s="5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spans="1:13" ht="12.75" x14ac:dyDescent="0.2">
      <c r="A587" s="5"/>
      <c r="B587" s="5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spans="1:13" ht="12.75" x14ac:dyDescent="0.2">
      <c r="A588" s="5"/>
      <c r="B588" s="5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spans="1:13" ht="12.75" x14ac:dyDescent="0.2">
      <c r="A589" s="5"/>
      <c r="B589" s="5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spans="1:13" ht="12.75" x14ac:dyDescent="0.2">
      <c r="A590" s="5"/>
      <c r="B590" s="5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spans="1:13" ht="12.75" x14ac:dyDescent="0.2">
      <c r="A591" s="5"/>
      <c r="B591" s="5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spans="1:13" ht="12.75" x14ac:dyDescent="0.2">
      <c r="A592" s="5"/>
      <c r="B592" s="5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spans="1:13" ht="12.75" x14ac:dyDescent="0.2">
      <c r="A593" s="5"/>
      <c r="B593" s="5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spans="1:13" ht="12.75" x14ac:dyDescent="0.2">
      <c r="A594" s="5"/>
      <c r="B594" s="5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spans="1:13" ht="12.75" x14ac:dyDescent="0.2">
      <c r="A595" s="5"/>
      <c r="B595" s="5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spans="1:13" ht="12.75" x14ac:dyDescent="0.2">
      <c r="A596" s="5"/>
      <c r="B596" s="5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spans="1:13" ht="12.75" x14ac:dyDescent="0.2">
      <c r="A597" s="5"/>
      <c r="B597" s="5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spans="1:13" ht="12.75" x14ac:dyDescent="0.2">
      <c r="A598" s="5"/>
      <c r="B598" s="5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spans="1:13" ht="12.75" x14ac:dyDescent="0.2">
      <c r="A599" s="5"/>
      <c r="B599" s="5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spans="1:13" ht="12.75" x14ac:dyDescent="0.2">
      <c r="A600" s="5"/>
      <c r="B600" s="5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spans="1:13" ht="12.75" x14ac:dyDescent="0.2">
      <c r="A601" s="5"/>
      <c r="B601" s="5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spans="1:13" ht="12.75" x14ac:dyDescent="0.2">
      <c r="A602" s="5"/>
      <c r="B602" s="5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spans="1:13" ht="12.75" x14ac:dyDescent="0.2">
      <c r="A603" s="5"/>
      <c r="B603" s="5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spans="1:13" ht="12.75" x14ac:dyDescent="0.2">
      <c r="A604" s="5"/>
      <c r="B604" s="5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spans="1:13" ht="12.75" x14ac:dyDescent="0.2">
      <c r="A605" s="5"/>
      <c r="B605" s="5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spans="1:13" ht="12.75" x14ac:dyDescent="0.2">
      <c r="A606" s="5"/>
      <c r="B606" s="5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spans="1:13" ht="12.75" x14ac:dyDescent="0.2">
      <c r="A607" s="5"/>
      <c r="B607" s="5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spans="1:13" ht="12.75" x14ac:dyDescent="0.2">
      <c r="A608" s="5"/>
      <c r="B608" s="5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spans="1:13" ht="12.75" x14ac:dyDescent="0.2">
      <c r="A609" s="5"/>
      <c r="B609" s="5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spans="1:13" ht="12.75" x14ac:dyDescent="0.2">
      <c r="A610" s="5"/>
      <c r="B610" s="5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spans="1:13" ht="12.75" x14ac:dyDescent="0.2">
      <c r="A611" s="5"/>
      <c r="B611" s="5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spans="1:13" ht="12.75" x14ac:dyDescent="0.2">
      <c r="A612" s="5"/>
      <c r="B612" s="5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spans="1:13" ht="12.75" x14ac:dyDescent="0.2">
      <c r="A613" s="5"/>
      <c r="B613" s="5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spans="1:13" ht="12.75" x14ac:dyDescent="0.2">
      <c r="A614" s="5"/>
      <c r="B614" s="5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spans="1:13" ht="12.75" x14ac:dyDescent="0.2">
      <c r="A615" s="5"/>
      <c r="B615" s="5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spans="1:13" ht="12.75" x14ac:dyDescent="0.2">
      <c r="A616" s="5"/>
      <c r="B616" s="5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spans="1:13" ht="12.75" x14ac:dyDescent="0.2">
      <c r="A617" s="5"/>
      <c r="B617" s="5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spans="1:13" ht="12.75" x14ac:dyDescent="0.2">
      <c r="A618" s="5"/>
      <c r="B618" s="5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spans="1:13" ht="12.75" x14ac:dyDescent="0.2">
      <c r="A619" s="5"/>
      <c r="B619" s="5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spans="1:13" ht="12.75" x14ac:dyDescent="0.2">
      <c r="A620" s="5"/>
      <c r="B620" s="5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spans="1:13" ht="12.75" x14ac:dyDescent="0.2">
      <c r="A621" s="5"/>
      <c r="B621" s="5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spans="1:13" ht="12.75" x14ac:dyDescent="0.2">
      <c r="A622" s="5"/>
      <c r="B622" s="5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spans="1:13" ht="12.75" x14ac:dyDescent="0.2">
      <c r="A623" s="5"/>
      <c r="B623" s="5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spans="1:13" ht="12.75" x14ac:dyDescent="0.2">
      <c r="A624" s="5"/>
      <c r="B624" s="5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spans="1:13" ht="12.75" x14ac:dyDescent="0.2">
      <c r="A625" s="5"/>
      <c r="B625" s="5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spans="1:13" ht="12.75" x14ac:dyDescent="0.2">
      <c r="A626" s="5"/>
      <c r="B626" s="5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spans="1:13" ht="12.75" x14ac:dyDescent="0.2">
      <c r="A627" s="5"/>
      <c r="B627" s="5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spans="1:13" ht="12.75" x14ac:dyDescent="0.2">
      <c r="A628" s="5"/>
      <c r="B628" s="5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spans="1:13" ht="12.75" x14ac:dyDescent="0.2">
      <c r="A629" s="5"/>
      <c r="B629" s="5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spans="1:13" ht="12.75" x14ac:dyDescent="0.2">
      <c r="A630" s="5"/>
      <c r="B630" s="5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spans="1:13" ht="12.75" x14ac:dyDescent="0.2">
      <c r="A631" s="5"/>
      <c r="B631" s="5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spans="1:13" ht="12.75" x14ac:dyDescent="0.2">
      <c r="A632" s="5"/>
      <c r="B632" s="5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spans="1:13" ht="12.75" x14ac:dyDescent="0.2">
      <c r="A633" s="5"/>
      <c r="B633" s="5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spans="1:13" ht="12.75" x14ac:dyDescent="0.2">
      <c r="A634" s="5"/>
      <c r="B634" s="5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spans="1:13" ht="12.75" x14ac:dyDescent="0.2">
      <c r="A635" s="5"/>
      <c r="B635" s="5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spans="1:13" ht="12.75" x14ac:dyDescent="0.2">
      <c r="A636" s="5"/>
      <c r="B636" s="5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spans="1:13" ht="12.75" x14ac:dyDescent="0.2">
      <c r="A637" s="5"/>
      <c r="B637" s="5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spans="1:13" ht="12.75" x14ac:dyDescent="0.2">
      <c r="A638" s="5"/>
      <c r="B638" s="5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spans="1:13" ht="12.75" x14ac:dyDescent="0.2">
      <c r="A639" s="5"/>
      <c r="B639" s="5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spans="1:13" ht="12.75" x14ac:dyDescent="0.2">
      <c r="A640" s="5"/>
      <c r="B640" s="5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spans="1:13" ht="12.75" x14ac:dyDescent="0.2">
      <c r="A641" s="5"/>
      <c r="B641" s="5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spans="1:13" ht="12.75" x14ac:dyDescent="0.2">
      <c r="A642" s="5"/>
      <c r="B642" s="5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spans="1:13" ht="12.75" x14ac:dyDescent="0.2">
      <c r="A643" s="5"/>
      <c r="B643" s="5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spans="1:13" ht="12.75" x14ac:dyDescent="0.2">
      <c r="A644" s="5"/>
      <c r="B644" s="5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spans="1:13" ht="12.75" x14ac:dyDescent="0.2">
      <c r="A645" s="5"/>
      <c r="B645" s="5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spans="1:13" ht="12.75" x14ac:dyDescent="0.2">
      <c r="A646" s="5"/>
      <c r="B646" s="5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spans="1:13" ht="12.75" x14ac:dyDescent="0.2">
      <c r="A647" s="5"/>
      <c r="B647" s="5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spans="1:13" ht="12.75" x14ac:dyDescent="0.2">
      <c r="A648" s="5"/>
      <c r="B648" s="5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spans="1:13" ht="12.75" x14ac:dyDescent="0.2">
      <c r="A649" s="5"/>
      <c r="B649" s="5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spans="1:13" ht="12.75" x14ac:dyDescent="0.2">
      <c r="A650" s="5"/>
      <c r="B650" s="5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spans="1:13" ht="12.75" x14ac:dyDescent="0.2">
      <c r="A651" s="5"/>
      <c r="B651" s="5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spans="1:13" ht="12.75" x14ac:dyDescent="0.2">
      <c r="A652" s="5"/>
      <c r="B652" s="5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spans="1:13" ht="12.75" x14ac:dyDescent="0.2">
      <c r="A653" s="5"/>
      <c r="B653" s="5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spans="1:13" ht="12.75" x14ac:dyDescent="0.2">
      <c r="A654" s="5"/>
      <c r="B654" s="5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spans="1:13" ht="12.75" x14ac:dyDescent="0.2">
      <c r="A655" s="5"/>
      <c r="B655" s="5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spans="1:13" ht="12.75" x14ac:dyDescent="0.2">
      <c r="A656" s="5"/>
      <c r="B656" s="5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spans="1:13" ht="12.75" x14ac:dyDescent="0.2">
      <c r="A657" s="5"/>
      <c r="B657" s="5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spans="1:13" ht="12.75" x14ac:dyDescent="0.2">
      <c r="A658" s="5"/>
      <c r="B658" s="5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spans="1:13" ht="12.75" x14ac:dyDescent="0.2">
      <c r="A659" s="5"/>
      <c r="B659" s="5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spans="1:13" ht="12.75" x14ac:dyDescent="0.2">
      <c r="A660" s="5"/>
      <c r="B660" s="5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spans="1:13" ht="12.75" x14ac:dyDescent="0.2">
      <c r="A661" s="5"/>
      <c r="B661" s="5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spans="1:13" ht="12.75" x14ac:dyDescent="0.2">
      <c r="A662" s="5"/>
      <c r="B662" s="5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spans="1:13" ht="12.75" x14ac:dyDescent="0.2">
      <c r="A663" s="5"/>
      <c r="B663" s="5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spans="1:13" ht="12.75" x14ac:dyDescent="0.2">
      <c r="A664" s="5"/>
      <c r="B664" s="5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spans="1:13" ht="12.75" x14ac:dyDescent="0.2">
      <c r="A665" s="5"/>
      <c r="B665" s="5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spans="1:13" ht="12.75" x14ac:dyDescent="0.2">
      <c r="A666" s="5"/>
      <c r="B666" s="5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spans="1:13" ht="12.75" x14ac:dyDescent="0.2">
      <c r="A667" s="5"/>
      <c r="B667" s="5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spans="1:13" ht="12.75" x14ac:dyDescent="0.2">
      <c r="A668" s="5"/>
      <c r="B668" s="5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spans="1:13" ht="12.75" x14ac:dyDescent="0.2">
      <c r="A669" s="5"/>
      <c r="B669" s="5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spans="1:13" ht="12.75" x14ac:dyDescent="0.2">
      <c r="A670" s="5"/>
      <c r="B670" s="5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spans="1:13" ht="12.75" x14ac:dyDescent="0.2">
      <c r="A671" s="5"/>
      <c r="B671" s="5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spans="1:13" ht="12.75" x14ac:dyDescent="0.2">
      <c r="A672" s="5"/>
      <c r="B672" s="5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spans="1:13" ht="12.75" x14ac:dyDescent="0.2">
      <c r="A673" s="5"/>
      <c r="B673" s="5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spans="1:13" ht="12.75" x14ac:dyDescent="0.2">
      <c r="A674" s="5"/>
      <c r="B674" s="5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spans="1:13" ht="12.75" x14ac:dyDescent="0.2">
      <c r="A675" s="5"/>
      <c r="B675" s="5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spans="1:13" ht="12.75" x14ac:dyDescent="0.2">
      <c r="A676" s="5"/>
      <c r="B676" s="5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spans="1:13" ht="12.75" x14ac:dyDescent="0.2">
      <c r="A677" s="5"/>
      <c r="B677" s="5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spans="1:13" ht="12.75" x14ac:dyDescent="0.2">
      <c r="A678" s="5"/>
      <c r="B678" s="5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spans="1:13" ht="12.75" x14ac:dyDescent="0.2">
      <c r="A679" s="5"/>
      <c r="B679" s="5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spans="1:13" ht="12.75" x14ac:dyDescent="0.2">
      <c r="A680" s="5"/>
      <c r="B680" s="5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spans="1:13" ht="12.75" x14ac:dyDescent="0.2">
      <c r="A681" s="5"/>
      <c r="B681" s="5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spans="1:13" ht="12.75" x14ac:dyDescent="0.2">
      <c r="A682" s="5"/>
      <c r="B682" s="5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spans="1:13" ht="12.75" x14ac:dyDescent="0.2">
      <c r="A683" s="5"/>
      <c r="B683" s="5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spans="1:13" ht="12.75" x14ac:dyDescent="0.2">
      <c r="A684" s="5"/>
      <c r="B684" s="5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spans="1:13" ht="12.75" x14ac:dyDescent="0.2">
      <c r="A685" s="5"/>
      <c r="B685" s="5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spans="1:13" ht="12.75" x14ac:dyDescent="0.2">
      <c r="A686" s="5"/>
      <c r="B686" s="5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spans="1:13" ht="12.75" x14ac:dyDescent="0.2">
      <c r="A687" s="5"/>
      <c r="B687" s="5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spans="1:13" ht="12.75" x14ac:dyDescent="0.2">
      <c r="A688" s="5"/>
      <c r="B688" s="5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spans="1:13" ht="12.75" x14ac:dyDescent="0.2">
      <c r="A689" s="5"/>
      <c r="B689" s="5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spans="1:13" ht="12.75" x14ac:dyDescent="0.2">
      <c r="A690" s="5"/>
      <c r="B690" s="5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spans="1:13" ht="12.75" x14ac:dyDescent="0.2">
      <c r="A691" s="5"/>
      <c r="B691" s="5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spans="1:13" ht="12.75" x14ac:dyDescent="0.2">
      <c r="A692" s="5"/>
      <c r="B692" s="5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spans="1:13" ht="12.75" x14ac:dyDescent="0.2">
      <c r="A693" s="5"/>
      <c r="B693" s="5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spans="1:13" ht="12.75" x14ac:dyDescent="0.2">
      <c r="A694" s="5"/>
      <c r="B694" s="5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spans="1:13" ht="12.75" x14ac:dyDescent="0.2">
      <c r="A695" s="5"/>
      <c r="B695" s="5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spans="1:13" ht="12.75" x14ac:dyDescent="0.2">
      <c r="A696" s="5"/>
      <c r="B696" s="5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spans="1:13" ht="12.75" x14ac:dyDescent="0.2">
      <c r="A697" s="5"/>
      <c r="B697" s="5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spans="1:13" ht="12.75" x14ac:dyDescent="0.2">
      <c r="A698" s="5"/>
      <c r="B698" s="5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spans="1:13" ht="12.75" x14ac:dyDescent="0.2">
      <c r="A699" s="5"/>
      <c r="B699" s="5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spans="1:13" ht="12.75" x14ac:dyDescent="0.2">
      <c r="A700" s="5"/>
      <c r="B700" s="5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spans="1:13" ht="12.75" x14ac:dyDescent="0.2">
      <c r="A701" s="5"/>
      <c r="B701" s="5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spans="1:13" ht="12.75" x14ac:dyDescent="0.2">
      <c r="A702" s="5"/>
      <c r="B702" s="5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spans="1:13" ht="12.75" x14ac:dyDescent="0.2">
      <c r="A703" s="5"/>
      <c r="B703" s="5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spans="1:13" ht="12.75" x14ac:dyDescent="0.2">
      <c r="A704" s="5"/>
      <c r="B704" s="5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spans="1:13" ht="12.75" x14ac:dyDescent="0.2">
      <c r="A705" s="5"/>
      <c r="B705" s="5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spans="1:13" ht="12.75" x14ac:dyDescent="0.2">
      <c r="A706" s="5"/>
      <c r="B706" s="5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spans="1:13" ht="12.75" x14ac:dyDescent="0.2">
      <c r="A707" s="5"/>
      <c r="B707" s="5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spans="1:13" ht="12.75" x14ac:dyDescent="0.2">
      <c r="A708" s="5"/>
      <c r="B708" s="5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spans="1:13" ht="12.75" x14ac:dyDescent="0.2">
      <c r="A709" s="5"/>
      <c r="B709" s="5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spans="1:13" ht="12.75" x14ac:dyDescent="0.2">
      <c r="A710" s="5"/>
      <c r="B710" s="5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spans="1:13" ht="12.75" x14ac:dyDescent="0.2">
      <c r="A711" s="5"/>
      <c r="B711" s="5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spans="1:13" ht="12.75" x14ac:dyDescent="0.2">
      <c r="A712" s="5"/>
      <c r="B712" s="5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spans="1:13" ht="12.75" x14ac:dyDescent="0.2">
      <c r="A713" s="5"/>
      <c r="B713" s="5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spans="1:13" ht="12.75" x14ac:dyDescent="0.2">
      <c r="A714" s="5"/>
      <c r="B714" s="5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spans="1:13" ht="12.75" x14ac:dyDescent="0.2">
      <c r="A715" s="5"/>
      <c r="B715" s="5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spans="1:13" ht="12.75" x14ac:dyDescent="0.2">
      <c r="A716" s="5"/>
      <c r="B716" s="5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spans="1:13" ht="12.75" x14ac:dyDescent="0.2">
      <c r="A717" s="5"/>
      <c r="B717" s="5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spans="1:13" ht="12.75" x14ac:dyDescent="0.2">
      <c r="A718" s="5"/>
      <c r="B718" s="5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spans="1:13" ht="12.75" x14ac:dyDescent="0.2">
      <c r="A719" s="5"/>
      <c r="B719" s="5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spans="1:13" ht="12.75" x14ac:dyDescent="0.2">
      <c r="A720" s="5"/>
      <c r="B720" s="5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spans="1:13" ht="12.75" x14ac:dyDescent="0.2">
      <c r="A721" s="5"/>
      <c r="B721" s="5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spans="1:13" ht="12.75" x14ac:dyDescent="0.2">
      <c r="A722" s="5"/>
      <c r="B722" s="5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spans="1:13" ht="12.75" x14ac:dyDescent="0.2">
      <c r="A723" s="5"/>
      <c r="B723" s="5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spans="1:13" ht="12.75" x14ac:dyDescent="0.2">
      <c r="A724" s="5"/>
      <c r="B724" s="5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spans="1:13" ht="12.75" x14ac:dyDescent="0.2">
      <c r="A725" s="5"/>
      <c r="B725" s="5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spans="1:13" ht="12.75" x14ac:dyDescent="0.2">
      <c r="A726" s="5"/>
      <c r="B726" s="5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spans="1:13" ht="12.75" x14ac:dyDescent="0.2">
      <c r="A727" s="5"/>
      <c r="B727" s="5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spans="1:13" ht="12.75" x14ac:dyDescent="0.2">
      <c r="A728" s="5"/>
      <c r="B728" s="5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spans="1:13" ht="12.75" x14ac:dyDescent="0.2">
      <c r="A729" s="5"/>
      <c r="B729" s="5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spans="1:13" ht="12.75" x14ac:dyDescent="0.2">
      <c r="A730" s="5"/>
      <c r="B730" s="5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spans="1:13" ht="12.75" x14ac:dyDescent="0.2">
      <c r="A731" s="5"/>
      <c r="B731" s="5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spans="1:13" ht="12.75" x14ac:dyDescent="0.2">
      <c r="A732" s="5"/>
      <c r="B732" s="5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spans="1:13" ht="12.75" x14ac:dyDescent="0.2">
      <c r="A733" s="5"/>
      <c r="B733" s="5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spans="1:13" ht="12.75" x14ac:dyDescent="0.2">
      <c r="A734" s="5"/>
      <c r="B734" s="5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spans="1:13" ht="12.75" x14ac:dyDescent="0.2">
      <c r="A735" s="5"/>
      <c r="B735" s="5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spans="1:13" ht="12.75" x14ac:dyDescent="0.2">
      <c r="A736" s="5"/>
      <c r="B736" s="5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spans="1:13" ht="12.75" x14ac:dyDescent="0.2">
      <c r="A737" s="5"/>
      <c r="B737" s="5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spans="1:13" ht="12.75" x14ac:dyDescent="0.2">
      <c r="A738" s="5"/>
      <c r="B738" s="5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spans="1:13" ht="12.75" x14ac:dyDescent="0.2">
      <c r="A739" s="5"/>
      <c r="B739" s="5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spans="1:13" ht="12.75" x14ac:dyDescent="0.2">
      <c r="A740" s="5"/>
      <c r="B740" s="5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spans="1:13" ht="12.75" x14ac:dyDescent="0.2">
      <c r="A741" s="5"/>
      <c r="B741" s="5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spans="1:13" ht="12.75" x14ac:dyDescent="0.2">
      <c r="A742" s="5"/>
      <c r="B742" s="5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spans="1:13" ht="12.75" x14ac:dyDescent="0.2">
      <c r="A743" s="5"/>
      <c r="B743" s="5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spans="1:13" ht="12.75" x14ac:dyDescent="0.2">
      <c r="A744" s="5"/>
      <c r="B744" s="5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spans="1:13" ht="12.75" x14ac:dyDescent="0.2">
      <c r="A745" s="5"/>
      <c r="B745" s="5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spans="1:13" ht="12.75" x14ac:dyDescent="0.2">
      <c r="A746" s="5"/>
      <c r="B746" s="5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spans="1:13" ht="12.75" x14ac:dyDescent="0.2">
      <c r="A747" s="5"/>
      <c r="B747" s="5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spans="1:13" ht="12.75" x14ac:dyDescent="0.2">
      <c r="A748" s="5"/>
      <c r="B748" s="5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spans="1:13" ht="12.75" x14ac:dyDescent="0.2">
      <c r="A749" s="5"/>
      <c r="B749" s="5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spans="1:13" ht="12.75" x14ac:dyDescent="0.2">
      <c r="A750" s="5"/>
      <c r="B750" s="5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spans="1:13" ht="12.75" x14ac:dyDescent="0.2">
      <c r="A751" s="5"/>
      <c r="B751" s="5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spans="1:13" ht="12.75" x14ac:dyDescent="0.2">
      <c r="A752" s="5"/>
      <c r="B752" s="5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spans="1:13" ht="12.75" x14ac:dyDescent="0.2">
      <c r="A753" s="5"/>
      <c r="B753" s="5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spans="1:13" ht="12.75" x14ac:dyDescent="0.2">
      <c r="A754" s="5"/>
      <c r="B754" s="5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spans="1:13" ht="12.75" x14ac:dyDescent="0.2">
      <c r="A755" s="5"/>
      <c r="B755" s="5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spans="1:13" ht="12.75" x14ac:dyDescent="0.2">
      <c r="A756" s="5"/>
      <c r="B756" s="5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spans="1:13" ht="12.75" x14ac:dyDescent="0.2">
      <c r="A757" s="5"/>
      <c r="B757" s="5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spans="1:13" ht="12.75" x14ac:dyDescent="0.2">
      <c r="A758" s="5"/>
      <c r="B758" s="5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spans="1:13" ht="12.75" x14ac:dyDescent="0.2">
      <c r="A759" s="5"/>
      <c r="B759" s="5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spans="1:13" ht="12.75" x14ac:dyDescent="0.2">
      <c r="A760" s="5"/>
      <c r="B760" s="5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spans="1:13" ht="12.75" x14ac:dyDescent="0.2">
      <c r="A761" s="5"/>
      <c r="B761" s="5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spans="1:13" ht="12.75" x14ac:dyDescent="0.2">
      <c r="A762" s="5"/>
      <c r="B762" s="5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spans="1:13" ht="12.75" x14ac:dyDescent="0.2">
      <c r="A763" s="5"/>
      <c r="B763" s="5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spans="1:13" ht="12.75" x14ac:dyDescent="0.2">
      <c r="A764" s="5"/>
      <c r="B764" s="5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spans="1:13" ht="12.75" x14ac:dyDescent="0.2">
      <c r="A765" s="5"/>
      <c r="B765" s="5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spans="1:13" ht="12.75" x14ac:dyDescent="0.2">
      <c r="A766" s="5"/>
      <c r="B766" s="5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spans="1:13" ht="12.75" x14ac:dyDescent="0.2">
      <c r="A767" s="5"/>
      <c r="B767" s="5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spans="1:13" ht="12.75" x14ac:dyDescent="0.2">
      <c r="A768" s="5"/>
      <c r="B768" s="5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spans="1:13" ht="12.75" x14ac:dyDescent="0.2">
      <c r="A769" s="5"/>
      <c r="B769" s="5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spans="1:13" ht="12.75" x14ac:dyDescent="0.2">
      <c r="A770" s="5"/>
      <c r="B770" s="5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spans="1:13" ht="12.75" x14ac:dyDescent="0.2">
      <c r="A771" s="5"/>
      <c r="B771" s="5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spans="1:13" ht="12.75" x14ac:dyDescent="0.2">
      <c r="A772" s="5"/>
      <c r="B772" s="5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spans="1:13" ht="12.75" x14ac:dyDescent="0.2">
      <c r="A773" s="5"/>
      <c r="B773" s="5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spans="1:13" ht="12.75" x14ac:dyDescent="0.2">
      <c r="A774" s="5"/>
      <c r="B774" s="5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spans="1:13" ht="12.75" x14ac:dyDescent="0.2">
      <c r="A775" s="5"/>
      <c r="B775" s="5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spans="1:13" ht="12.75" x14ac:dyDescent="0.2">
      <c r="A776" s="5"/>
      <c r="B776" s="5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spans="1:13" ht="12.75" x14ac:dyDescent="0.2">
      <c r="A777" s="5"/>
      <c r="B777" s="5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spans="1:13" ht="12.75" x14ac:dyDescent="0.2">
      <c r="A778" s="5"/>
      <c r="B778" s="5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spans="1:13" ht="12.75" x14ac:dyDescent="0.2">
      <c r="A779" s="5"/>
      <c r="B779" s="5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spans="1:13" ht="12.75" x14ac:dyDescent="0.2">
      <c r="A780" s="5"/>
      <c r="B780" s="5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spans="1:13" ht="12.75" x14ac:dyDescent="0.2">
      <c r="A781" s="5"/>
      <c r="B781" s="5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spans="1:13" ht="12.75" x14ac:dyDescent="0.2">
      <c r="A782" s="5"/>
      <c r="B782" s="5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spans="1:13" ht="12.75" x14ac:dyDescent="0.2">
      <c r="A783" s="5"/>
      <c r="B783" s="5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spans="1:13" ht="12.75" x14ac:dyDescent="0.2">
      <c r="A784" s="5"/>
      <c r="B784" s="5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spans="1:13" ht="12.75" x14ac:dyDescent="0.2">
      <c r="A785" s="5"/>
      <c r="B785" s="5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spans="1:13" ht="12.75" x14ac:dyDescent="0.2">
      <c r="A786" s="5"/>
      <c r="B786" s="5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spans="1:13" ht="12.75" x14ac:dyDescent="0.2">
      <c r="A787" s="5"/>
      <c r="B787" s="5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spans="1:13" ht="12.75" x14ac:dyDescent="0.2">
      <c r="A788" s="5"/>
      <c r="B788" s="5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spans="1:13" ht="12.75" x14ac:dyDescent="0.2">
      <c r="A789" s="5"/>
      <c r="B789" s="5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spans="1:13" ht="12.75" x14ac:dyDescent="0.2">
      <c r="A790" s="5"/>
      <c r="B790" s="5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spans="1:13" ht="12.75" x14ac:dyDescent="0.2">
      <c r="A791" s="5"/>
      <c r="B791" s="5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spans="1:13" ht="12.75" x14ac:dyDescent="0.2">
      <c r="A792" s="5"/>
      <c r="B792" s="5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spans="1:13" ht="12.75" x14ac:dyDescent="0.2">
      <c r="A793" s="5"/>
      <c r="B793" s="5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spans="1:13" ht="12.75" x14ac:dyDescent="0.2">
      <c r="A794" s="5"/>
      <c r="B794" s="5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spans="1:13" ht="12.75" x14ac:dyDescent="0.2">
      <c r="A795" s="5"/>
      <c r="B795" s="5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spans="1:13" ht="12.75" x14ac:dyDescent="0.2">
      <c r="A796" s="5"/>
      <c r="B796" s="5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spans="1:13" ht="12.75" x14ac:dyDescent="0.2">
      <c r="A797" s="5"/>
      <c r="B797" s="5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spans="1:13" ht="12.75" x14ac:dyDescent="0.2">
      <c r="A798" s="5"/>
      <c r="B798" s="5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spans="1:13" ht="12.75" x14ac:dyDescent="0.2">
      <c r="A799" s="5"/>
      <c r="B799" s="5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spans="1:13" ht="12.75" x14ac:dyDescent="0.2">
      <c r="A800" s="5"/>
      <c r="B800" s="5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spans="1:13" ht="12.75" x14ac:dyDescent="0.2">
      <c r="A801" s="5"/>
      <c r="B801" s="5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spans="1:13" ht="12.75" x14ac:dyDescent="0.2">
      <c r="A802" s="5"/>
      <c r="B802" s="5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spans="1:13" ht="12.75" x14ac:dyDescent="0.2">
      <c r="A803" s="5"/>
      <c r="B803" s="5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spans="1:13" ht="12.75" x14ac:dyDescent="0.2">
      <c r="A804" s="5"/>
      <c r="B804" s="5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spans="1:13" ht="12.75" x14ac:dyDescent="0.2">
      <c r="A805" s="5"/>
      <c r="B805" s="5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spans="1:13" ht="12.75" x14ac:dyDescent="0.2">
      <c r="A806" s="5"/>
      <c r="B806" s="5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spans="1:13" ht="12.75" x14ac:dyDescent="0.2">
      <c r="A807" s="5"/>
      <c r="B807" s="5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spans="1:13" ht="12.75" x14ac:dyDescent="0.2">
      <c r="A808" s="5"/>
      <c r="B808" s="5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spans="1:13" ht="12.75" x14ac:dyDescent="0.2">
      <c r="A809" s="5"/>
      <c r="B809" s="5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spans="1:13" ht="12.75" x14ac:dyDescent="0.2">
      <c r="A810" s="5"/>
      <c r="B810" s="5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spans="1:13" ht="12.75" x14ac:dyDescent="0.2">
      <c r="A811" s="5"/>
      <c r="B811" s="5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spans="1:13" ht="12.75" x14ac:dyDescent="0.2">
      <c r="A812" s="5"/>
      <c r="B812" s="5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spans="1:13" ht="12.75" x14ac:dyDescent="0.2">
      <c r="A813" s="5"/>
      <c r="B813" s="5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spans="1:13" ht="12.75" x14ac:dyDescent="0.2">
      <c r="A814" s="5"/>
      <c r="B814" s="5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spans="1:13" ht="12.75" x14ac:dyDescent="0.2">
      <c r="A815" s="5"/>
      <c r="B815" s="5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spans="1:13" ht="12.75" x14ac:dyDescent="0.2">
      <c r="A816" s="5"/>
      <c r="B816" s="5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spans="1:13" ht="12.75" x14ac:dyDescent="0.2">
      <c r="A817" s="5"/>
      <c r="B817" s="5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spans="1:13" ht="12.75" x14ac:dyDescent="0.2">
      <c r="A818" s="5"/>
      <c r="B818" s="5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spans="1:13" ht="12.75" x14ac:dyDescent="0.2">
      <c r="A819" s="5"/>
      <c r="B819" s="5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spans="1:13" ht="12.75" x14ac:dyDescent="0.2">
      <c r="A820" s="5"/>
      <c r="B820" s="5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spans="1:13" ht="12.75" x14ac:dyDescent="0.2">
      <c r="A821" s="5"/>
      <c r="B821" s="5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spans="1:13" ht="12.75" x14ac:dyDescent="0.2">
      <c r="A822" s="5"/>
      <c r="B822" s="5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spans="1:13" ht="12.75" x14ac:dyDescent="0.2">
      <c r="A823" s="5"/>
      <c r="B823" s="5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spans="1:13" ht="12.75" x14ac:dyDescent="0.2">
      <c r="A824" s="5"/>
      <c r="B824" s="5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spans="1:13" ht="12.75" x14ac:dyDescent="0.2">
      <c r="A825" s="5"/>
      <c r="B825" s="5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spans="1:13" ht="12.75" x14ac:dyDescent="0.2">
      <c r="A826" s="5"/>
      <c r="B826" s="5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spans="1:13" ht="12.75" x14ac:dyDescent="0.2">
      <c r="A827" s="5"/>
      <c r="B827" s="5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spans="1:13" ht="12.75" x14ac:dyDescent="0.2">
      <c r="A828" s="5"/>
      <c r="B828" s="5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spans="1:13" ht="12.75" x14ac:dyDescent="0.2">
      <c r="A829" s="5"/>
      <c r="B829" s="5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spans="1:13" ht="12.75" x14ac:dyDescent="0.2">
      <c r="A830" s="5"/>
      <c r="B830" s="5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spans="1:13" ht="12.75" x14ac:dyDescent="0.2">
      <c r="A831" s="5"/>
      <c r="B831" s="5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spans="1:13" ht="12.75" x14ac:dyDescent="0.2">
      <c r="A832" s="5"/>
      <c r="B832" s="5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spans="1:13" ht="12.75" x14ac:dyDescent="0.2">
      <c r="A833" s="5"/>
      <c r="B833" s="5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spans="1:13" ht="12.75" x14ac:dyDescent="0.2">
      <c r="A834" s="5"/>
      <c r="B834" s="5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spans="1:13" ht="12.75" x14ac:dyDescent="0.2">
      <c r="A835" s="5"/>
      <c r="B835" s="5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spans="1:13" ht="12.75" x14ac:dyDescent="0.2">
      <c r="A836" s="5"/>
      <c r="B836" s="5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spans="1:13" ht="12.75" x14ac:dyDescent="0.2">
      <c r="A837" s="5"/>
      <c r="B837" s="5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spans="1:13" ht="12.75" x14ac:dyDescent="0.2">
      <c r="A838" s="5"/>
      <c r="B838" s="5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spans="1:13" ht="12.75" x14ac:dyDescent="0.2">
      <c r="A839" s="5"/>
      <c r="B839" s="5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spans="1:13" ht="12.75" x14ac:dyDescent="0.2">
      <c r="A840" s="5"/>
      <c r="B840" s="5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spans="1:13" ht="12.75" x14ac:dyDescent="0.2">
      <c r="A841" s="5"/>
      <c r="B841" s="5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spans="1:13" ht="12.75" x14ac:dyDescent="0.2">
      <c r="A842" s="5"/>
      <c r="B842" s="5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spans="1:13" ht="12.75" x14ac:dyDescent="0.2">
      <c r="A843" s="5"/>
      <c r="B843" s="5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spans="1:13" ht="12.75" x14ac:dyDescent="0.2">
      <c r="A844" s="5"/>
      <c r="B844" s="5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spans="1:13" ht="12.75" x14ac:dyDescent="0.2">
      <c r="A845" s="5"/>
      <c r="B845" s="5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spans="1:13" ht="12.75" x14ac:dyDescent="0.2">
      <c r="A846" s="5"/>
      <c r="B846" s="5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spans="1:13" ht="12.75" x14ac:dyDescent="0.2">
      <c r="A847" s="5"/>
      <c r="B847" s="5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spans="1:13" ht="12.75" x14ac:dyDescent="0.2">
      <c r="A848" s="5"/>
      <c r="B848" s="5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spans="1:13" ht="12.75" x14ac:dyDescent="0.2">
      <c r="A849" s="5"/>
      <c r="B849" s="5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spans="1:13" ht="12.75" x14ac:dyDescent="0.2">
      <c r="A850" s="5"/>
      <c r="B850" s="5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spans="1:13" ht="12.75" x14ac:dyDescent="0.2">
      <c r="A851" s="5"/>
      <c r="B851" s="5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spans="1:13" ht="12.75" x14ac:dyDescent="0.2">
      <c r="A852" s="5"/>
      <c r="B852" s="5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spans="1:13" ht="12.75" x14ac:dyDescent="0.2">
      <c r="A853" s="5"/>
      <c r="B853" s="5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spans="1:13" ht="12.75" x14ac:dyDescent="0.2">
      <c r="A854" s="5"/>
      <c r="B854" s="5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spans="1:13" ht="12.75" x14ac:dyDescent="0.2">
      <c r="A855" s="5"/>
      <c r="B855" s="5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spans="1:13" ht="12.75" x14ac:dyDescent="0.2">
      <c r="A856" s="5"/>
      <c r="B856" s="5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spans="1:13" ht="12.75" x14ac:dyDescent="0.2">
      <c r="A857" s="5"/>
      <c r="B857" s="5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spans="1:13" ht="12.75" x14ac:dyDescent="0.2">
      <c r="A858" s="5"/>
      <c r="B858" s="5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spans="1:13" ht="12.75" x14ac:dyDescent="0.2">
      <c r="A859" s="5"/>
      <c r="B859" s="5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spans="1:13" ht="12.75" x14ac:dyDescent="0.2">
      <c r="A860" s="5"/>
      <c r="B860" s="5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spans="1:13" ht="12.75" x14ac:dyDescent="0.2">
      <c r="A861" s="5"/>
      <c r="B861" s="5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spans="1:13" ht="12.75" x14ac:dyDescent="0.2">
      <c r="A862" s="5"/>
      <c r="B862" s="5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spans="1:13" ht="12.75" x14ac:dyDescent="0.2">
      <c r="A863" s="5"/>
      <c r="B863" s="5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spans="1:13" ht="12.75" x14ac:dyDescent="0.2">
      <c r="A864" s="5"/>
      <c r="B864" s="5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spans="1:13" ht="12.75" x14ac:dyDescent="0.2">
      <c r="A865" s="5"/>
      <c r="B865" s="5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spans="1:13" ht="12.75" x14ac:dyDescent="0.2">
      <c r="A866" s="5"/>
      <c r="B866" s="5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spans="1:13" ht="12.75" x14ac:dyDescent="0.2">
      <c r="A867" s="5"/>
      <c r="B867" s="5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spans="1:13" ht="12.75" x14ac:dyDescent="0.2">
      <c r="A868" s="5"/>
      <c r="B868" s="5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spans="1:13" ht="12.75" x14ac:dyDescent="0.2">
      <c r="A869" s="5"/>
      <c r="B869" s="5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spans="1:13" ht="12.75" x14ac:dyDescent="0.2">
      <c r="A870" s="5"/>
      <c r="B870" s="5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spans="1:13" ht="12.75" x14ac:dyDescent="0.2">
      <c r="A871" s="5"/>
      <c r="B871" s="5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spans="1:13" ht="12.75" x14ac:dyDescent="0.2">
      <c r="A872" s="5"/>
      <c r="B872" s="5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spans="1:13" ht="12.75" x14ac:dyDescent="0.2">
      <c r="A873" s="5"/>
      <c r="B873" s="5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spans="1:13" ht="12.75" x14ac:dyDescent="0.2">
      <c r="A874" s="5"/>
      <c r="B874" s="5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spans="1:13" ht="12.75" x14ac:dyDescent="0.2">
      <c r="A875" s="5"/>
      <c r="B875" s="5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spans="1:13" ht="12.75" x14ac:dyDescent="0.2">
      <c r="A876" s="5"/>
      <c r="B876" s="5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spans="1:13" ht="12.75" x14ac:dyDescent="0.2">
      <c r="A877" s="5"/>
      <c r="B877" s="5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spans="1:13" ht="12.75" x14ac:dyDescent="0.2">
      <c r="A878" s="5"/>
      <c r="B878" s="5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spans="1:13" ht="12.75" x14ac:dyDescent="0.2">
      <c r="A879" s="5"/>
      <c r="B879" s="5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spans="1:13" ht="12.75" x14ac:dyDescent="0.2">
      <c r="A880" s="5"/>
      <c r="B880" s="5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spans="1:13" ht="12.75" x14ac:dyDescent="0.2">
      <c r="A881" s="5"/>
      <c r="B881" s="5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spans="1:13" ht="12.75" x14ac:dyDescent="0.2">
      <c r="A882" s="5"/>
      <c r="B882" s="5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spans="1:13" ht="12.75" x14ac:dyDescent="0.2">
      <c r="A883" s="5"/>
      <c r="B883" s="5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spans="1:13" ht="12.75" x14ac:dyDescent="0.2">
      <c r="A884" s="5"/>
      <c r="B884" s="5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spans="1:13" ht="12.75" x14ac:dyDescent="0.2">
      <c r="A885" s="5"/>
      <c r="B885" s="5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spans="1:13" ht="12.75" x14ac:dyDescent="0.2">
      <c r="A886" s="5"/>
      <c r="B886" s="5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spans="1:13" ht="12.75" x14ac:dyDescent="0.2">
      <c r="A887" s="5"/>
      <c r="B887" s="5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spans="1:13" ht="12.75" x14ac:dyDescent="0.2">
      <c r="A888" s="5"/>
      <c r="B888" s="5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spans="1:13" ht="12.75" x14ac:dyDescent="0.2">
      <c r="A889" s="5"/>
      <c r="B889" s="5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spans="1:13" ht="12.75" x14ac:dyDescent="0.2">
      <c r="A890" s="5"/>
      <c r="B890" s="5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spans="1:13" ht="12.75" x14ac:dyDescent="0.2">
      <c r="A891" s="5"/>
      <c r="B891" s="5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spans="1:13" ht="12.75" x14ac:dyDescent="0.2">
      <c r="A892" s="5"/>
      <c r="B892" s="5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spans="1:13" ht="12.75" x14ac:dyDescent="0.2">
      <c r="A893" s="5"/>
      <c r="B893" s="5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spans="1:13" ht="12.75" x14ac:dyDescent="0.2">
      <c r="A894" s="5"/>
      <c r="B894" s="5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spans="1:13" ht="12.75" x14ac:dyDescent="0.2">
      <c r="A895" s="5"/>
      <c r="B895" s="5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spans="1:13" ht="12.75" x14ac:dyDescent="0.2">
      <c r="A896" s="5"/>
      <c r="B896" s="5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spans="1:13" ht="12.75" x14ac:dyDescent="0.2">
      <c r="A897" s="5"/>
      <c r="B897" s="5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spans="1:13" ht="12.75" x14ac:dyDescent="0.2">
      <c r="A898" s="5"/>
      <c r="B898" s="5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spans="1:13" ht="12.75" x14ac:dyDescent="0.2">
      <c r="A899" s="5"/>
      <c r="B899" s="5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spans="1:13" ht="12.75" x14ac:dyDescent="0.2">
      <c r="A900" s="5"/>
      <c r="B900" s="5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spans="1:13" ht="12.75" x14ac:dyDescent="0.2">
      <c r="A901" s="5"/>
      <c r="B901" s="5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spans="1:13" ht="12.75" x14ac:dyDescent="0.2">
      <c r="A902" s="5"/>
      <c r="B902" s="5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spans="1:13" ht="12.75" x14ac:dyDescent="0.2">
      <c r="A903" s="5"/>
      <c r="B903" s="5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spans="1:13" ht="12.75" x14ac:dyDescent="0.2">
      <c r="A904" s="5"/>
      <c r="B904" s="5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spans="1:13" ht="12.75" x14ac:dyDescent="0.2">
      <c r="A905" s="5"/>
      <c r="B905" s="5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spans="1:13" ht="12.75" x14ac:dyDescent="0.2">
      <c r="A906" s="5"/>
      <c r="B906" s="5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spans="1:13" ht="12.75" x14ac:dyDescent="0.2">
      <c r="A907" s="5"/>
      <c r="B907" s="5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spans="1:13" ht="12.75" x14ac:dyDescent="0.2">
      <c r="A908" s="5"/>
      <c r="B908" s="5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spans="1:13" ht="12.75" x14ac:dyDescent="0.2">
      <c r="A909" s="5"/>
      <c r="B909" s="5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spans="1:13" ht="12.75" x14ac:dyDescent="0.2">
      <c r="A910" s="5"/>
      <c r="B910" s="5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spans="1:13" ht="12.75" x14ac:dyDescent="0.2">
      <c r="A911" s="5"/>
      <c r="B911" s="5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spans="1:13" ht="12.75" x14ac:dyDescent="0.2">
      <c r="A912" s="5"/>
      <c r="B912" s="5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spans="1:13" ht="12.75" x14ac:dyDescent="0.2">
      <c r="A913" s="5"/>
      <c r="B913" s="5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spans="1:13" ht="12.75" x14ac:dyDescent="0.2">
      <c r="A914" s="5"/>
      <c r="B914" s="5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spans="1:13" ht="12.75" x14ac:dyDescent="0.2">
      <c r="A915" s="5"/>
      <c r="B915" s="5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spans="1:13" ht="12.75" x14ac:dyDescent="0.2">
      <c r="A916" s="5"/>
      <c r="B916" s="5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spans="1:13" ht="12.75" x14ac:dyDescent="0.2">
      <c r="A917" s="5"/>
      <c r="B917" s="5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spans="1:13" ht="12.75" x14ac:dyDescent="0.2">
      <c r="A918" s="5"/>
      <c r="B918" s="5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spans="1:13" ht="12.75" x14ac:dyDescent="0.2">
      <c r="A919" s="5"/>
      <c r="B919" s="5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spans="1:13" ht="12.75" x14ac:dyDescent="0.2">
      <c r="A920" s="5"/>
      <c r="B920" s="5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spans="1:13" ht="12.75" x14ac:dyDescent="0.2">
      <c r="A921" s="5"/>
      <c r="B921" s="5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spans="1:13" ht="12.75" x14ac:dyDescent="0.2">
      <c r="A922" s="5"/>
      <c r="B922" s="5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spans="1:13" ht="12.75" x14ac:dyDescent="0.2">
      <c r="A923" s="5"/>
      <c r="B923" s="5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spans="1:13" ht="12.75" x14ac:dyDescent="0.2">
      <c r="A924" s="5"/>
      <c r="B924" s="5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spans="1:13" ht="12.75" x14ac:dyDescent="0.2">
      <c r="A925" s="5"/>
      <c r="B925" s="5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spans="1:13" ht="12.75" x14ac:dyDescent="0.2">
      <c r="A926" s="5"/>
      <c r="B926" s="5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spans="1:13" ht="12.75" x14ac:dyDescent="0.2">
      <c r="A927" s="5"/>
      <c r="B927" s="5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spans="1:13" ht="12.75" x14ac:dyDescent="0.2">
      <c r="A928" s="5"/>
      <c r="B928" s="5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spans="1:13" ht="12.75" x14ac:dyDescent="0.2">
      <c r="A929" s="5"/>
      <c r="B929" s="5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spans="1:13" ht="12.75" x14ac:dyDescent="0.2">
      <c r="A930" s="5"/>
      <c r="B930" s="5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spans="1:13" ht="12.75" x14ac:dyDescent="0.2">
      <c r="A931" s="5"/>
      <c r="B931" s="5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spans="1:13" ht="12.75" x14ac:dyDescent="0.2">
      <c r="A932" s="5"/>
      <c r="B932" s="5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spans="1:13" ht="12.75" x14ac:dyDescent="0.2">
      <c r="A933" s="5"/>
      <c r="B933" s="5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spans="1:13" ht="12.75" x14ac:dyDescent="0.2">
      <c r="A934" s="5"/>
      <c r="B934" s="5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spans="1:13" ht="12.75" x14ac:dyDescent="0.2">
      <c r="A935" s="5"/>
      <c r="B935" s="5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spans="1:13" ht="12.75" x14ac:dyDescent="0.2">
      <c r="A936" s="5"/>
      <c r="B936" s="5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spans="1:13" ht="12.75" x14ac:dyDescent="0.2">
      <c r="A937" s="5"/>
      <c r="B937" s="5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spans="1:13" ht="12.75" x14ac:dyDescent="0.2">
      <c r="A938" s="5"/>
      <c r="B938" s="5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spans="1:13" ht="12.75" x14ac:dyDescent="0.2">
      <c r="A939" s="5"/>
      <c r="B939" s="5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spans="1:13" ht="12.75" x14ac:dyDescent="0.2">
      <c r="A940" s="5"/>
      <c r="B940" s="5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spans="1:13" ht="12.75" x14ac:dyDescent="0.2">
      <c r="A941" s="5"/>
      <c r="B941" s="5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spans="1:13" ht="12.75" x14ac:dyDescent="0.2">
      <c r="A942" s="5"/>
      <c r="B942" s="5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spans="1:13" ht="12.75" x14ac:dyDescent="0.2">
      <c r="A943" s="5"/>
      <c r="B943" s="5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spans="1:13" ht="12.75" x14ac:dyDescent="0.2">
      <c r="A944" s="5"/>
      <c r="B944" s="5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spans="1:13" ht="12.75" x14ac:dyDescent="0.2">
      <c r="A945" s="5"/>
      <c r="B945" s="5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spans="1:13" ht="12.75" x14ac:dyDescent="0.2">
      <c r="A946" s="5"/>
      <c r="B946" s="5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spans="1:13" ht="12.75" x14ac:dyDescent="0.2">
      <c r="A947" s="5"/>
      <c r="B947" s="5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spans="1:13" ht="12.75" x14ac:dyDescent="0.2">
      <c r="A948" s="5"/>
      <c r="B948" s="5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spans="1:13" ht="12.75" x14ac:dyDescent="0.2">
      <c r="A949" s="5"/>
      <c r="B949" s="5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spans="1:13" ht="12.75" x14ac:dyDescent="0.2">
      <c r="A950" s="5"/>
      <c r="B950" s="5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spans="1:13" ht="12.75" x14ac:dyDescent="0.2">
      <c r="A951" s="5"/>
      <c r="B951" s="5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spans="1:13" ht="12.75" x14ac:dyDescent="0.2">
      <c r="A952" s="5"/>
      <c r="B952" s="5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spans="1:13" ht="12.75" x14ac:dyDescent="0.2">
      <c r="A953" s="5"/>
      <c r="B953" s="5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spans="1:13" ht="12.75" x14ac:dyDescent="0.2">
      <c r="A954" s="5"/>
      <c r="B954" s="5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spans="1:13" ht="12.75" x14ac:dyDescent="0.2">
      <c r="A955" s="5"/>
      <c r="B955" s="5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spans="1:13" ht="12.75" x14ac:dyDescent="0.2">
      <c r="A956" s="5"/>
      <c r="B956" s="5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spans="1:13" ht="12.75" x14ac:dyDescent="0.2">
      <c r="A957" s="5"/>
      <c r="B957" s="5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spans="1:13" ht="12.75" x14ac:dyDescent="0.2">
      <c r="A958" s="5"/>
      <c r="B958" s="5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spans="1:13" ht="12.75" x14ac:dyDescent="0.2">
      <c r="A959" s="5"/>
      <c r="B959" s="5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spans="1:13" ht="12.75" x14ac:dyDescent="0.2">
      <c r="A960" s="5"/>
      <c r="B960" s="5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spans="1:13" ht="12.75" x14ac:dyDescent="0.2">
      <c r="A961" s="5"/>
      <c r="B961" s="5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spans="1:13" ht="12.75" x14ac:dyDescent="0.2">
      <c r="A962" s="5"/>
      <c r="B962" s="5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spans="1:13" ht="12.75" x14ac:dyDescent="0.2">
      <c r="A963" s="5"/>
      <c r="B963" s="5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spans="1:13" ht="12.75" x14ac:dyDescent="0.2">
      <c r="A964" s="5"/>
      <c r="B964" s="5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spans="1:13" ht="12.75" x14ac:dyDescent="0.2">
      <c r="A965" s="5"/>
      <c r="B965" s="5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spans="1:13" ht="12.75" x14ac:dyDescent="0.2">
      <c r="A966" s="5"/>
      <c r="B966" s="5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spans="1:13" ht="12.75" x14ac:dyDescent="0.2">
      <c r="A967" s="5"/>
      <c r="B967" s="5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spans="1:13" ht="12.75" x14ac:dyDescent="0.2">
      <c r="A968" s="5"/>
      <c r="B968" s="5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spans="1:13" ht="12.75" x14ac:dyDescent="0.2">
      <c r="A969" s="5"/>
      <c r="B969" s="5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spans="1:13" ht="12.75" x14ac:dyDescent="0.2">
      <c r="A970" s="5"/>
      <c r="B970" s="5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spans="1:13" ht="12.75" x14ac:dyDescent="0.2">
      <c r="A971" s="5"/>
      <c r="B971" s="5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spans="1:13" ht="12.75" x14ac:dyDescent="0.2">
      <c r="A972" s="5"/>
      <c r="B972" s="5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spans="1:13" ht="12.75" x14ac:dyDescent="0.2">
      <c r="A973" s="5"/>
      <c r="B973" s="5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spans="1:13" ht="12.75" x14ac:dyDescent="0.2">
      <c r="A974" s="5"/>
      <c r="B974" s="5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spans="1:13" ht="12.75" x14ac:dyDescent="0.2">
      <c r="A975" s="5"/>
      <c r="B975" s="5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spans="1:13" ht="12.75" x14ac:dyDescent="0.2">
      <c r="A976" s="5"/>
      <c r="B976" s="5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spans="1:13" ht="12.75" x14ac:dyDescent="0.2">
      <c r="A977" s="5"/>
      <c r="B977" s="5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spans="1:13" ht="12.75" x14ac:dyDescent="0.2">
      <c r="A978" s="5"/>
      <c r="B978" s="5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spans="1:13" ht="12.75" x14ac:dyDescent="0.2">
      <c r="A979" s="5"/>
      <c r="B979" s="5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spans="1:13" ht="12.75" x14ac:dyDescent="0.2">
      <c r="A980" s="5"/>
      <c r="B980" s="5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spans="1:13" ht="12.75" x14ac:dyDescent="0.2">
      <c r="A981" s="5"/>
      <c r="B981" s="5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spans="1:13" ht="12.75" x14ac:dyDescent="0.2">
      <c r="A982" s="5"/>
      <c r="B982" s="5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spans="1:13" ht="12.75" x14ac:dyDescent="0.2">
      <c r="A983" s="5"/>
      <c r="B983" s="5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spans="1:13" ht="12.75" x14ac:dyDescent="0.2">
      <c r="A984" s="5"/>
      <c r="B984" s="5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spans="1:13" ht="12.75" x14ac:dyDescent="0.2">
      <c r="A985" s="5"/>
      <c r="B985" s="5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spans="1:13" ht="12.75" x14ac:dyDescent="0.2">
      <c r="A986" s="5"/>
      <c r="B986" s="5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spans="1:13" ht="12.75" x14ac:dyDescent="0.2">
      <c r="A987" s="5"/>
      <c r="B987" s="5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spans="1:13" ht="12.75" x14ac:dyDescent="0.2">
      <c r="A988" s="5"/>
      <c r="B988" s="5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spans="1:13" ht="12.75" x14ac:dyDescent="0.2">
      <c r="A989" s="5"/>
      <c r="B989" s="5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spans="1:13" ht="12.75" x14ac:dyDescent="0.2">
      <c r="A990" s="5"/>
      <c r="B990" s="5"/>
      <c r="C990" s="4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spans="1:13" ht="12.75" x14ac:dyDescent="0.2">
      <c r="A991" s="5"/>
      <c r="B991" s="5"/>
      <c r="C991" s="4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spans="1:13" ht="12.75" x14ac:dyDescent="0.2">
      <c r="A992" s="5"/>
      <c r="B992" s="5"/>
      <c r="C992" s="4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spans="1:13" ht="12.75" x14ac:dyDescent="0.2">
      <c r="A993" s="5"/>
      <c r="B993" s="5"/>
      <c r="C993" s="4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spans="1:13" ht="12.75" x14ac:dyDescent="0.2">
      <c r="A994" s="5"/>
      <c r="B994" s="5"/>
      <c r="C994" s="4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spans="1:13" ht="12.75" x14ac:dyDescent="0.2">
      <c r="A995" s="5"/>
      <c r="B995" s="5"/>
      <c r="C995" s="4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spans="1:13" ht="12.75" x14ac:dyDescent="0.2">
      <c r="A996" s="5"/>
      <c r="B996" s="5"/>
      <c r="C996" s="4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spans="1:13" ht="12.75" x14ac:dyDescent="0.2">
      <c r="A997" s="5"/>
      <c r="B997" s="5"/>
      <c r="C997" s="4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spans="1:13" ht="12.75" x14ac:dyDescent="0.2">
      <c r="A998" s="5"/>
      <c r="B998" s="5"/>
      <c r="C998" s="4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spans="1:13" ht="12.75" x14ac:dyDescent="0.2">
      <c r="A999" s="5"/>
      <c r="B999" s="5"/>
      <c r="C999" s="4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spans="1:13" ht="12.75" x14ac:dyDescent="0.2">
      <c r="A1000" s="5"/>
      <c r="B1000" s="5"/>
      <c r="C1000" s="4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  <row r="1001" spans="1:13" ht="12.75" x14ac:dyDescent="0.2">
      <c r="A1001" s="5"/>
      <c r="B1001" s="5"/>
      <c r="C1001" s="4"/>
      <c r="D1001" s="5"/>
      <c r="E1001" s="5"/>
      <c r="F1001" s="5"/>
      <c r="G1001" s="5"/>
      <c r="H1001" s="5"/>
      <c r="I1001" s="5"/>
      <c r="J1001" s="5"/>
      <c r="K1001" s="5"/>
      <c r="L1001" s="5"/>
      <c r="M1001" s="5"/>
    </row>
    <row r="1002" spans="1:13" ht="12.75" x14ac:dyDescent="0.2">
      <c r="A1002" s="5"/>
      <c r="B1002" s="5"/>
      <c r="C1002" s="4"/>
      <c r="D1002" s="5"/>
      <c r="E1002" s="5"/>
      <c r="F1002" s="5"/>
      <c r="G1002" s="5"/>
      <c r="H1002" s="5"/>
      <c r="I1002" s="5"/>
      <c r="J1002" s="5"/>
      <c r="K1002" s="5"/>
      <c r="L1002" s="5"/>
      <c r="M1002" s="5"/>
    </row>
    <row r="1003" spans="1:13" ht="12.75" x14ac:dyDescent="0.2">
      <c r="A1003" s="5"/>
      <c r="B1003" s="5"/>
      <c r="C1003" s="4"/>
      <c r="D1003" s="5"/>
      <c r="E1003" s="5"/>
      <c r="F1003" s="5"/>
      <c r="G1003" s="5"/>
      <c r="H1003" s="5"/>
      <c r="I1003" s="5"/>
      <c r="J1003" s="5"/>
      <c r="K1003" s="5"/>
      <c r="L1003" s="5"/>
      <c r="M1003" s="5"/>
    </row>
    <row r="1004" spans="1:13" ht="12.75" x14ac:dyDescent="0.2">
      <c r="A1004" s="5"/>
      <c r="B1004" s="5"/>
      <c r="C1004" s="4"/>
      <c r="D1004" s="5"/>
      <c r="E1004" s="5"/>
      <c r="F1004" s="5"/>
      <c r="G1004" s="5"/>
      <c r="H1004" s="5"/>
      <c r="I1004" s="5"/>
      <c r="J1004" s="5"/>
      <c r="K1004" s="5"/>
      <c r="L1004" s="5"/>
      <c r="M1004" s="5"/>
    </row>
    <row r="1005" spans="1:13" ht="12.75" x14ac:dyDescent="0.2">
      <c r="A1005" s="5"/>
      <c r="B1005" s="5"/>
      <c r="C1005" s="4"/>
      <c r="D1005" s="5"/>
      <c r="E1005" s="5"/>
      <c r="F1005" s="5"/>
      <c r="G1005" s="5"/>
      <c r="H1005" s="5"/>
      <c r="I1005" s="5"/>
      <c r="J1005" s="5"/>
      <c r="K1005" s="5"/>
      <c r="L1005" s="5"/>
      <c r="M1005" s="5"/>
    </row>
    <row r="1006" spans="1:13" ht="12.75" x14ac:dyDescent="0.2">
      <c r="A1006" s="5"/>
      <c r="B1006" s="5"/>
      <c r="C1006" s="4"/>
      <c r="D1006" s="5"/>
      <c r="E1006" s="5"/>
      <c r="F1006" s="5"/>
      <c r="G1006" s="5"/>
      <c r="H1006" s="5"/>
      <c r="I1006" s="5"/>
      <c r="J1006" s="5"/>
      <c r="K1006" s="5"/>
      <c r="L1006" s="5"/>
      <c r="M1006" s="5"/>
    </row>
    <row r="1007" spans="1:13" ht="12.75" x14ac:dyDescent="0.2">
      <c r="A1007" s="5"/>
      <c r="B1007" s="5"/>
      <c r="C1007" s="4"/>
      <c r="D1007" s="5"/>
      <c r="E1007" s="5"/>
      <c r="F1007" s="5"/>
      <c r="G1007" s="5"/>
      <c r="H1007" s="5"/>
      <c r="I1007" s="5"/>
      <c r="J1007" s="5"/>
      <c r="K1007" s="5"/>
      <c r="L1007" s="5"/>
      <c r="M1007" s="5"/>
    </row>
    <row r="1008" spans="1:13" ht="12.75" x14ac:dyDescent="0.2">
      <c r="A1008" s="5"/>
      <c r="B1008" s="5"/>
      <c r="C1008" s="4"/>
      <c r="D1008" s="5"/>
      <c r="E1008" s="5"/>
      <c r="F1008" s="5"/>
      <c r="G1008" s="5"/>
      <c r="H1008" s="5"/>
      <c r="I1008" s="5"/>
      <c r="J1008" s="5"/>
      <c r="K1008" s="5"/>
      <c r="L1008" s="5"/>
      <c r="M1008" s="5"/>
    </row>
    <row r="1009" spans="1:13" ht="12.75" x14ac:dyDescent="0.2">
      <c r="A1009" s="5"/>
      <c r="B1009" s="5"/>
      <c r="C1009" s="4"/>
      <c r="D1009" s="5"/>
      <c r="E1009" s="5"/>
      <c r="F1009" s="5"/>
      <c r="G1009" s="5"/>
      <c r="H1009" s="5"/>
      <c r="I1009" s="5"/>
      <c r="J1009" s="5"/>
      <c r="K1009" s="5"/>
      <c r="L1009" s="5"/>
      <c r="M1009" s="5"/>
    </row>
    <row r="1010" spans="1:13" ht="12.75" x14ac:dyDescent="0.2">
      <c r="A1010" s="5"/>
      <c r="B1010" s="5"/>
      <c r="C1010" s="4"/>
      <c r="D1010" s="5"/>
      <c r="E1010" s="5"/>
      <c r="F1010" s="5"/>
      <c r="G1010" s="5"/>
      <c r="H1010" s="5"/>
      <c r="I1010" s="5"/>
      <c r="J1010" s="5"/>
      <c r="K1010" s="5"/>
      <c r="L1010" s="5"/>
      <c r="M1010" s="5"/>
    </row>
    <row r="1011" spans="1:13" ht="12.75" x14ac:dyDescent="0.2">
      <c r="A1011" s="5"/>
      <c r="B1011" s="5"/>
      <c r="C1011" s="4"/>
      <c r="D1011" s="5"/>
      <c r="E1011" s="5"/>
      <c r="F1011" s="5"/>
      <c r="G1011" s="5"/>
      <c r="H1011" s="5"/>
      <c r="I1011" s="5"/>
      <c r="J1011" s="5"/>
      <c r="K1011" s="5"/>
      <c r="L1011" s="5"/>
      <c r="M1011" s="5"/>
    </row>
    <row r="1012" spans="1:13" ht="12.75" x14ac:dyDescent="0.2">
      <c r="A1012" s="5"/>
      <c r="B1012" s="5"/>
      <c r="C1012" s="4"/>
      <c r="D1012" s="5"/>
      <c r="E1012" s="5"/>
      <c r="F1012" s="5"/>
      <c r="G1012" s="5"/>
      <c r="H1012" s="5"/>
      <c r="I1012" s="5"/>
      <c r="J1012" s="5"/>
      <c r="K1012" s="5"/>
      <c r="L1012" s="5"/>
      <c r="M1012" s="5"/>
    </row>
    <row r="1013" spans="1:13" ht="12.75" x14ac:dyDescent="0.2">
      <c r="A1013" s="5"/>
      <c r="B1013" s="5"/>
      <c r="C1013" s="4"/>
      <c r="D1013" s="5"/>
      <c r="E1013" s="5"/>
      <c r="F1013" s="5"/>
      <c r="G1013" s="5"/>
      <c r="H1013" s="5"/>
      <c r="I1013" s="5"/>
      <c r="J1013" s="5"/>
      <c r="K1013" s="5"/>
      <c r="L1013" s="5"/>
      <c r="M1013" s="5"/>
    </row>
    <row r="1014" spans="1:13" ht="12.75" x14ac:dyDescent="0.2">
      <c r="A1014" s="5"/>
      <c r="B1014" s="5"/>
      <c r="C1014" s="4"/>
      <c r="D1014" s="5"/>
      <c r="E1014" s="5"/>
      <c r="F1014" s="5"/>
      <c r="G1014" s="5"/>
      <c r="H1014" s="5"/>
      <c r="I1014" s="5"/>
      <c r="J1014" s="5"/>
      <c r="K1014" s="5"/>
      <c r="L1014" s="5"/>
      <c r="M1014" s="5"/>
    </row>
    <row r="1015" spans="1:13" ht="12.75" x14ac:dyDescent="0.2">
      <c r="A1015" s="5"/>
      <c r="B1015" s="5"/>
      <c r="C1015" s="4"/>
      <c r="D1015" s="5"/>
      <c r="E1015" s="5"/>
      <c r="F1015" s="5"/>
      <c r="G1015" s="5"/>
      <c r="H1015" s="5"/>
      <c r="I1015" s="5"/>
      <c r="J1015" s="5"/>
      <c r="K1015" s="5"/>
      <c r="L1015" s="5"/>
      <c r="M1015" s="5"/>
    </row>
    <row r="1016" spans="1:13" ht="12.75" x14ac:dyDescent="0.2">
      <c r="A1016" s="5"/>
      <c r="B1016" s="5"/>
      <c r="C1016" s="4"/>
      <c r="D1016" s="5"/>
      <c r="E1016" s="5"/>
      <c r="F1016" s="5"/>
      <c r="G1016" s="5"/>
      <c r="H1016" s="5"/>
      <c r="I1016" s="5"/>
      <c r="J1016" s="5"/>
      <c r="K1016" s="5"/>
      <c r="L1016" s="5"/>
      <c r="M1016" s="5"/>
    </row>
    <row r="1017" spans="1:13" ht="12.75" x14ac:dyDescent="0.2">
      <c r="A1017" s="5"/>
      <c r="B1017" s="5"/>
      <c r="C1017" s="4"/>
      <c r="D1017" s="5"/>
      <c r="E1017" s="5"/>
      <c r="F1017" s="5"/>
      <c r="G1017" s="5"/>
      <c r="H1017" s="5"/>
      <c r="I1017" s="5"/>
      <c r="J1017" s="5"/>
      <c r="K1017" s="5"/>
      <c r="L1017" s="5"/>
      <c r="M1017" s="5"/>
    </row>
    <row r="1018" spans="1:13" ht="12.75" x14ac:dyDescent="0.2">
      <c r="A1018" s="5"/>
      <c r="B1018" s="5"/>
      <c r="C1018" s="4"/>
      <c r="D1018" s="5"/>
      <c r="E1018" s="5"/>
      <c r="F1018" s="5"/>
      <c r="G1018" s="5"/>
      <c r="H1018" s="5"/>
      <c r="I1018" s="5"/>
      <c r="J1018" s="5"/>
      <c r="K1018" s="5"/>
      <c r="L1018" s="5"/>
      <c r="M1018" s="5"/>
    </row>
    <row r="1019" spans="1:13" ht="12.75" x14ac:dyDescent="0.2">
      <c r="A1019" s="5"/>
      <c r="B1019" s="5"/>
      <c r="C1019" s="4"/>
      <c r="D1019" s="5"/>
      <c r="E1019" s="5"/>
      <c r="F1019" s="5"/>
      <c r="G1019" s="5"/>
      <c r="H1019" s="5"/>
      <c r="I1019" s="5"/>
      <c r="J1019" s="5"/>
      <c r="K1019" s="5"/>
      <c r="L1019" s="5"/>
      <c r="M1019" s="5"/>
    </row>
    <row r="1020" spans="1:13" ht="12.75" x14ac:dyDescent="0.2">
      <c r="A1020" s="5"/>
      <c r="B1020" s="5"/>
      <c r="C1020" s="4"/>
      <c r="D1020" s="5"/>
      <c r="E1020" s="5"/>
      <c r="F1020" s="5"/>
      <c r="G1020" s="5"/>
      <c r="H1020" s="5"/>
      <c r="I1020" s="5"/>
      <c r="J1020" s="5"/>
      <c r="K1020" s="5"/>
      <c r="L1020" s="5"/>
      <c r="M1020" s="5"/>
    </row>
    <row r="1021" spans="1:13" ht="12.75" x14ac:dyDescent="0.2">
      <c r="A1021" s="5"/>
      <c r="B1021" s="5"/>
      <c r="C1021" s="4"/>
      <c r="D1021" s="5"/>
      <c r="E1021" s="5"/>
      <c r="F1021" s="5"/>
      <c r="G1021" s="5"/>
      <c r="H1021" s="5"/>
      <c r="I1021" s="5"/>
      <c r="J1021" s="5"/>
      <c r="K1021" s="5"/>
      <c r="L1021" s="5"/>
      <c r="M1021" s="5"/>
    </row>
    <row r="1022" spans="1:13" ht="12.75" x14ac:dyDescent="0.2">
      <c r="A1022" s="5"/>
      <c r="B1022" s="5"/>
      <c r="C1022" s="4"/>
      <c r="D1022" s="5"/>
      <c r="E1022" s="5"/>
      <c r="F1022" s="5"/>
      <c r="G1022" s="5"/>
      <c r="H1022" s="5"/>
      <c r="I1022" s="5"/>
      <c r="J1022" s="5"/>
      <c r="K1022" s="5"/>
      <c r="L1022" s="5"/>
      <c r="M1022" s="5"/>
    </row>
    <row r="1023" spans="1:13" ht="12.75" x14ac:dyDescent="0.2">
      <c r="A1023" s="5"/>
      <c r="B1023" s="5"/>
      <c r="C1023" s="4"/>
      <c r="D1023" s="5"/>
      <c r="E1023" s="5"/>
      <c r="F1023" s="5"/>
      <c r="G1023" s="5"/>
      <c r="H1023" s="5"/>
      <c r="I1023" s="5"/>
      <c r="J1023" s="5"/>
      <c r="K1023" s="5"/>
      <c r="L1023" s="5"/>
      <c r="M1023" s="5"/>
    </row>
    <row r="1024" spans="1:13" ht="12.75" x14ac:dyDescent="0.2">
      <c r="A1024" s="5"/>
      <c r="B1024" s="5"/>
      <c r="C1024" s="4"/>
      <c r="D1024" s="5"/>
      <c r="E1024" s="5"/>
      <c r="F1024" s="5"/>
      <c r="G1024" s="5"/>
      <c r="H1024" s="5"/>
      <c r="I1024" s="5"/>
      <c r="J1024" s="5"/>
      <c r="K1024" s="5"/>
      <c r="L1024" s="5"/>
      <c r="M1024" s="5"/>
    </row>
    <row r="1025" spans="1:13" ht="12.75" x14ac:dyDescent="0.2">
      <c r="A1025" s="5"/>
      <c r="B1025" s="5"/>
      <c r="C1025" s="4"/>
      <c r="D1025" s="5"/>
      <c r="E1025" s="5"/>
      <c r="F1025" s="5"/>
      <c r="G1025" s="5"/>
      <c r="H1025" s="5"/>
      <c r="I1025" s="5"/>
      <c r="J1025" s="5"/>
      <c r="K1025" s="5"/>
      <c r="L1025" s="5"/>
      <c r="M1025" s="5"/>
    </row>
    <row r="1026" spans="1:13" ht="12.75" x14ac:dyDescent="0.2">
      <c r="A1026" s="5"/>
      <c r="B1026" s="5"/>
      <c r="C1026" s="4"/>
      <c r="D1026" s="5"/>
      <c r="E1026" s="5"/>
      <c r="F1026" s="5"/>
      <c r="G1026" s="5"/>
      <c r="H1026" s="5"/>
      <c r="I1026" s="5"/>
      <c r="J1026" s="5"/>
      <c r="K1026" s="5"/>
      <c r="L1026" s="5"/>
      <c r="M1026" s="5"/>
    </row>
    <row r="1027" spans="1:13" ht="12.75" x14ac:dyDescent="0.2">
      <c r="A1027" s="5"/>
      <c r="B1027" s="5"/>
      <c r="C1027" s="4"/>
      <c r="D1027" s="5"/>
      <c r="E1027" s="5"/>
      <c r="F1027" s="5"/>
      <c r="G1027" s="5"/>
      <c r="H1027" s="5"/>
      <c r="I1027" s="5"/>
      <c r="J1027" s="5"/>
      <c r="K1027" s="5"/>
      <c r="L1027" s="5"/>
      <c r="M1027" s="5"/>
    </row>
    <row r="1028" spans="1:13" ht="12.75" x14ac:dyDescent="0.2">
      <c r="A1028" s="5"/>
      <c r="B1028" s="5"/>
      <c r="C1028" s="4"/>
      <c r="D1028" s="5"/>
      <c r="E1028" s="5"/>
      <c r="F1028" s="5"/>
      <c r="G1028" s="5"/>
      <c r="H1028" s="5"/>
      <c r="I1028" s="5"/>
      <c r="J1028" s="5"/>
      <c r="K1028" s="5"/>
      <c r="L1028" s="5"/>
      <c r="M1028" s="5"/>
    </row>
    <row r="1029" spans="1:13" ht="12.75" x14ac:dyDescent="0.2">
      <c r="A1029" s="5"/>
      <c r="B1029" s="5"/>
      <c r="C1029" s="4"/>
      <c r="D1029" s="5"/>
      <c r="E1029" s="5"/>
      <c r="F1029" s="5"/>
      <c r="G1029" s="5"/>
      <c r="H1029" s="5"/>
      <c r="I1029" s="5"/>
      <c r="J1029" s="5"/>
      <c r="K1029" s="5"/>
      <c r="L1029" s="5"/>
      <c r="M1029" s="5"/>
    </row>
    <row r="1030" spans="1:13" ht="12.75" x14ac:dyDescent="0.2">
      <c r="A1030" s="5"/>
      <c r="B1030" s="5"/>
      <c r="C1030" s="4"/>
      <c r="D1030" s="5"/>
      <c r="E1030" s="5"/>
      <c r="F1030" s="5"/>
      <c r="G1030" s="5"/>
      <c r="H1030" s="5"/>
      <c r="I1030" s="5"/>
      <c r="J1030" s="5"/>
      <c r="K1030" s="5"/>
      <c r="L1030" s="5"/>
      <c r="M1030" s="5"/>
    </row>
    <row r="1031" spans="1:13" ht="12.75" x14ac:dyDescent="0.2">
      <c r="A1031" s="5"/>
      <c r="B1031" s="5"/>
      <c r="C1031" s="4"/>
      <c r="D1031" s="5"/>
      <c r="E1031" s="5"/>
      <c r="F1031" s="5"/>
      <c r="G1031" s="5"/>
      <c r="H1031" s="5"/>
      <c r="I1031" s="5"/>
      <c r="J1031" s="5"/>
      <c r="K1031" s="5"/>
      <c r="L1031" s="5"/>
      <c r="M1031" s="5"/>
    </row>
    <row r="1032" spans="1:13" ht="12.75" x14ac:dyDescent="0.2">
      <c r="A1032" s="5"/>
      <c r="B1032" s="5"/>
      <c r="C1032" s="4"/>
      <c r="D1032" s="5"/>
      <c r="E1032" s="5"/>
      <c r="F1032" s="5"/>
      <c r="G1032" s="5"/>
      <c r="H1032" s="5"/>
      <c r="I1032" s="5"/>
      <c r="J1032" s="5"/>
      <c r="K1032" s="5"/>
      <c r="L1032" s="5"/>
      <c r="M1032" s="5"/>
    </row>
    <row r="1033" spans="1:13" ht="12.75" x14ac:dyDescent="0.2">
      <c r="A1033" s="5"/>
      <c r="B1033" s="5"/>
      <c r="C1033" s="4"/>
      <c r="D1033" s="5"/>
      <c r="E1033" s="5"/>
      <c r="F1033" s="5"/>
      <c r="G1033" s="5"/>
      <c r="H1033" s="5"/>
      <c r="I1033" s="5"/>
      <c r="J1033" s="5"/>
      <c r="K1033" s="5"/>
      <c r="L1033" s="5"/>
      <c r="M1033" s="5"/>
    </row>
    <row r="1034" spans="1:13" ht="12.75" x14ac:dyDescent="0.2">
      <c r="A1034" s="5"/>
      <c r="B1034" s="5"/>
      <c r="C1034" s="4"/>
      <c r="D1034" s="5"/>
      <c r="E1034" s="5"/>
      <c r="F1034" s="5"/>
      <c r="G1034" s="5"/>
      <c r="H1034" s="5"/>
      <c r="I1034" s="5"/>
      <c r="J1034" s="5"/>
      <c r="K1034" s="5"/>
      <c r="L1034" s="5"/>
      <c r="M1034" s="5"/>
    </row>
    <row r="1035" spans="1:13" ht="12.75" x14ac:dyDescent="0.2">
      <c r="A1035" s="5"/>
      <c r="B1035" s="5"/>
      <c r="C1035" s="4"/>
      <c r="D1035" s="5"/>
      <c r="E1035" s="5"/>
      <c r="F1035" s="5"/>
      <c r="G1035" s="5"/>
      <c r="H1035" s="5"/>
      <c r="I1035" s="5"/>
      <c r="J1035" s="5"/>
      <c r="K1035" s="5"/>
      <c r="L1035" s="5"/>
      <c r="M1035" s="5"/>
    </row>
    <row r="1036" spans="1:13" ht="12.75" x14ac:dyDescent="0.2">
      <c r="A1036" s="5"/>
      <c r="B1036" s="5"/>
      <c r="C1036" s="4"/>
      <c r="D1036" s="5"/>
      <c r="E1036" s="5"/>
      <c r="F1036" s="5"/>
      <c r="G1036" s="5"/>
      <c r="H1036" s="5"/>
      <c r="I1036" s="5"/>
      <c r="J1036" s="5"/>
      <c r="K1036" s="5"/>
      <c r="L1036" s="5"/>
      <c r="M1036" s="5"/>
    </row>
    <row r="1037" spans="1:13" ht="12.75" x14ac:dyDescent="0.2">
      <c r="A1037" s="5"/>
      <c r="B1037" s="5"/>
      <c r="C1037" s="4"/>
      <c r="D1037" s="5"/>
      <c r="E1037" s="5"/>
      <c r="F1037" s="5"/>
      <c r="G1037" s="5"/>
      <c r="H1037" s="5"/>
      <c r="I1037" s="5"/>
      <c r="J1037" s="5"/>
      <c r="K1037" s="5"/>
      <c r="L1037" s="5"/>
      <c r="M1037" s="5"/>
    </row>
    <row r="1038" spans="1:13" ht="12.75" x14ac:dyDescent="0.2">
      <c r="A1038" s="5"/>
      <c r="B1038" s="5"/>
      <c r="C1038" s="4"/>
      <c r="D1038" s="5"/>
      <c r="E1038" s="5"/>
      <c r="F1038" s="5"/>
      <c r="G1038" s="5"/>
      <c r="H1038" s="5"/>
      <c r="I1038" s="5"/>
      <c r="J1038" s="5"/>
      <c r="K1038" s="5"/>
      <c r="L1038" s="5"/>
      <c r="M1038" s="5"/>
    </row>
    <row r="1039" spans="1:13" ht="12.75" x14ac:dyDescent="0.2">
      <c r="A1039" s="5"/>
      <c r="B1039" s="5"/>
      <c r="C1039" s="4"/>
      <c r="D1039" s="5"/>
      <c r="E1039" s="5"/>
      <c r="F1039" s="5"/>
      <c r="G1039" s="5"/>
      <c r="H1039" s="5"/>
      <c r="I1039" s="5"/>
      <c r="J1039" s="5"/>
      <c r="K1039" s="5"/>
      <c r="L1039" s="5"/>
      <c r="M1039" s="5"/>
    </row>
    <row r="1040" spans="1:13" ht="12.75" x14ac:dyDescent="0.2">
      <c r="A1040" s="5"/>
      <c r="B1040" s="5"/>
      <c r="C1040" s="4"/>
      <c r="D1040" s="5"/>
      <c r="E1040" s="5"/>
      <c r="F1040" s="5"/>
      <c r="G1040" s="5"/>
      <c r="H1040" s="5"/>
      <c r="I1040" s="5"/>
      <c r="J1040" s="5"/>
      <c r="K1040" s="5"/>
      <c r="L1040" s="5"/>
      <c r="M1040" s="5"/>
    </row>
    <row r="1041" spans="1:13" ht="12.75" x14ac:dyDescent="0.2">
      <c r="A1041" s="5"/>
      <c r="B1041" s="5"/>
      <c r="C1041" s="4"/>
      <c r="D1041" s="5"/>
      <c r="E1041" s="5"/>
      <c r="F1041" s="5"/>
      <c r="G1041" s="5"/>
      <c r="H1041" s="5"/>
      <c r="I1041" s="5"/>
      <c r="J1041" s="5"/>
      <c r="K1041" s="5"/>
      <c r="L1041" s="5"/>
      <c r="M1041" s="5"/>
    </row>
    <row r="1042" spans="1:13" ht="12.75" x14ac:dyDescent="0.2">
      <c r="A1042" s="5"/>
      <c r="B1042" s="5"/>
      <c r="C1042" s="4"/>
      <c r="D1042" s="5"/>
      <c r="E1042" s="5"/>
      <c r="F1042" s="5"/>
      <c r="G1042" s="5"/>
      <c r="H1042" s="5"/>
      <c r="I1042" s="5"/>
      <c r="J1042" s="5"/>
      <c r="K1042" s="5"/>
      <c r="L1042" s="5"/>
      <c r="M1042" s="5"/>
    </row>
    <row r="1043" spans="1:13" ht="12.75" x14ac:dyDescent="0.2">
      <c r="A1043" s="5"/>
      <c r="B1043" s="5"/>
      <c r="C1043" s="4"/>
      <c r="D1043" s="5"/>
      <c r="E1043" s="5"/>
      <c r="F1043" s="5"/>
      <c r="G1043" s="5"/>
      <c r="H1043" s="5"/>
      <c r="I1043" s="5"/>
      <c r="J1043" s="5"/>
      <c r="K1043" s="5"/>
      <c r="L1043" s="5"/>
      <c r="M1043" s="5"/>
    </row>
    <row r="1044" spans="1:13" ht="15.75" customHeight="1" x14ac:dyDescent="0.2">
      <c r="A1044" s="5"/>
      <c r="B1044" s="5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3" ht="15.75" customHeight="1" x14ac:dyDescent="0.2">
      <c r="A1045" s="5"/>
      <c r="B1045" s="5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3" ht="15.75" customHeight="1" x14ac:dyDescent="0.2">
      <c r="A1046" s="5"/>
      <c r="B1046" s="5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3" ht="15.75" customHeight="1" x14ac:dyDescent="0.2">
      <c r="A1047" s="5"/>
      <c r="B1047" s="5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3" ht="15.75" customHeight="1" x14ac:dyDescent="0.2">
      <c r="A1048" s="5"/>
      <c r="B1048" s="5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3" ht="15.75" customHeight="1" x14ac:dyDescent="0.2">
      <c r="A1049" s="5"/>
      <c r="B1049" s="5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3" ht="15.75" customHeight="1" x14ac:dyDescent="0.2">
      <c r="A1050" s="5"/>
      <c r="B1050" s="5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3" ht="15.75" customHeight="1" x14ac:dyDescent="0.2">
      <c r="A1051" s="5"/>
      <c r="B1051" s="5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3" ht="15.75" customHeight="1" x14ac:dyDescent="0.2">
      <c r="A1052" s="5"/>
      <c r="B1052" s="5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3" ht="15.75" customHeight="1" x14ac:dyDescent="0.2">
      <c r="A1053" s="5"/>
      <c r="B1053" s="5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3" ht="15.75" customHeight="1" x14ac:dyDescent="0.2">
      <c r="A1054" s="5"/>
      <c r="B1054" s="5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3" ht="15.75" customHeight="1" x14ac:dyDescent="0.2">
      <c r="A1055" s="5"/>
      <c r="B1055" s="5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3" ht="15.75" customHeight="1" x14ac:dyDescent="0.2">
      <c r="A1056" s="5"/>
      <c r="B1056" s="5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ht="15.75" customHeight="1" x14ac:dyDescent="0.2">
      <c r="A1057" s="5"/>
      <c r="B1057" s="5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ht="15.75" customHeight="1" x14ac:dyDescent="0.2">
      <c r="A1058" s="5"/>
      <c r="B1058" s="5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ht="15.75" customHeight="1" x14ac:dyDescent="0.2">
      <c r="A1059" s="5"/>
      <c r="B1059" s="5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ht="15.75" customHeight="1" x14ac:dyDescent="0.2">
      <c r="A1060" s="5"/>
      <c r="B1060" s="5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ht="15.75" customHeight="1" x14ac:dyDescent="0.2">
      <c r="A1061" s="5"/>
      <c r="B1061" s="5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ht="15.75" customHeight="1" x14ac:dyDescent="0.2">
      <c r="A1062" s="5"/>
      <c r="B1062" s="5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ht="15.75" customHeight="1" x14ac:dyDescent="0.2">
      <c r="A1063" s="5"/>
      <c r="B1063" s="5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ht="15.75" customHeight="1" x14ac:dyDescent="0.2">
      <c r="A1064" s="5"/>
      <c r="B1064" s="5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ht="15.75" customHeight="1" x14ac:dyDescent="0.2">
      <c r="A1065" s="5"/>
      <c r="B1065" s="5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ht="15.75" customHeight="1" x14ac:dyDescent="0.2">
      <c r="A1066" s="5"/>
      <c r="B1066" s="5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ht="15.75" customHeight="1" x14ac:dyDescent="0.2">
      <c r="A1067" s="5"/>
      <c r="B1067" s="5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ht="15.75" customHeight="1" x14ac:dyDescent="0.2">
      <c r="A1068" s="5"/>
      <c r="B1068" s="5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ht="15.75" customHeight="1" x14ac:dyDescent="0.2">
      <c r="A1069" s="5"/>
      <c r="B1069" s="5"/>
      <c r="C1069" s="4"/>
      <c r="D1069" s="5"/>
      <c r="E1069" s="5"/>
      <c r="F1069" s="5"/>
      <c r="G1069" s="5"/>
      <c r="H1069" s="5"/>
      <c r="I1069" s="5"/>
      <c r="J1069" s="5"/>
    </row>
  </sheetData>
  <mergeCells count="2">
    <mergeCell ref="L38:N38"/>
    <mergeCell ref="A1:K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1E0D-0ECB-4749-9DDD-85A3CBDDEE88}">
  <sheetPr>
    <outlinePr summaryBelow="0" summaryRight="0"/>
  </sheetPr>
  <dimension ref="A1:O1009"/>
  <sheetViews>
    <sheetView workbookViewId="0">
      <selection activeCell="K19" sqref="K19"/>
    </sheetView>
  </sheetViews>
  <sheetFormatPr baseColWidth="10" defaultColWidth="12.5703125" defaultRowHeight="15.75" customHeight="1" x14ac:dyDescent="0.2"/>
  <cols>
    <col min="1" max="1" width="12.5703125" customWidth="1"/>
    <col min="2" max="2" width="10.85546875" customWidth="1"/>
    <col min="3" max="3" width="16.7109375" customWidth="1"/>
    <col min="4" max="4" width="15.140625" customWidth="1"/>
    <col min="5" max="5" width="11.85546875" customWidth="1"/>
    <col min="6" max="7" width="11.140625" customWidth="1"/>
    <col min="8" max="8" width="26.85546875" customWidth="1"/>
    <col min="9" max="9" width="12.28515625" hidden="1" customWidth="1"/>
    <col min="10" max="10" width="11.28515625" customWidth="1"/>
    <col min="11" max="11" width="19" bestFit="1" customWidth="1"/>
    <col min="12" max="12" width="15" customWidth="1"/>
  </cols>
  <sheetData>
    <row r="1" spans="1:15" ht="12.75" x14ac:dyDescent="0.2">
      <c r="A1" s="207" t="s">
        <v>301</v>
      </c>
      <c r="B1" s="207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5"/>
      <c r="N1" s="5"/>
      <c r="O1" s="5"/>
    </row>
    <row r="2" spans="1:15" ht="12.75" x14ac:dyDescent="0.2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5"/>
      <c r="N2" s="5"/>
      <c r="O2" s="5"/>
    </row>
    <row r="3" spans="1:15" ht="12.75" x14ac:dyDescent="0.2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5"/>
      <c r="N3" s="5"/>
      <c r="O3" s="5"/>
    </row>
    <row r="4" spans="1:15" ht="12.75" x14ac:dyDescent="0.2">
      <c r="A4" s="210"/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5"/>
      <c r="N4" s="5"/>
      <c r="O4" s="5"/>
    </row>
    <row r="5" spans="1:15" ht="12.75" x14ac:dyDescent="0.2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5"/>
      <c r="N5" s="5"/>
      <c r="O5" s="5"/>
    </row>
    <row r="6" spans="1:15" ht="25.5" customHeight="1" x14ac:dyDescent="0.2">
      <c r="A6" s="25" t="s">
        <v>302</v>
      </c>
      <c r="B6" s="26" t="s">
        <v>11</v>
      </c>
      <c r="C6" s="27" t="s">
        <v>12</v>
      </c>
      <c r="D6" s="28" t="s">
        <v>15</v>
      </c>
      <c r="E6" s="29" t="s">
        <v>207</v>
      </c>
      <c r="F6" s="29" t="s">
        <v>208</v>
      </c>
      <c r="G6" s="29" t="s">
        <v>303</v>
      </c>
      <c r="H6" s="30" t="s">
        <v>20</v>
      </c>
      <c r="I6" s="30" t="s">
        <v>21</v>
      </c>
      <c r="J6" s="30" t="s">
        <v>22</v>
      </c>
      <c r="K6" s="30" t="s">
        <v>23</v>
      </c>
      <c r="L6" s="32" t="s">
        <v>209</v>
      </c>
      <c r="M6" s="5"/>
      <c r="N6" s="5"/>
      <c r="O6" s="5"/>
    </row>
    <row r="7" spans="1:15" ht="12.75" x14ac:dyDescent="0.2">
      <c r="A7" s="16" t="s">
        <v>248</v>
      </c>
      <c r="B7" s="24" t="s">
        <v>304</v>
      </c>
      <c r="C7" s="89">
        <v>46089</v>
      </c>
      <c r="D7" s="10">
        <v>22050</v>
      </c>
      <c r="E7" s="9">
        <v>438</v>
      </c>
      <c r="F7" s="9"/>
      <c r="G7" s="9"/>
      <c r="H7" s="9"/>
      <c r="I7" s="9"/>
      <c r="J7" s="9" t="s">
        <v>143</v>
      </c>
      <c r="K7" s="9" t="s">
        <v>249</v>
      </c>
      <c r="L7" s="17">
        <v>1928</v>
      </c>
      <c r="M7" s="5"/>
      <c r="N7" s="5"/>
      <c r="O7" s="5"/>
    </row>
    <row r="8" spans="1:15" ht="12.75" x14ac:dyDescent="0.2">
      <c r="A8" s="58" t="s">
        <v>250</v>
      </c>
      <c r="B8" s="24" t="s">
        <v>305</v>
      </c>
      <c r="C8" s="90">
        <v>46092</v>
      </c>
      <c r="D8" s="83">
        <f>23940+8320</f>
        <v>32260</v>
      </c>
      <c r="E8" s="33">
        <v>470</v>
      </c>
      <c r="F8" s="33">
        <v>168</v>
      </c>
      <c r="G8" s="9"/>
      <c r="H8" s="9"/>
      <c r="I8" s="9"/>
      <c r="J8" s="9" t="s">
        <v>143</v>
      </c>
      <c r="K8" s="9" t="s">
        <v>215</v>
      </c>
      <c r="L8" s="17">
        <v>1928</v>
      </c>
      <c r="M8" s="5"/>
      <c r="N8" s="5"/>
      <c r="O8" s="5"/>
    </row>
    <row r="9" spans="1:15" ht="12.75" x14ac:dyDescent="0.2">
      <c r="A9" s="58" t="s">
        <v>306</v>
      </c>
      <c r="B9" s="87" t="s">
        <v>307</v>
      </c>
      <c r="C9" s="89">
        <v>46093</v>
      </c>
      <c r="D9" s="10">
        <v>9015</v>
      </c>
      <c r="E9" s="9">
        <v>174</v>
      </c>
      <c r="F9" s="9"/>
      <c r="G9" s="88"/>
      <c r="H9" s="9"/>
      <c r="I9" s="9"/>
      <c r="J9" s="9" t="s">
        <v>143</v>
      </c>
      <c r="K9" s="9" t="s">
        <v>308</v>
      </c>
      <c r="L9" s="17">
        <v>1928</v>
      </c>
      <c r="M9" s="5"/>
      <c r="N9" s="5"/>
      <c r="O9" s="5"/>
    </row>
    <row r="10" spans="1:15" ht="12.75" x14ac:dyDescent="0.2">
      <c r="A10" s="16" t="s">
        <v>309</v>
      </c>
      <c r="B10" s="23" t="s">
        <v>310</v>
      </c>
      <c r="C10" s="84">
        <v>46098</v>
      </c>
      <c r="D10" s="85">
        <v>12720</v>
      </c>
      <c r="E10" s="86">
        <v>250</v>
      </c>
      <c r="F10" s="9"/>
      <c r="G10" s="88"/>
      <c r="H10" s="9"/>
      <c r="I10" s="9"/>
      <c r="J10" s="9" t="s">
        <v>143</v>
      </c>
      <c r="K10" s="9" t="s">
        <v>311</v>
      </c>
      <c r="L10" s="17">
        <v>405</v>
      </c>
      <c r="M10" s="5"/>
      <c r="N10" s="5"/>
      <c r="O10" s="5"/>
    </row>
    <row r="11" spans="1:15" ht="12.75" x14ac:dyDescent="0.2">
      <c r="A11" s="16" t="s">
        <v>312</v>
      </c>
      <c r="B11" s="24" t="s">
        <v>313</v>
      </c>
      <c r="C11" s="89">
        <v>46098</v>
      </c>
      <c r="D11" s="10">
        <v>16620</v>
      </c>
      <c r="E11" s="9">
        <v>325</v>
      </c>
      <c r="F11" s="9"/>
      <c r="G11" s="9"/>
      <c r="H11" s="9"/>
      <c r="I11" s="9"/>
      <c r="J11" s="9" t="s">
        <v>143</v>
      </c>
      <c r="K11" s="9" t="s">
        <v>311</v>
      </c>
      <c r="L11" s="17">
        <v>405</v>
      </c>
      <c r="M11" s="5"/>
      <c r="N11" s="5"/>
      <c r="O11" s="5"/>
    </row>
    <row r="12" spans="1:15" ht="12.75" x14ac:dyDescent="0.2">
      <c r="A12" s="16" t="s">
        <v>314</v>
      </c>
      <c r="B12" s="24" t="s">
        <v>315</v>
      </c>
      <c r="C12" s="89">
        <v>46099</v>
      </c>
      <c r="D12" s="10">
        <v>5057</v>
      </c>
      <c r="E12" s="9">
        <v>100</v>
      </c>
      <c r="F12" s="9"/>
      <c r="G12" s="9"/>
      <c r="H12" s="9"/>
      <c r="I12" s="9"/>
      <c r="J12" s="9" t="s">
        <v>143</v>
      </c>
      <c r="K12" s="9" t="s">
        <v>316</v>
      </c>
      <c r="L12" s="17">
        <v>405</v>
      </c>
      <c r="M12" s="5"/>
      <c r="N12" s="5"/>
      <c r="O12" s="5"/>
    </row>
    <row r="13" spans="1:15" ht="12.75" x14ac:dyDescent="0.2">
      <c r="A13" s="16" t="s">
        <v>317</v>
      </c>
      <c r="B13" s="24" t="s">
        <v>318</v>
      </c>
      <c r="C13" s="89">
        <v>46099</v>
      </c>
      <c r="D13" s="10">
        <v>12720</v>
      </c>
      <c r="E13" s="9">
        <v>250</v>
      </c>
      <c r="F13" s="9"/>
      <c r="G13" s="9"/>
      <c r="H13" s="9"/>
      <c r="I13" s="9"/>
      <c r="J13" s="9" t="s">
        <v>143</v>
      </c>
      <c r="K13" s="9" t="s">
        <v>311</v>
      </c>
      <c r="L13" s="17">
        <v>405</v>
      </c>
      <c r="M13" s="5"/>
      <c r="N13" s="5"/>
      <c r="O13" s="5"/>
    </row>
    <row r="14" spans="1:15" ht="12.75" x14ac:dyDescent="0.2">
      <c r="A14" s="16" t="s">
        <v>319</v>
      </c>
      <c r="B14" s="24" t="s">
        <v>320</v>
      </c>
      <c r="C14" s="20">
        <v>46099</v>
      </c>
      <c r="D14" s="10">
        <v>12960</v>
      </c>
      <c r="E14" s="9">
        <v>250</v>
      </c>
      <c r="F14" s="9"/>
      <c r="G14" s="9"/>
      <c r="H14" s="9"/>
      <c r="I14" s="9"/>
      <c r="J14" s="9" t="s">
        <v>143</v>
      </c>
      <c r="K14" s="9" t="s">
        <v>311</v>
      </c>
      <c r="L14" s="17">
        <v>405</v>
      </c>
      <c r="M14" s="5"/>
      <c r="N14" s="5"/>
      <c r="O14" s="5"/>
    </row>
    <row r="15" spans="1:15" ht="12.75" x14ac:dyDescent="0.2">
      <c r="A15" s="16" t="s">
        <v>321</v>
      </c>
      <c r="B15" s="24" t="s">
        <v>322</v>
      </c>
      <c r="C15" s="20">
        <v>46099</v>
      </c>
      <c r="D15" s="10">
        <v>12940</v>
      </c>
      <c r="E15" s="9">
        <v>250</v>
      </c>
      <c r="F15" s="9"/>
      <c r="G15" s="9"/>
      <c r="H15" s="9"/>
      <c r="I15" s="9"/>
      <c r="J15" s="9" t="s">
        <v>143</v>
      </c>
      <c r="K15" s="9" t="s">
        <v>311</v>
      </c>
      <c r="L15" s="17">
        <v>405</v>
      </c>
      <c r="M15" s="5"/>
      <c r="N15" s="5"/>
      <c r="O15" s="5"/>
    </row>
    <row r="16" spans="1:15" ht="14.25" customHeight="1" x14ac:dyDescent="0.2">
      <c r="A16" s="16" t="s">
        <v>323</v>
      </c>
      <c r="B16" s="24" t="s">
        <v>324</v>
      </c>
      <c r="C16" s="20">
        <v>46099</v>
      </c>
      <c r="D16" s="10">
        <v>32170</v>
      </c>
      <c r="E16" s="9">
        <v>628</v>
      </c>
      <c r="F16" s="9"/>
      <c r="G16" s="9"/>
      <c r="H16" s="9"/>
      <c r="I16" s="9"/>
      <c r="J16" s="9" t="s">
        <v>143</v>
      </c>
      <c r="K16" s="9" t="s">
        <v>217</v>
      </c>
      <c r="L16" s="17">
        <v>405</v>
      </c>
      <c r="M16" s="5"/>
      <c r="N16" s="5"/>
      <c r="O16" s="5"/>
    </row>
    <row r="17" spans="1:15" ht="12.75" x14ac:dyDescent="0.2">
      <c r="A17" s="16" t="s">
        <v>325</v>
      </c>
      <c r="B17" s="24" t="s">
        <v>326</v>
      </c>
      <c r="C17" s="20">
        <v>46100</v>
      </c>
      <c r="D17" s="10">
        <v>31050</v>
      </c>
      <c r="E17" s="9">
        <v>600</v>
      </c>
      <c r="F17" s="9"/>
      <c r="G17" s="9"/>
      <c r="H17" s="9"/>
      <c r="I17" s="9"/>
      <c r="J17" s="9" t="s">
        <v>143</v>
      </c>
      <c r="K17" s="9" t="s">
        <v>327</v>
      </c>
      <c r="L17" s="17">
        <v>405</v>
      </c>
      <c r="M17" s="5"/>
      <c r="N17" s="5"/>
      <c r="O17" s="5"/>
    </row>
    <row r="18" spans="1:15" ht="12.75" x14ac:dyDescent="0.2">
      <c r="A18" s="16" t="s">
        <v>328</v>
      </c>
      <c r="B18" s="24"/>
      <c r="C18" s="20">
        <v>46101</v>
      </c>
      <c r="D18" s="10">
        <v>10550</v>
      </c>
      <c r="E18" s="9">
        <v>211</v>
      </c>
      <c r="F18" s="9"/>
      <c r="G18" s="9"/>
      <c r="H18" s="9"/>
      <c r="I18" s="9"/>
      <c r="J18" s="9" t="s">
        <v>143</v>
      </c>
      <c r="K18" s="9"/>
      <c r="L18" s="17">
        <v>405</v>
      </c>
      <c r="M18" s="5"/>
      <c r="N18" s="5"/>
      <c r="O18" s="5"/>
    </row>
    <row r="19" spans="1:15" ht="12.75" x14ac:dyDescent="0.2">
      <c r="A19" s="16" t="s">
        <v>329</v>
      </c>
      <c r="B19" s="24" t="s">
        <v>330</v>
      </c>
      <c r="C19" s="20">
        <v>46101</v>
      </c>
      <c r="D19" s="10">
        <v>4700</v>
      </c>
      <c r="E19" s="9"/>
      <c r="F19" s="9">
        <v>94</v>
      </c>
      <c r="G19" s="9"/>
      <c r="H19" s="9"/>
      <c r="I19" s="9"/>
      <c r="J19" s="9" t="s">
        <v>143</v>
      </c>
      <c r="K19" s="9" t="s">
        <v>331</v>
      </c>
      <c r="L19" s="17">
        <v>405</v>
      </c>
      <c r="M19" s="5"/>
      <c r="N19" s="5"/>
      <c r="O19" s="5"/>
    </row>
    <row r="20" spans="1:15" ht="12.75" x14ac:dyDescent="0.2">
      <c r="A20" s="16" t="s">
        <v>332</v>
      </c>
      <c r="B20" s="24" t="s">
        <v>333</v>
      </c>
      <c r="C20" s="20">
        <v>46100</v>
      </c>
      <c r="D20" s="10">
        <v>12670</v>
      </c>
      <c r="E20" s="9">
        <v>248</v>
      </c>
      <c r="F20" s="9"/>
      <c r="G20" s="9"/>
      <c r="H20" s="9"/>
      <c r="I20" s="9"/>
      <c r="J20" s="9" t="s">
        <v>143</v>
      </c>
      <c r="K20" s="9" t="s">
        <v>311</v>
      </c>
      <c r="L20" s="17">
        <v>405</v>
      </c>
      <c r="M20" s="5"/>
      <c r="N20" s="5"/>
      <c r="O20" s="5"/>
    </row>
    <row r="21" spans="1:15" ht="12.75" x14ac:dyDescent="0.2">
      <c r="A21" s="16" t="s">
        <v>334</v>
      </c>
      <c r="B21" s="24" t="s">
        <v>335</v>
      </c>
      <c r="C21" s="20">
        <v>46100</v>
      </c>
      <c r="D21" s="10">
        <v>30600</v>
      </c>
      <c r="E21" s="9">
        <v>600</v>
      </c>
      <c r="F21" s="9"/>
      <c r="G21" s="9"/>
      <c r="H21" s="9"/>
      <c r="I21" s="9"/>
      <c r="J21" s="9" t="s">
        <v>143</v>
      </c>
      <c r="K21" s="9" t="s">
        <v>273</v>
      </c>
      <c r="L21" s="17">
        <v>405</v>
      </c>
      <c r="M21" s="5"/>
      <c r="N21" s="5"/>
      <c r="O21" s="5"/>
    </row>
    <row r="22" spans="1:15" ht="12.75" x14ac:dyDescent="0.2">
      <c r="A22" s="16" t="s">
        <v>336</v>
      </c>
      <c r="B22" s="24" t="s">
        <v>337</v>
      </c>
      <c r="C22" s="89">
        <v>46102</v>
      </c>
      <c r="D22" s="10">
        <v>31100</v>
      </c>
      <c r="E22" s="9">
        <v>602</v>
      </c>
      <c r="F22" s="9"/>
      <c r="G22" s="9"/>
      <c r="H22" s="9"/>
      <c r="I22" s="9"/>
      <c r="J22" s="9" t="s">
        <v>143</v>
      </c>
      <c r="K22" s="9" t="s">
        <v>327</v>
      </c>
      <c r="L22" s="17">
        <v>405</v>
      </c>
      <c r="M22" s="5"/>
      <c r="N22" s="5"/>
      <c r="O22" s="5"/>
    </row>
    <row r="23" spans="1:15" ht="12.75" x14ac:dyDescent="0.2">
      <c r="A23" s="16"/>
      <c r="B23" s="24"/>
      <c r="C23" s="20"/>
      <c r="D23" s="10"/>
      <c r="E23" s="9"/>
      <c r="F23" s="9"/>
      <c r="G23" s="9"/>
      <c r="H23" s="9"/>
      <c r="I23" s="9"/>
      <c r="J23" s="9"/>
      <c r="K23" s="9"/>
      <c r="L23" s="17"/>
      <c r="M23" s="5"/>
      <c r="N23" s="5"/>
      <c r="O23" s="5"/>
    </row>
    <row r="24" spans="1:15" ht="12.75" x14ac:dyDescent="0.2">
      <c r="A24" s="35" t="s">
        <v>149</v>
      </c>
      <c r="B24" s="33"/>
      <c r="C24" s="33"/>
      <c r="D24" s="144">
        <f>SUBTOTAL(109,Tabla35[PESO NETO KGS])</f>
        <v>289182</v>
      </c>
      <c r="E24" s="33">
        <f>SUBTOTAL(109,Tabla35[ARPILLAS 1ERAS])</f>
        <v>5396</v>
      </c>
      <c r="F24" s="33">
        <f>SUBTOTAL(109,Tabla35[ARPILLAS 3RAS])</f>
        <v>262</v>
      </c>
      <c r="G24" s="33">
        <f>SUBTOTAL(109,Tabla35[ARPILLAS 4TAS2])</f>
        <v>0</v>
      </c>
      <c r="H24" s="33"/>
      <c r="I24" s="33"/>
      <c r="J24" s="33"/>
      <c r="K24" s="33"/>
      <c r="L24" s="34"/>
      <c r="M24" s="5"/>
      <c r="N24" s="5"/>
      <c r="O24" s="5"/>
    </row>
    <row r="25" spans="1:15" ht="12.75" x14ac:dyDescent="0.2">
      <c r="A25" s="12"/>
      <c r="B25" s="12"/>
      <c r="C25" s="12"/>
      <c r="D25" s="13"/>
      <c r="E25" s="13">
        <v>-600</v>
      </c>
      <c r="F25" s="60" t="s">
        <v>338</v>
      </c>
      <c r="G25" s="13"/>
      <c r="H25" s="12"/>
      <c r="I25" s="12"/>
      <c r="J25" s="12"/>
      <c r="K25" s="12"/>
      <c r="L25" s="12"/>
      <c r="M25" s="5"/>
      <c r="N25" s="5"/>
      <c r="O25" s="5"/>
    </row>
    <row r="26" spans="1:15" ht="12.75" x14ac:dyDescent="0.2">
      <c r="A26" s="12"/>
      <c r="B26" s="12"/>
      <c r="C26" s="12"/>
      <c r="D26" s="13"/>
      <c r="E26" s="13">
        <v>-4200</v>
      </c>
      <c r="F26" s="60"/>
      <c r="G26" s="13"/>
      <c r="H26" s="12"/>
      <c r="I26" s="12"/>
      <c r="J26" s="12"/>
      <c r="K26" s="12"/>
      <c r="L26" s="12"/>
      <c r="M26" s="5"/>
      <c r="N26" s="5"/>
      <c r="O26" s="5"/>
    </row>
    <row r="27" spans="1:15" ht="12.75" x14ac:dyDescent="0.2">
      <c r="E27" s="61">
        <f>+Tabla35[[#Totals],[ARPILLAS 1ERAS]]+Tabla35[[#Totals],[ARPILLAS 3RAS]]+Tabla35[[#Totals],[ARPILLAS 4TAS2]]+E25+E26</f>
        <v>858</v>
      </c>
      <c r="F27">
        <f>+E27*50</f>
        <v>42900</v>
      </c>
      <c r="M27" s="5"/>
      <c r="N27" s="5"/>
      <c r="O27" s="5"/>
    </row>
    <row r="28" spans="1:15" ht="12.75" x14ac:dyDescent="0.2">
      <c r="D28" t="s">
        <v>339</v>
      </c>
      <c r="F28">
        <f>+Tabla35[[#Totals],[ARPILLAS 1ERAS]]+Tabla35[[#Totals],[ARPILLAS 3RAS]]+Tabla35[[#Totals],[ARPILLAS 4TAS2]]+Tabla3[[#Totals],[ARPILLAS 3RAS]]+Tabla1[[#Totals],[ARPILLAS 1ERAS Y 2DAS]]+Tabla1[[#Totals],[ARPILLAS 3RAS, 4TAS]]</f>
        <v>57016</v>
      </c>
      <c r="M28" s="5"/>
      <c r="N28" s="5"/>
      <c r="O28" s="5"/>
    </row>
    <row r="29" spans="1:15" ht="12.75" x14ac:dyDescent="0.2">
      <c r="F29">
        <f>501+Tabla3[[#Totals],[ARPILLAS 3RAS]]+Tabla1[[#Totals],[ARPILLAS 1ERAS Y 2DAS]]+Tabla1[[#Totals],[ARPILLAS 3RAS, 4TAS]]</f>
        <v>51859</v>
      </c>
      <c r="H29">
        <v>10310</v>
      </c>
      <c r="J29">
        <v>199</v>
      </c>
      <c r="M29" s="5"/>
      <c r="N29" s="5"/>
      <c r="O29" s="5"/>
    </row>
    <row r="30" spans="1:15" ht="12.75" x14ac:dyDescent="0.2">
      <c r="H30">
        <f>+(J30*H29)/J29</f>
        <v>9014.7738693467345</v>
      </c>
      <c r="J30">
        <v>174</v>
      </c>
      <c r="M30" s="5"/>
      <c r="N30" s="5"/>
      <c r="O30" s="5"/>
    </row>
    <row r="31" spans="1:15" ht="12.75" x14ac:dyDescent="0.2">
      <c r="H31">
        <f>+(J31*H29)/J29</f>
        <v>1295.2261306532664</v>
      </c>
      <c r="J31">
        <v>25</v>
      </c>
      <c r="M31" s="5"/>
      <c r="N31" s="5"/>
      <c r="O31" s="5"/>
    </row>
    <row r="32" spans="1:15" ht="12.75" x14ac:dyDescent="0.2">
      <c r="M32" s="5"/>
      <c r="N32" s="5"/>
      <c r="O32" s="5"/>
    </row>
    <row r="33" spans="13:15" ht="12.75" x14ac:dyDescent="0.2">
      <c r="M33" s="5"/>
      <c r="N33" s="5"/>
      <c r="O33" s="5"/>
    </row>
    <row r="34" spans="13:15" ht="12.75" x14ac:dyDescent="0.2">
      <c r="M34" s="5"/>
      <c r="N34" s="5"/>
      <c r="O34" s="5"/>
    </row>
    <row r="35" spans="13:15" ht="12.75" x14ac:dyDescent="0.2">
      <c r="M35" s="5"/>
      <c r="N35" s="5"/>
      <c r="O35" s="5"/>
    </row>
    <row r="36" spans="13:15" ht="12.75" x14ac:dyDescent="0.2">
      <c r="M36" s="5"/>
      <c r="N36" s="5"/>
      <c r="O36" s="5"/>
    </row>
    <row r="37" spans="13:15" ht="12.75" x14ac:dyDescent="0.2">
      <c r="M37" s="5"/>
      <c r="N37" s="5"/>
      <c r="O37" s="5"/>
    </row>
    <row r="38" spans="13:15" ht="12.75" x14ac:dyDescent="0.2">
      <c r="M38" s="5"/>
      <c r="N38" s="5"/>
      <c r="O38" s="5"/>
    </row>
    <row r="39" spans="13:15" ht="12.75" x14ac:dyDescent="0.2">
      <c r="M39" s="5"/>
      <c r="N39" s="5"/>
      <c r="O39" s="5"/>
    </row>
    <row r="40" spans="13:15" ht="12.75" x14ac:dyDescent="0.2">
      <c r="M40" s="5"/>
      <c r="N40" s="5"/>
      <c r="O40" s="5"/>
    </row>
    <row r="41" spans="13:15" ht="12.75" x14ac:dyDescent="0.2">
      <c r="M41" s="5"/>
      <c r="N41" s="5"/>
      <c r="O41" s="5"/>
    </row>
    <row r="42" spans="13:15" ht="12.75" x14ac:dyDescent="0.2">
      <c r="M42" s="5"/>
      <c r="N42" s="5"/>
      <c r="O42" s="5"/>
    </row>
    <row r="43" spans="13:15" ht="12.75" x14ac:dyDescent="0.2">
      <c r="M43" s="5"/>
      <c r="N43" s="5"/>
      <c r="O43" s="5"/>
    </row>
    <row r="44" spans="13:15" ht="12.75" x14ac:dyDescent="0.2">
      <c r="M44" s="5"/>
      <c r="N44" s="5"/>
      <c r="O44" s="5"/>
    </row>
    <row r="45" spans="13:15" ht="12.75" x14ac:dyDescent="0.2">
      <c r="M45" s="5"/>
      <c r="N45" s="5"/>
      <c r="O45" s="5"/>
    </row>
    <row r="46" spans="13:15" ht="12.75" x14ac:dyDescent="0.2">
      <c r="M46" s="5"/>
      <c r="N46" s="5"/>
      <c r="O46" s="5"/>
    </row>
    <row r="47" spans="13:15" ht="12.75" x14ac:dyDescent="0.2">
      <c r="M47" s="5"/>
      <c r="N47" s="5"/>
      <c r="O47" s="5"/>
    </row>
    <row r="48" spans="13:15" ht="12.75" x14ac:dyDescent="0.2">
      <c r="M48" s="5"/>
      <c r="N48" s="5"/>
      <c r="O48" s="5"/>
    </row>
    <row r="49" spans="1:15" ht="12.75" x14ac:dyDescent="0.2">
      <c r="M49" s="5"/>
      <c r="N49" s="5"/>
      <c r="O49" s="5"/>
    </row>
    <row r="50" spans="1:15" ht="12.75" x14ac:dyDescent="0.2">
      <c r="A50" s="5"/>
      <c r="B50" s="5"/>
      <c r="C50" s="5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ht="12.75" x14ac:dyDescent="0.2">
      <c r="A51" s="5"/>
      <c r="B51" s="5"/>
      <c r="C51" s="5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ht="12.75" x14ac:dyDescent="0.2">
      <c r="A52" s="5"/>
      <c r="B52" s="5"/>
      <c r="C52" s="5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ht="12.75" x14ac:dyDescent="0.2">
      <c r="A53" s="5"/>
      <c r="B53" s="5"/>
      <c r="C53" s="5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ht="12.75" x14ac:dyDescent="0.2">
      <c r="A54" s="5"/>
      <c r="B54" s="5"/>
      <c r="C54" s="5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ht="12.75" x14ac:dyDescent="0.2">
      <c r="A55" s="5"/>
      <c r="B55" s="5"/>
      <c r="C55" s="5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ht="12.75" x14ac:dyDescent="0.2">
      <c r="A56" s="5"/>
      <c r="B56" s="5"/>
      <c r="C56" s="5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ht="12.75" x14ac:dyDescent="0.2">
      <c r="A57" s="5"/>
      <c r="B57" s="5"/>
      <c r="C57" s="5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ht="12.75" x14ac:dyDescent="0.2">
      <c r="A58" s="5"/>
      <c r="B58" s="5"/>
      <c r="C58" s="5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t="12.75" x14ac:dyDescent="0.2">
      <c r="A59" s="5"/>
      <c r="B59" s="5"/>
      <c r="C59" s="5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t="12.75" x14ac:dyDescent="0.2">
      <c r="A60" s="5"/>
      <c r="B60" s="5"/>
      <c r="C60" s="5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2.75" x14ac:dyDescent="0.2">
      <c r="A61" s="5"/>
      <c r="B61" s="5"/>
      <c r="C61" s="5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12.75" x14ac:dyDescent="0.2">
      <c r="A62" s="5"/>
      <c r="B62" s="5"/>
      <c r="C62" s="5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2.75" x14ac:dyDescent="0.2">
      <c r="A63" s="5"/>
      <c r="B63" s="5"/>
      <c r="C63" s="5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12.75" x14ac:dyDescent="0.2">
      <c r="A64" s="5"/>
      <c r="B64" s="5"/>
      <c r="C64" s="5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12.75" x14ac:dyDescent="0.2">
      <c r="A65" s="5"/>
      <c r="B65" s="5"/>
      <c r="C65" s="5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2.75" x14ac:dyDescent="0.2">
      <c r="A66" s="5"/>
      <c r="B66" s="5"/>
      <c r="C66" s="5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2.75" x14ac:dyDescent="0.2">
      <c r="A67" s="5"/>
      <c r="B67" s="5"/>
      <c r="C67" s="5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2.75" x14ac:dyDescent="0.2">
      <c r="A68" s="5"/>
      <c r="B68" s="5"/>
      <c r="C68" s="5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2.75" x14ac:dyDescent="0.2">
      <c r="A69" s="5"/>
      <c r="B69" s="5"/>
      <c r="C69" s="5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12.75" x14ac:dyDescent="0.2">
      <c r="A70" s="5"/>
      <c r="B70" s="5"/>
      <c r="C70" s="5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2.75" x14ac:dyDescent="0.2">
      <c r="A71" s="5"/>
      <c r="B71" s="5"/>
      <c r="C71" s="5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ht="12.75" x14ac:dyDescent="0.2">
      <c r="A72" s="5"/>
      <c r="B72" s="5"/>
      <c r="C72" s="5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ht="12.75" x14ac:dyDescent="0.2">
      <c r="A73" s="5"/>
      <c r="B73" s="5"/>
      <c r="C73" s="5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ht="12.75" x14ac:dyDescent="0.2">
      <c r="A74" s="5"/>
      <c r="B74" s="5"/>
      <c r="C74" s="5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ht="12.75" x14ac:dyDescent="0.2">
      <c r="A75" s="5"/>
      <c r="B75" s="5"/>
      <c r="C75" s="5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ht="12.75" x14ac:dyDescent="0.2">
      <c r="A76" s="5"/>
      <c r="B76" s="5"/>
      <c r="C76" s="5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ht="12.75" x14ac:dyDescent="0.2">
      <c r="A77" s="5"/>
      <c r="B77" s="5"/>
      <c r="C77" s="5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ht="12.75" x14ac:dyDescent="0.2">
      <c r="A78" s="5"/>
      <c r="B78" s="5"/>
      <c r="C78" s="5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ht="12.75" x14ac:dyDescent="0.2">
      <c r="A79" s="5"/>
      <c r="B79" s="5"/>
      <c r="C79" s="5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ht="12.75" x14ac:dyDescent="0.2">
      <c r="A80" s="5"/>
      <c r="B80" s="5"/>
      <c r="C80" s="5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ht="12.75" x14ac:dyDescent="0.2">
      <c r="A81" s="5"/>
      <c r="B81" s="5"/>
      <c r="C81" s="5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ht="12.75" x14ac:dyDescent="0.2">
      <c r="A82" s="5"/>
      <c r="B82" s="5"/>
      <c r="C82" s="5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ht="12.75" x14ac:dyDescent="0.2">
      <c r="A83" s="5"/>
      <c r="B83" s="5"/>
      <c r="C83" s="5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ht="12.75" x14ac:dyDescent="0.2">
      <c r="A84" s="5"/>
      <c r="B84" s="5"/>
      <c r="C84" s="5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ht="12.75" x14ac:dyDescent="0.2">
      <c r="A85" s="5"/>
      <c r="B85" s="5"/>
      <c r="C85" s="5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ht="12.75" x14ac:dyDescent="0.2">
      <c r="A86" s="5"/>
      <c r="B86" s="5"/>
      <c r="C86" s="5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ht="12.75" x14ac:dyDescent="0.2">
      <c r="A87" s="5"/>
      <c r="B87" s="5"/>
      <c r="C87" s="5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ht="12.75" x14ac:dyDescent="0.2">
      <c r="A88" s="5"/>
      <c r="B88" s="5"/>
      <c r="C88" s="5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ht="12.75" x14ac:dyDescent="0.2">
      <c r="A89" s="5"/>
      <c r="B89" s="5"/>
      <c r="C89" s="5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ht="12.75" x14ac:dyDescent="0.2">
      <c r="A90" s="5"/>
      <c r="B90" s="5"/>
      <c r="C90" s="5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ht="12.75" x14ac:dyDescent="0.2">
      <c r="A91" s="5"/>
      <c r="B91" s="5"/>
      <c r="C91" s="5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ht="12.75" x14ac:dyDescent="0.2">
      <c r="A92" s="5"/>
      <c r="B92" s="5"/>
      <c r="C92" s="5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ht="12.75" x14ac:dyDescent="0.2">
      <c r="A93" s="5"/>
      <c r="B93" s="5"/>
      <c r="C93" s="5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ht="12.75" x14ac:dyDescent="0.2">
      <c r="A94" s="5"/>
      <c r="B94" s="5"/>
      <c r="C94" s="5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ht="12.75" x14ac:dyDescent="0.2">
      <c r="A95" s="5"/>
      <c r="B95" s="5"/>
      <c r="C95" s="5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ht="12.75" x14ac:dyDescent="0.2">
      <c r="A96" s="5"/>
      <c r="B96" s="5"/>
      <c r="C96" s="5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ht="12.75" x14ac:dyDescent="0.2">
      <c r="A97" s="5"/>
      <c r="B97" s="5"/>
      <c r="C97" s="5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ht="12.75" x14ac:dyDescent="0.2">
      <c r="A98" s="5"/>
      <c r="B98" s="5"/>
      <c r="C98" s="5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ht="12.75" x14ac:dyDescent="0.2">
      <c r="A99" s="5"/>
      <c r="B99" s="5"/>
      <c r="C99" s="5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ht="12.75" x14ac:dyDescent="0.2">
      <c r="A100" s="5"/>
      <c r="B100" s="5"/>
      <c r="C100" s="5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ht="12.75" x14ac:dyDescent="0.2">
      <c r="A101" s="5"/>
      <c r="B101" s="5"/>
      <c r="C101" s="5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ht="12.75" x14ac:dyDescent="0.2">
      <c r="A102" s="5"/>
      <c r="B102" s="5"/>
      <c r="C102" s="5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ht="12.75" x14ac:dyDescent="0.2">
      <c r="A103" s="5"/>
      <c r="B103" s="5"/>
      <c r="C103" s="5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ht="12.75" x14ac:dyDescent="0.2">
      <c r="A104" s="5"/>
      <c r="B104" s="5"/>
      <c r="C104" s="5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ht="12.75" x14ac:dyDescent="0.2">
      <c r="A105" s="5"/>
      <c r="B105" s="5"/>
      <c r="C105" s="5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ht="12.75" x14ac:dyDescent="0.2">
      <c r="A106" s="5"/>
      <c r="B106" s="5"/>
      <c r="C106" s="5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ht="12.75" x14ac:dyDescent="0.2">
      <c r="A107" s="5"/>
      <c r="B107" s="5"/>
      <c r="C107" s="5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ht="12.75" x14ac:dyDescent="0.2">
      <c r="A108" s="5"/>
      <c r="B108" s="5"/>
      <c r="C108" s="5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ht="12.75" x14ac:dyDescent="0.2">
      <c r="A109" s="5"/>
      <c r="B109" s="5"/>
      <c r="C109" s="5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ht="12.75" x14ac:dyDescent="0.2">
      <c r="A110" s="5"/>
      <c r="B110" s="5"/>
      <c r="C110" s="5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ht="12.75" x14ac:dyDescent="0.2">
      <c r="A111" s="5"/>
      <c r="B111" s="5"/>
      <c r="C111" s="5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ht="12.75" x14ac:dyDescent="0.2">
      <c r="A112" s="5"/>
      <c r="B112" s="5"/>
      <c r="C112" s="5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ht="12.75" x14ac:dyDescent="0.2">
      <c r="A113" s="5"/>
      <c r="B113" s="5"/>
      <c r="C113" s="5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ht="12.75" x14ac:dyDescent="0.2">
      <c r="A114" s="5"/>
      <c r="B114" s="5"/>
      <c r="C114" s="5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ht="12.75" x14ac:dyDescent="0.2">
      <c r="A115" s="5"/>
      <c r="B115" s="5"/>
      <c r="C115" s="5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ht="12.75" x14ac:dyDescent="0.2">
      <c r="A116" s="5"/>
      <c r="B116" s="5"/>
      <c r="C116" s="5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ht="12.75" x14ac:dyDescent="0.2">
      <c r="A117" s="5"/>
      <c r="B117" s="5"/>
      <c r="C117" s="5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ht="12.75" x14ac:dyDescent="0.2">
      <c r="A118" s="5"/>
      <c r="B118" s="5"/>
      <c r="C118" s="5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ht="12.75" x14ac:dyDescent="0.2">
      <c r="A119" s="5"/>
      <c r="B119" s="5"/>
      <c r="C119" s="5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ht="12.75" x14ac:dyDescent="0.2">
      <c r="A120" s="5"/>
      <c r="B120" s="5"/>
      <c r="C120" s="5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ht="12.75" x14ac:dyDescent="0.2">
      <c r="A121" s="5"/>
      <c r="B121" s="5"/>
      <c r="C121" s="5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ht="12.75" x14ac:dyDescent="0.2">
      <c r="A122" s="5"/>
      <c r="B122" s="5"/>
      <c r="C122" s="5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ht="12.75" x14ac:dyDescent="0.2">
      <c r="A123" s="5"/>
      <c r="B123" s="5"/>
      <c r="C123" s="5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ht="12.75" x14ac:dyDescent="0.2">
      <c r="A124" s="5"/>
      <c r="B124" s="5"/>
      <c r="C124" s="5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ht="12.75" x14ac:dyDescent="0.2">
      <c r="A125" s="5"/>
      <c r="B125" s="5"/>
      <c r="C125" s="5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ht="12.75" x14ac:dyDescent="0.2">
      <c r="A126" s="5"/>
      <c r="B126" s="5"/>
      <c r="C126" s="5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ht="12.75" x14ac:dyDescent="0.2">
      <c r="A127" s="5"/>
      <c r="B127" s="5"/>
      <c r="C127" s="5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ht="12.75" x14ac:dyDescent="0.2">
      <c r="A128" s="5"/>
      <c r="B128" s="5"/>
      <c r="C128" s="5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ht="12.75" x14ac:dyDescent="0.2">
      <c r="A129" s="5"/>
      <c r="B129" s="5"/>
      <c r="C129" s="5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ht="12.75" x14ac:dyDescent="0.2">
      <c r="A130" s="5"/>
      <c r="B130" s="5"/>
      <c r="C130" s="5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ht="12.75" x14ac:dyDescent="0.2">
      <c r="A131" s="5"/>
      <c r="B131" s="5"/>
      <c r="C131" s="5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ht="12.75" x14ac:dyDescent="0.2">
      <c r="A132" s="5"/>
      <c r="B132" s="5"/>
      <c r="C132" s="5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ht="12.75" x14ac:dyDescent="0.2">
      <c r="A133" s="5"/>
      <c r="B133" s="5"/>
      <c r="C133" s="5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ht="12.75" x14ac:dyDescent="0.2">
      <c r="A134" s="5"/>
      <c r="B134" s="5"/>
      <c r="C134" s="5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12.75" x14ac:dyDescent="0.2">
      <c r="A135" s="5"/>
      <c r="B135" s="5"/>
      <c r="C135" s="5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ht="12.75" x14ac:dyDescent="0.2">
      <c r="A136" s="5"/>
      <c r="B136" s="5"/>
      <c r="C136" s="5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ht="12.75" x14ac:dyDescent="0.2">
      <c r="A137" s="5"/>
      <c r="B137" s="5"/>
      <c r="C137" s="5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ht="12.75" x14ac:dyDescent="0.2">
      <c r="A138" s="5"/>
      <c r="B138" s="5"/>
      <c r="C138" s="5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ht="12.75" x14ac:dyDescent="0.2">
      <c r="A139" s="5"/>
      <c r="B139" s="5"/>
      <c r="C139" s="5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ht="12.75" x14ac:dyDescent="0.2">
      <c r="A140" s="5"/>
      <c r="B140" s="5"/>
      <c r="C140" s="5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ht="12.75" x14ac:dyDescent="0.2">
      <c r="A141" s="5"/>
      <c r="B141" s="5"/>
      <c r="C141" s="5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ht="12.75" x14ac:dyDescent="0.2">
      <c r="A142" s="5"/>
      <c r="B142" s="5"/>
      <c r="C142" s="5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ht="12.75" x14ac:dyDescent="0.2">
      <c r="A143" s="5"/>
      <c r="B143" s="5"/>
      <c r="C143" s="5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ht="12.75" x14ac:dyDescent="0.2">
      <c r="A144" s="5"/>
      <c r="B144" s="5"/>
      <c r="C144" s="5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ht="12.75" x14ac:dyDescent="0.2">
      <c r="A145" s="5"/>
      <c r="B145" s="5"/>
      <c r="C145" s="5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ht="12.75" x14ac:dyDescent="0.2">
      <c r="A146" s="5"/>
      <c r="B146" s="5"/>
      <c r="C146" s="5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ht="12.75" x14ac:dyDescent="0.2">
      <c r="A147" s="5"/>
      <c r="B147" s="5"/>
      <c r="C147" s="5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ht="12.75" x14ac:dyDescent="0.2">
      <c r="A148" s="5"/>
      <c r="B148" s="5"/>
      <c r="C148" s="5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ht="12.75" x14ac:dyDescent="0.2">
      <c r="A149" s="5"/>
      <c r="B149" s="5"/>
      <c r="C149" s="5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ht="12.75" x14ac:dyDescent="0.2">
      <c r="A150" s="5"/>
      <c r="B150" s="5"/>
      <c r="C150" s="5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ht="12.75" x14ac:dyDescent="0.2">
      <c r="A151" s="5"/>
      <c r="B151" s="5"/>
      <c r="C151" s="5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ht="12.75" x14ac:dyDescent="0.2">
      <c r="A152" s="5"/>
      <c r="B152" s="5"/>
      <c r="C152" s="5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ht="12.75" x14ac:dyDescent="0.2">
      <c r="A153" s="5"/>
      <c r="B153" s="5"/>
      <c r="C153" s="5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ht="12.75" x14ac:dyDescent="0.2">
      <c r="A154" s="5"/>
      <c r="B154" s="5"/>
      <c r="C154" s="5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ht="12.75" x14ac:dyDescent="0.2">
      <c r="A155" s="5"/>
      <c r="B155" s="5"/>
      <c r="C155" s="5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ht="12.75" x14ac:dyDescent="0.2">
      <c r="A156" s="5"/>
      <c r="B156" s="5"/>
      <c r="C156" s="5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ht="12.75" x14ac:dyDescent="0.2">
      <c r="A157" s="5"/>
      <c r="B157" s="5"/>
      <c r="C157" s="5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ht="12.75" x14ac:dyDescent="0.2">
      <c r="A158" s="5"/>
      <c r="B158" s="5"/>
      <c r="C158" s="5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ht="12.75" x14ac:dyDescent="0.2">
      <c r="A159" s="5"/>
      <c r="B159" s="5"/>
      <c r="C159" s="5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ht="12.75" x14ac:dyDescent="0.2">
      <c r="A160" s="5"/>
      <c r="B160" s="5"/>
      <c r="C160" s="5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ht="12.75" x14ac:dyDescent="0.2">
      <c r="A161" s="5"/>
      <c r="B161" s="5"/>
      <c r="C161" s="5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ht="12.75" x14ac:dyDescent="0.2">
      <c r="A162" s="5"/>
      <c r="B162" s="5"/>
      <c r="C162" s="5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ht="12.75" x14ac:dyDescent="0.2">
      <c r="A163" s="5"/>
      <c r="B163" s="5"/>
      <c r="C163" s="5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ht="12.75" x14ac:dyDescent="0.2">
      <c r="A164" s="5"/>
      <c r="B164" s="5"/>
      <c r="C164" s="5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ht="12.75" x14ac:dyDescent="0.2">
      <c r="A165" s="5"/>
      <c r="B165" s="5"/>
      <c r="C165" s="5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ht="12.75" x14ac:dyDescent="0.2">
      <c r="A166" s="5"/>
      <c r="B166" s="5"/>
      <c r="C166" s="5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ht="12.75" x14ac:dyDescent="0.2">
      <c r="A167" s="5"/>
      <c r="B167" s="5"/>
      <c r="C167" s="5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ht="12.75" x14ac:dyDescent="0.2">
      <c r="A168" s="5"/>
      <c r="B168" s="5"/>
      <c r="C168" s="5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ht="12.75" x14ac:dyDescent="0.2">
      <c r="A169" s="5"/>
      <c r="B169" s="5"/>
      <c r="C169" s="5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ht="12.75" x14ac:dyDescent="0.2">
      <c r="A170" s="5"/>
      <c r="B170" s="5"/>
      <c r="C170" s="5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ht="12.75" x14ac:dyDescent="0.2">
      <c r="A171" s="5"/>
      <c r="B171" s="5"/>
      <c r="C171" s="5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ht="12.75" x14ac:dyDescent="0.2">
      <c r="A172" s="5"/>
      <c r="B172" s="5"/>
      <c r="C172" s="5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ht="12.75" x14ac:dyDescent="0.2">
      <c r="A173" s="5"/>
      <c r="B173" s="5"/>
      <c r="C173" s="5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ht="12.75" x14ac:dyDescent="0.2">
      <c r="A174" s="5"/>
      <c r="B174" s="5"/>
      <c r="C174" s="5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ht="12.75" x14ac:dyDescent="0.2">
      <c r="A175" s="5"/>
      <c r="B175" s="5"/>
      <c r="C175" s="5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ht="12.75" x14ac:dyDescent="0.2">
      <c r="A176" s="5"/>
      <c r="B176" s="5"/>
      <c r="C176" s="5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ht="12.75" x14ac:dyDescent="0.2">
      <c r="A177" s="5"/>
      <c r="B177" s="5"/>
      <c r="C177" s="5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ht="12.75" x14ac:dyDescent="0.2">
      <c r="A178" s="5"/>
      <c r="B178" s="5"/>
      <c r="C178" s="5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ht="12.75" x14ac:dyDescent="0.2">
      <c r="A179" s="5"/>
      <c r="B179" s="5"/>
      <c r="C179" s="5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ht="12.75" x14ac:dyDescent="0.2">
      <c r="A180" s="5"/>
      <c r="B180" s="5"/>
      <c r="C180" s="5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ht="12.75" x14ac:dyDescent="0.2">
      <c r="A181" s="5"/>
      <c r="B181" s="5"/>
      <c r="C181" s="5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ht="12.75" x14ac:dyDescent="0.2">
      <c r="A182" s="5"/>
      <c r="B182" s="5"/>
      <c r="C182" s="5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ht="12.75" x14ac:dyDescent="0.2">
      <c r="A183" s="5"/>
      <c r="B183" s="5"/>
      <c r="C183" s="5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ht="12.75" x14ac:dyDescent="0.2">
      <c r="A184" s="5"/>
      <c r="B184" s="5"/>
      <c r="C184" s="5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ht="12.75" x14ac:dyDescent="0.2">
      <c r="A185" s="5"/>
      <c r="B185" s="5"/>
      <c r="C185" s="5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ht="12.75" x14ac:dyDescent="0.2">
      <c r="A186" s="5"/>
      <c r="B186" s="5"/>
      <c r="C186" s="5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ht="12.75" x14ac:dyDescent="0.2">
      <c r="A187" s="5"/>
      <c r="B187" s="5"/>
      <c r="C187" s="5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ht="12.75" x14ac:dyDescent="0.2">
      <c r="A188" s="5"/>
      <c r="B188" s="5"/>
      <c r="C188" s="5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ht="12.75" x14ac:dyDescent="0.2">
      <c r="A189" s="5"/>
      <c r="B189" s="5"/>
      <c r="C189" s="5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ht="12.75" x14ac:dyDescent="0.2">
      <c r="A190" s="5"/>
      <c r="B190" s="5"/>
      <c r="C190" s="5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ht="12.75" x14ac:dyDescent="0.2">
      <c r="A191" s="5"/>
      <c r="B191" s="5"/>
      <c r="C191" s="5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ht="12.75" x14ac:dyDescent="0.2">
      <c r="A192" s="5"/>
      <c r="B192" s="5"/>
      <c r="C192" s="5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ht="12.75" x14ac:dyDescent="0.2">
      <c r="A193" s="5"/>
      <c r="B193" s="5"/>
      <c r="C193" s="5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ht="12.75" x14ac:dyDescent="0.2">
      <c r="A194" s="5"/>
      <c r="B194" s="5"/>
      <c r="C194" s="5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ht="12.75" x14ac:dyDescent="0.2">
      <c r="A195" s="5"/>
      <c r="B195" s="5"/>
      <c r="C195" s="5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ht="12.75" x14ac:dyDescent="0.2">
      <c r="A196" s="5"/>
      <c r="B196" s="5"/>
      <c r="C196" s="5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ht="12.75" x14ac:dyDescent="0.2">
      <c r="A197" s="5"/>
      <c r="B197" s="5"/>
      <c r="C197" s="5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ht="12.75" x14ac:dyDescent="0.2">
      <c r="A198" s="5"/>
      <c r="B198" s="5"/>
      <c r="C198" s="5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ht="12.75" x14ac:dyDescent="0.2">
      <c r="A199" s="5"/>
      <c r="B199" s="5"/>
      <c r="C199" s="5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ht="12.75" x14ac:dyDescent="0.2">
      <c r="A200" s="5"/>
      <c r="B200" s="5"/>
      <c r="C200" s="5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ht="12.75" x14ac:dyDescent="0.2">
      <c r="A201" s="5"/>
      <c r="B201" s="5"/>
      <c r="C201" s="5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ht="12.75" x14ac:dyDescent="0.2">
      <c r="A202" s="5"/>
      <c r="B202" s="5"/>
      <c r="C202" s="5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ht="12.75" x14ac:dyDescent="0.2">
      <c r="A203" s="5"/>
      <c r="B203" s="5"/>
      <c r="C203" s="5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ht="12.75" x14ac:dyDescent="0.2">
      <c r="A204" s="5"/>
      <c r="B204" s="5"/>
      <c r="C204" s="5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ht="12.75" x14ac:dyDescent="0.2">
      <c r="A205" s="5"/>
      <c r="B205" s="5"/>
      <c r="C205" s="5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ht="12.75" x14ac:dyDescent="0.2">
      <c r="A206" s="5"/>
      <c r="B206" s="5"/>
      <c r="C206" s="5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ht="12.75" x14ac:dyDescent="0.2">
      <c r="A207" s="5"/>
      <c r="B207" s="5"/>
      <c r="C207" s="5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ht="12.75" x14ac:dyDescent="0.2">
      <c r="A208" s="5"/>
      <c r="B208" s="5"/>
      <c r="C208" s="5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ht="12.75" x14ac:dyDescent="0.2">
      <c r="A209" s="5"/>
      <c r="B209" s="5"/>
      <c r="C209" s="5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ht="12.75" x14ac:dyDescent="0.2">
      <c r="A210" s="5"/>
      <c r="B210" s="5"/>
      <c r="C210" s="5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ht="12.75" x14ac:dyDescent="0.2">
      <c r="A211" s="5"/>
      <c r="B211" s="5"/>
      <c r="C211" s="5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ht="12.75" x14ac:dyDescent="0.2">
      <c r="A212" s="5"/>
      <c r="B212" s="5"/>
      <c r="C212" s="5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ht="12.75" x14ac:dyDescent="0.2">
      <c r="A213" s="5"/>
      <c r="B213" s="5"/>
      <c r="C213" s="5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ht="12.75" x14ac:dyDescent="0.2">
      <c r="A214" s="5"/>
      <c r="B214" s="5"/>
      <c r="C214" s="5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ht="12.75" x14ac:dyDescent="0.2">
      <c r="A215" s="5"/>
      <c r="B215" s="5"/>
      <c r="C215" s="5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ht="12.75" x14ac:dyDescent="0.2">
      <c r="A216" s="5"/>
      <c r="B216" s="5"/>
      <c r="C216" s="5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ht="12.75" x14ac:dyDescent="0.2">
      <c r="A217" s="5"/>
      <c r="B217" s="5"/>
      <c r="C217" s="5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ht="12.75" x14ac:dyDescent="0.2">
      <c r="A218" s="5"/>
      <c r="B218" s="5"/>
      <c r="C218" s="5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ht="12.75" x14ac:dyDescent="0.2">
      <c r="A219" s="5"/>
      <c r="B219" s="5"/>
      <c r="C219" s="5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ht="12.75" x14ac:dyDescent="0.2">
      <c r="A220" s="5"/>
      <c r="B220" s="5"/>
      <c r="C220" s="5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ht="12.75" x14ac:dyDescent="0.2">
      <c r="A221" s="5"/>
      <c r="B221" s="5"/>
      <c r="C221" s="5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ht="12.75" x14ac:dyDescent="0.2">
      <c r="A222" s="5"/>
      <c r="B222" s="5"/>
      <c r="C222" s="5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ht="12.75" x14ac:dyDescent="0.2">
      <c r="A223" s="5"/>
      <c r="B223" s="5"/>
      <c r="C223" s="5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ht="12.75" x14ac:dyDescent="0.2">
      <c r="A224" s="5"/>
      <c r="B224" s="5"/>
      <c r="C224" s="5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ht="12.75" x14ac:dyDescent="0.2">
      <c r="A225" s="5"/>
      <c r="B225" s="5"/>
      <c r="C225" s="5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ht="12.75" x14ac:dyDescent="0.2">
      <c r="A226" s="5"/>
      <c r="B226" s="5"/>
      <c r="C226" s="5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ht="12.75" x14ac:dyDescent="0.2">
      <c r="A227" s="5"/>
      <c r="B227" s="5"/>
      <c r="C227" s="5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ht="12.75" x14ac:dyDescent="0.2">
      <c r="A228" s="5"/>
      <c r="B228" s="5"/>
      <c r="C228" s="5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ht="12.75" x14ac:dyDescent="0.2">
      <c r="A229" s="5"/>
      <c r="B229" s="5"/>
      <c r="C229" s="5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ht="12.75" x14ac:dyDescent="0.2">
      <c r="A230" s="5"/>
      <c r="B230" s="5"/>
      <c r="C230" s="5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ht="12.75" x14ac:dyDescent="0.2">
      <c r="A231" s="5"/>
      <c r="B231" s="5"/>
      <c r="C231" s="5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ht="12.75" x14ac:dyDescent="0.2">
      <c r="A232" s="5"/>
      <c r="B232" s="5"/>
      <c r="C232" s="5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ht="12.75" x14ac:dyDescent="0.2">
      <c r="A233" s="5"/>
      <c r="B233" s="5"/>
      <c r="C233" s="5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ht="12.75" x14ac:dyDescent="0.2">
      <c r="A234" s="5"/>
      <c r="B234" s="5"/>
      <c r="C234" s="5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ht="12.75" x14ac:dyDescent="0.2">
      <c r="A235" s="5"/>
      <c r="B235" s="5"/>
      <c r="C235" s="5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ht="12.75" x14ac:dyDescent="0.2">
      <c r="A236" s="5"/>
      <c r="B236" s="5"/>
      <c r="C236" s="5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ht="12.75" x14ac:dyDescent="0.2">
      <c r="A237" s="5"/>
      <c r="B237" s="5"/>
      <c r="C237" s="5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ht="12.75" x14ac:dyDescent="0.2">
      <c r="A238" s="5"/>
      <c r="B238" s="5"/>
      <c r="C238" s="5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ht="12.75" x14ac:dyDescent="0.2">
      <c r="A239" s="5"/>
      <c r="B239" s="5"/>
      <c r="C239" s="5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ht="12.75" x14ac:dyDescent="0.2">
      <c r="A240" s="5"/>
      <c r="B240" s="5"/>
      <c r="C240" s="5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ht="12.75" x14ac:dyDescent="0.2">
      <c r="A241" s="5"/>
      <c r="B241" s="5"/>
      <c r="C241" s="5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ht="12.75" x14ac:dyDescent="0.2">
      <c r="A242" s="5"/>
      <c r="B242" s="5"/>
      <c r="C242" s="5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ht="12.75" x14ac:dyDescent="0.2">
      <c r="A243" s="5"/>
      <c r="B243" s="5"/>
      <c r="C243" s="5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ht="12.75" x14ac:dyDescent="0.2">
      <c r="A244" s="5"/>
      <c r="B244" s="5"/>
      <c r="C244" s="5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ht="12.75" x14ac:dyDescent="0.2">
      <c r="A245" s="5"/>
      <c r="B245" s="5"/>
      <c r="C245" s="5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ht="12.75" x14ac:dyDescent="0.2">
      <c r="A246" s="5"/>
      <c r="B246" s="5"/>
      <c r="C246" s="5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ht="12.75" x14ac:dyDescent="0.2">
      <c r="A247" s="5"/>
      <c r="B247" s="5"/>
      <c r="C247" s="5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ht="12.75" x14ac:dyDescent="0.2">
      <c r="A248" s="5"/>
      <c r="B248" s="5"/>
      <c r="C248" s="5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ht="12.75" x14ac:dyDescent="0.2">
      <c r="A249" s="5"/>
      <c r="B249" s="5"/>
      <c r="C249" s="5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ht="12.75" x14ac:dyDescent="0.2">
      <c r="A250" s="5"/>
      <c r="B250" s="5"/>
      <c r="C250" s="5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ht="12.75" x14ac:dyDescent="0.2">
      <c r="A251" s="5"/>
      <c r="B251" s="5"/>
      <c r="C251" s="5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ht="12.75" x14ac:dyDescent="0.2">
      <c r="A252" s="5"/>
      <c r="B252" s="5"/>
      <c r="C252" s="5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ht="12.75" x14ac:dyDescent="0.2">
      <c r="A253" s="5"/>
      <c r="B253" s="5"/>
      <c r="C253" s="5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ht="12.75" x14ac:dyDescent="0.2">
      <c r="A254" s="5"/>
      <c r="B254" s="5"/>
      <c r="C254" s="5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ht="12.75" x14ac:dyDescent="0.2">
      <c r="A255" s="5"/>
      <c r="B255" s="5"/>
      <c r="C255" s="5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ht="12.75" x14ac:dyDescent="0.2">
      <c r="A256" s="5"/>
      <c r="B256" s="5"/>
      <c r="C256" s="5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ht="12.75" x14ac:dyDescent="0.2">
      <c r="A257" s="5"/>
      <c r="B257" s="5"/>
      <c r="C257" s="5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ht="12.75" x14ac:dyDescent="0.2">
      <c r="A258" s="5"/>
      <c r="B258" s="5"/>
      <c r="C258" s="5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ht="12.75" x14ac:dyDescent="0.2">
      <c r="A259" s="5"/>
      <c r="B259" s="5"/>
      <c r="C259" s="5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ht="12.75" x14ac:dyDescent="0.2">
      <c r="A260" s="5"/>
      <c r="B260" s="5"/>
      <c r="C260" s="5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ht="12.75" x14ac:dyDescent="0.2">
      <c r="A261" s="5"/>
      <c r="B261" s="5"/>
      <c r="C261" s="5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ht="12.75" x14ac:dyDescent="0.2">
      <c r="A262" s="5"/>
      <c r="B262" s="5"/>
      <c r="C262" s="5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ht="12.75" x14ac:dyDescent="0.2">
      <c r="A263" s="5"/>
      <c r="B263" s="5"/>
      <c r="C263" s="5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ht="12.75" x14ac:dyDescent="0.2">
      <c r="A264" s="5"/>
      <c r="B264" s="5"/>
      <c r="C264" s="5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ht="12.75" x14ac:dyDescent="0.2">
      <c r="A265" s="5"/>
      <c r="B265" s="5"/>
      <c r="C265" s="5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ht="12.75" x14ac:dyDescent="0.2">
      <c r="A266" s="5"/>
      <c r="B266" s="5"/>
      <c r="C266" s="5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ht="12.75" x14ac:dyDescent="0.2">
      <c r="A267" s="5"/>
      <c r="B267" s="5"/>
      <c r="C267" s="5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ht="12.75" x14ac:dyDescent="0.2">
      <c r="A268" s="5"/>
      <c r="B268" s="5"/>
      <c r="C268" s="5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ht="12.75" x14ac:dyDescent="0.2">
      <c r="A269" s="5"/>
      <c r="B269" s="5"/>
      <c r="C269" s="5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ht="12.75" x14ac:dyDescent="0.2">
      <c r="A270" s="5"/>
      <c r="B270" s="5"/>
      <c r="C270" s="5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ht="12.75" x14ac:dyDescent="0.2">
      <c r="A271" s="5"/>
      <c r="B271" s="5"/>
      <c r="C271" s="5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ht="12.75" x14ac:dyDescent="0.2">
      <c r="A272" s="5"/>
      <c r="B272" s="5"/>
      <c r="C272" s="5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ht="12.75" x14ac:dyDescent="0.2">
      <c r="A273" s="5"/>
      <c r="B273" s="5"/>
      <c r="C273" s="5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ht="12.75" x14ac:dyDescent="0.2">
      <c r="A274" s="5"/>
      <c r="B274" s="5"/>
      <c r="C274" s="5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ht="12.75" x14ac:dyDescent="0.2">
      <c r="A275" s="5"/>
      <c r="B275" s="5"/>
      <c r="C275" s="5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ht="12.75" x14ac:dyDescent="0.2">
      <c r="A276" s="5"/>
      <c r="B276" s="5"/>
      <c r="C276" s="5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ht="12.75" x14ac:dyDescent="0.2">
      <c r="A277" s="5"/>
      <c r="B277" s="5"/>
      <c r="C277" s="5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ht="12.75" x14ac:dyDescent="0.2">
      <c r="A278" s="5"/>
      <c r="B278" s="5"/>
      <c r="C278" s="5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ht="12.75" x14ac:dyDescent="0.2">
      <c r="A279" s="5"/>
      <c r="B279" s="5"/>
      <c r="C279" s="5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ht="12.75" x14ac:dyDescent="0.2">
      <c r="A280" s="5"/>
      <c r="B280" s="5"/>
      <c r="C280" s="5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ht="12.75" x14ac:dyDescent="0.2">
      <c r="A281" s="5"/>
      <c r="B281" s="5"/>
      <c r="C281" s="5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ht="12.75" x14ac:dyDescent="0.2">
      <c r="A282" s="5"/>
      <c r="B282" s="5"/>
      <c r="C282" s="5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ht="12.75" x14ac:dyDescent="0.2">
      <c r="A283" s="5"/>
      <c r="B283" s="5"/>
      <c r="C283" s="5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ht="12.75" x14ac:dyDescent="0.2">
      <c r="A284" s="5"/>
      <c r="B284" s="5"/>
      <c r="C284" s="5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ht="12.75" x14ac:dyDescent="0.2">
      <c r="A285" s="5"/>
      <c r="B285" s="5"/>
      <c r="C285" s="5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ht="12.75" x14ac:dyDescent="0.2">
      <c r="A286" s="5"/>
      <c r="B286" s="5"/>
      <c r="C286" s="5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ht="12.75" x14ac:dyDescent="0.2">
      <c r="A287" s="5"/>
      <c r="B287" s="5"/>
      <c r="C287" s="5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ht="12.75" x14ac:dyDescent="0.2">
      <c r="A288" s="5"/>
      <c r="B288" s="5"/>
      <c r="C288" s="5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ht="12.75" x14ac:dyDescent="0.2">
      <c r="A289" s="5"/>
      <c r="B289" s="5"/>
      <c r="C289" s="5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ht="12.75" x14ac:dyDescent="0.2">
      <c r="A290" s="5"/>
      <c r="B290" s="5"/>
      <c r="C290" s="5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ht="12.75" x14ac:dyDescent="0.2">
      <c r="A291" s="5"/>
      <c r="B291" s="5"/>
      <c r="C291" s="5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ht="12.75" x14ac:dyDescent="0.2">
      <c r="A292" s="5"/>
      <c r="B292" s="5"/>
      <c r="C292" s="5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ht="12.75" x14ac:dyDescent="0.2">
      <c r="A293" s="5"/>
      <c r="B293" s="5"/>
      <c r="C293" s="5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ht="12.75" x14ac:dyDescent="0.2">
      <c r="A294" s="5"/>
      <c r="B294" s="5"/>
      <c r="C294" s="5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ht="12.75" x14ac:dyDescent="0.2">
      <c r="A295" s="5"/>
      <c r="B295" s="5"/>
      <c r="C295" s="5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ht="12.75" x14ac:dyDescent="0.2">
      <c r="A296" s="5"/>
      <c r="B296" s="5"/>
      <c r="C296" s="5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ht="12.75" x14ac:dyDescent="0.2">
      <c r="A297" s="5"/>
      <c r="B297" s="5"/>
      <c r="C297" s="5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ht="12.75" x14ac:dyDescent="0.2">
      <c r="A298" s="5"/>
      <c r="B298" s="5"/>
      <c r="C298" s="5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ht="12.75" x14ac:dyDescent="0.2">
      <c r="A299" s="5"/>
      <c r="B299" s="5"/>
      <c r="C299" s="5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ht="12.75" x14ac:dyDescent="0.2">
      <c r="A300" s="5"/>
      <c r="B300" s="5"/>
      <c r="C300" s="5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ht="12.75" x14ac:dyDescent="0.2">
      <c r="A301" s="5"/>
      <c r="B301" s="5"/>
      <c r="C301" s="5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ht="12.75" x14ac:dyDescent="0.2">
      <c r="A302" s="5"/>
      <c r="B302" s="5"/>
      <c r="C302" s="5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ht="12.75" x14ac:dyDescent="0.2">
      <c r="A303" s="5"/>
      <c r="B303" s="5"/>
      <c r="C303" s="5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ht="12.75" x14ac:dyDescent="0.2">
      <c r="A304" s="5"/>
      <c r="B304" s="5"/>
      <c r="C304" s="5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ht="12.75" x14ac:dyDescent="0.2">
      <c r="A305" s="5"/>
      <c r="B305" s="5"/>
      <c r="C305" s="5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ht="12.75" x14ac:dyDescent="0.2">
      <c r="A306" s="5"/>
      <c r="B306" s="5"/>
      <c r="C306" s="5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ht="12.75" x14ac:dyDescent="0.2">
      <c r="A307" s="5"/>
      <c r="B307" s="5"/>
      <c r="C307" s="5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ht="12.75" x14ac:dyDescent="0.2">
      <c r="A308" s="5"/>
      <c r="B308" s="5"/>
      <c r="C308" s="5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ht="12.75" x14ac:dyDescent="0.2">
      <c r="A309" s="5"/>
      <c r="B309" s="5"/>
      <c r="C309" s="5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ht="12.75" x14ac:dyDescent="0.2">
      <c r="A310" s="5"/>
      <c r="B310" s="5"/>
      <c r="C310" s="5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ht="12.75" x14ac:dyDescent="0.2">
      <c r="A311" s="5"/>
      <c r="B311" s="5"/>
      <c r="C311" s="5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ht="12.75" x14ac:dyDescent="0.2">
      <c r="A312" s="5"/>
      <c r="B312" s="5"/>
      <c r="C312" s="5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ht="12.75" x14ac:dyDescent="0.2">
      <c r="A313" s="5"/>
      <c r="B313" s="5"/>
      <c r="C313" s="5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ht="12.75" x14ac:dyDescent="0.2">
      <c r="A314" s="5"/>
      <c r="B314" s="5"/>
      <c r="C314" s="5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ht="12.75" x14ac:dyDescent="0.2">
      <c r="A315" s="5"/>
      <c r="B315" s="5"/>
      <c r="C315" s="5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ht="12.75" x14ac:dyDescent="0.2">
      <c r="A316" s="5"/>
      <c r="B316" s="5"/>
      <c r="C316" s="5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ht="12.75" x14ac:dyDescent="0.2">
      <c r="A317" s="5"/>
      <c r="B317" s="5"/>
      <c r="C317" s="5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ht="12.75" x14ac:dyDescent="0.2">
      <c r="A318" s="5"/>
      <c r="B318" s="5"/>
      <c r="C318" s="5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ht="12.75" x14ac:dyDescent="0.2">
      <c r="A319" s="5"/>
      <c r="B319" s="5"/>
      <c r="C319" s="5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ht="12.75" x14ac:dyDescent="0.2">
      <c r="A320" s="5"/>
      <c r="B320" s="5"/>
      <c r="C320" s="5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ht="12.75" x14ac:dyDescent="0.2">
      <c r="A321" s="5"/>
      <c r="B321" s="5"/>
      <c r="C321" s="5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ht="12.75" x14ac:dyDescent="0.2">
      <c r="A322" s="5"/>
      <c r="B322" s="5"/>
      <c r="C322" s="5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ht="12.75" x14ac:dyDescent="0.2">
      <c r="A323" s="5"/>
      <c r="B323" s="5"/>
      <c r="C323" s="5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ht="12.75" x14ac:dyDescent="0.2">
      <c r="A324" s="5"/>
      <c r="B324" s="5"/>
      <c r="C324" s="5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ht="12.75" x14ac:dyDescent="0.2">
      <c r="A325" s="5"/>
      <c r="B325" s="5"/>
      <c r="C325" s="5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ht="12.75" x14ac:dyDescent="0.2">
      <c r="A326" s="5"/>
      <c r="B326" s="5"/>
      <c r="C326" s="5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ht="12.75" x14ac:dyDescent="0.2">
      <c r="A327" s="5"/>
      <c r="B327" s="5"/>
      <c r="C327" s="5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ht="12.75" x14ac:dyDescent="0.2">
      <c r="A328" s="5"/>
      <c r="B328" s="5"/>
      <c r="C328" s="5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ht="12.75" x14ac:dyDescent="0.2">
      <c r="A329" s="5"/>
      <c r="B329" s="5"/>
      <c r="C329" s="5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ht="12.75" x14ac:dyDescent="0.2">
      <c r="A330" s="5"/>
      <c r="B330" s="5"/>
      <c r="C330" s="5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ht="12.75" x14ac:dyDescent="0.2">
      <c r="A331" s="5"/>
      <c r="B331" s="5"/>
      <c r="C331" s="5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ht="12.75" x14ac:dyDescent="0.2">
      <c r="A332" s="5"/>
      <c r="B332" s="5"/>
      <c r="C332" s="5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ht="12.75" x14ac:dyDescent="0.2">
      <c r="A333" s="5"/>
      <c r="B333" s="5"/>
      <c r="C333" s="5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ht="12.75" x14ac:dyDescent="0.2">
      <c r="A334" s="5"/>
      <c r="B334" s="5"/>
      <c r="C334" s="5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ht="12.75" x14ac:dyDescent="0.2">
      <c r="A335" s="5"/>
      <c r="B335" s="5"/>
      <c r="C335" s="5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ht="12.75" x14ac:dyDescent="0.2">
      <c r="A336" s="5"/>
      <c r="B336" s="5"/>
      <c r="C336" s="5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ht="12.75" x14ac:dyDescent="0.2">
      <c r="A337" s="5"/>
      <c r="B337" s="5"/>
      <c r="C337" s="5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ht="12.75" x14ac:dyDescent="0.2">
      <c r="A338" s="5"/>
      <c r="B338" s="5"/>
      <c r="C338" s="5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ht="12.75" x14ac:dyDescent="0.2">
      <c r="A339" s="5"/>
      <c r="B339" s="5"/>
      <c r="C339" s="5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ht="12.75" x14ac:dyDescent="0.2">
      <c r="A340" s="5"/>
      <c r="B340" s="5"/>
      <c r="C340" s="5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ht="12.75" x14ac:dyDescent="0.2">
      <c r="A341" s="5"/>
      <c r="B341" s="5"/>
      <c r="C341" s="5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ht="12.75" x14ac:dyDescent="0.2">
      <c r="A342" s="5"/>
      <c r="B342" s="5"/>
      <c r="C342" s="5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ht="12.75" x14ac:dyDescent="0.2">
      <c r="A343" s="5"/>
      <c r="B343" s="5"/>
      <c r="C343" s="5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ht="12.75" x14ac:dyDescent="0.2">
      <c r="A344" s="5"/>
      <c r="B344" s="5"/>
      <c r="C344" s="5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ht="12.75" x14ac:dyDescent="0.2">
      <c r="A345" s="5"/>
      <c r="B345" s="5"/>
      <c r="C345" s="5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ht="12.75" x14ac:dyDescent="0.2">
      <c r="A346" s="5"/>
      <c r="B346" s="5"/>
      <c r="C346" s="5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ht="12.75" x14ac:dyDescent="0.2">
      <c r="A347" s="5"/>
      <c r="B347" s="5"/>
      <c r="C347" s="5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ht="12.75" x14ac:dyDescent="0.2">
      <c r="A348" s="5"/>
      <c r="B348" s="5"/>
      <c r="C348" s="5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ht="12.75" x14ac:dyDescent="0.2">
      <c r="A349" s="5"/>
      <c r="B349" s="5"/>
      <c r="C349" s="5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ht="12.75" x14ac:dyDescent="0.2">
      <c r="A350" s="5"/>
      <c r="B350" s="5"/>
      <c r="C350" s="5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ht="12.75" x14ac:dyDescent="0.2">
      <c r="A351" s="5"/>
      <c r="B351" s="5"/>
      <c r="C351" s="5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ht="12.75" x14ac:dyDescent="0.2">
      <c r="A352" s="5"/>
      <c r="B352" s="5"/>
      <c r="C352" s="5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ht="12.75" x14ac:dyDescent="0.2">
      <c r="A353" s="5"/>
      <c r="B353" s="5"/>
      <c r="C353" s="5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ht="12.75" x14ac:dyDescent="0.2">
      <c r="A354" s="5"/>
      <c r="B354" s="5"/>
      <c r="C354" s="5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ht="12.75" x14ac:dyDescent="0.2">
      <c r="A355" s="5"/>
      <c r="B355" s="5"/>
      <c r="C355" s="5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ht="12.75" x14ac:dyDescent="0.2">
      <c r="A356" s="5"/>
      <c r="B356" s="5"/>
      <c r="C356" s="5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ht="12.75" x14ac:dyDescent="0.2">
      <c r="A357" s="5"/>
      <c r="B357" s="5"/>
      <c r="C357" s="5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ht="12.75" x14ac:dyDescent="0.2">
      <c r="A358" s="5"/>
      <c r="B358" s="5"/>
      <c r="C358" s="5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ht="12.75" x14ac:dyDescent="0.2">
      <c r="A359" s="5"/>
      <c r="B359" s="5"/>
      <c r="C359" s="5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ht="12.75" x14ac:dyDescent="0.2">
      <c r="A360" s="5"/>
      <c r="B360" s="5"/>
      <c r="C360" s="5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ht="12.75" x14ac:dyDescent="0.2">
      <c r="A361" s="5"/>
      <c r="B361" s="5"/>
      <c r="C361" s="5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ht="12.75" x14ac:dyDescent="0.2">
      <c r="A362" s="5"/>
      <c r="B362" s="5"/>
      <c r="C362" s="5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ht="12.75" x14ac:dyDescent="0.2">
      <c r="A363" s="5"/>
      <c r="B363" s="5"/>
      <c r="C363" s="5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ht="12.75" x14ac:dyDescent="0.2">
      <c r="A364" s="5"/>
      <c r="B364" s="5"/>
      <c r="C364" s="5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ht="12.75" x14ac:dyDescent="0.2">
      <c r="A365" s="5"/>
      <c r="B365" s="5"/>
      <c r="C365" s="5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ht="12.75" x14ac:dyDescent="0.2">
      <c r="A366" s="5"/>
      <c r="B366" s="5"/>
      <c r="C366" s="5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ht="12.75" x14ac:dyDescent="0.2">
      <c r="A367" s="5"/>
      <c r="B367" s="5"/>
      <c r="C367" s="5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ht="12.75" x14ac:dyDescent="0.2">
      <c r="A368" s="5"/>
      <c r="B368" s="5"/>
      <c r="C368" s="5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ht="12.75" x14ac:dyDescent="0.2">
      <c r="A369" s="5"/>
      <c r="B369" s="5"/>
      <c r="C369" s="5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ht="12.75" x14ac:dyDescent="0.2">
      <c r="A370" s="5"/>
      <c r="B370" s="5"/>
      <c r="C370" s="5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ht="12.75" x14ac:dyDescent="0.2">
      <c r="A371" s="5"/>
      <c r="B371" s="5"/>
      <c r="C371" s="5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ht="12.75" x14ac:dyDescent="0.2">
      <c r="A372" s="5"/>
      <c r="B372" s="5"/>
      <c r="C372" s="5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ht="12.75" x14ac:dyDescent="0.2">
      <c r="A373" s="5"/>
      <c r="B373" s="5"/>
      <c r="C373" s="5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ht="12.75" x14ac:dyDescent="0.2">
      <c r="A374" s="5"/>
      <c r="B374" s="5"/>
      <c r="C374" s="5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ht="12.75" x14ac:dyDescent="0.2">
      <c r="A375" s="5"/>
      <c r="B375" s="5"/>
      <c r="C375" s="5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ht="12.75" x14ac:dyDescent="0.2">
      <c r="A376" s="5"/>
      <c r="B376" s="5"/>
      <c r="C376" s="5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ht="12.75" x14ac:dyDescent="0.2">
      <c r="A377" s="5"/>
      <c r="B377" s="5"/>
      <c r="C377" s="5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ht="12.75" x14ac:dyDescent="0.2">
      <c r="A378" s="5"/>
      <c r="B378" s="5"/>
      <c r="C378" s="5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ht="12.75" x14ac:dyDescent="0.2">
      <c r="A379" s="5"/>
      <c r="B379" s="5"/>
      <c r="C379" s="5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ht="12.75" x14ac:dyDescent="0.2">
      <c r="A380" s="5"/>
      <c r="B380" s="5"/>
      <c r="C380" s="5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ht="12.75" x14ac:dyDescent="0.2">
      <c r="A381" s="5"/>
      <c r="B381" s="5"/>
      <c r="C381" s="5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ht="12.75" x14ac:dyDescent="0.2">
      <c r="A382" s="5"/>
      <c r="B382" s="5"/>
      <c r="C382" s="5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ht="12.75" x14ac:dyDescent="0.2">
      <c r="A383" s="5"/>
      <c r="B383" s="5"/>
      <c r="C383" s="5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ht="12.75" x14ac:dyDescent="0.2">
      <c r="A384" s="5"/>
      <c r="B384" s="5"/>
      <c r="C384" s="5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ht="12.75" x14ac:dyDescent="0.2">
      <c r="A385" s="5"/>
      <c r="B385" s="5"/>
      <c r="C385" s="5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ht="12.75" x14ac:dyDescent="0.2">
      <c r="A386" s="5"/>
      <c r="B386" s="5"/>
      <c r="C386" s="5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ht="12.75" x14ac:dyDescent="0.2">
      <c r="A387" s="5"/>
      <c r="B387" s="5"/>
      <c r="C387" s="5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ht="12.75" x14ac:dyDescent="0.2">
      <c r="A388" s="5"/>
      <c r="B388" s="5"/>
      <c r="C388" s="5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ht="12.75" x14ac:dyDescent="0.2">
      <c r="A389" s="5"/>
      <c r="B389" s="5"/>
      <c r="C389" s="5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ht="12.75" x14ac:dyDescent="0.2">
      <c r="A390" s="5"/>
      <c r="B390" s="5"/>
      <c r="C390" s="5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ht="12.75" x14ac:dyDescent="0.2">
      <c r="A391" s="5"/>
      <c r="B391" s="5"/>
      <c r="C391" s="5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ht="12.75" x14ac:dyDescent="0.2">
      <c r="A392" s="5"/>
      <c r="B392" s="5"/>
      <c r="C392" s="5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ht="12.75" x14ac:dyDescent="0.2">
      <c r="A393" s="5"/>
      <c r="B393" s="5"/>
      <c r="C393" s="5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ht="12.75" x14ac:dyDescent="0.2">
      <c r="A394" s="5"/>
      <c r="B394" s="5"/>
      <c r="C394" s="5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ht="12.75" x14ac:dyDescent="0.2">
      <c r="A395" s="5"/>
      <c r="B395" s="5"/>
      <c r="C395" s="5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ht="12.75" x14ac:dyDescent="0.2">
      <c r="A396" s="5"/>
      <c r="B396" s="5"/>
      <c r="C396" s="5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ht="12.75" x14ac:dyDescent="0.2">
      <c r="A397" s="5"/>
      <c r="B397" s="5"/>
      <c r="C397" s="5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ht="12.75" x14ac:dyDescent="0.2">
      <c r="A398" s="5"/>
      <c r="B398" s="5"/>
      <c r="C398" s="5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ht="12.75" x14ac:dyDescent="0.2">
      <c r="A399" s="5"/>
      <c r="B399" s="5"/>
      <c r="C399" s="5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ht="12.75" x14ac:dyDescent="0.2">
      <c r="A400" s="5"/>
      <c r="B400" s="5"/>
      <c r="C400" s="5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ht="12.75" x14ac:dyDescent="0.2">
      <c r="A401" s="5"/>
      <c r="B401" s="5"/>
      <c r="C401" s="5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ht="12.75" x14ac:dyDescent="0.2">
      <c r="A402" s="5"/>
      <c r="B402" s="5"/>
      <c r="C402" s="5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ht="12.75" x14ac:dyDescent="0.2">
      <c r="A403" s="5"/>
      <c r="B403" s="5"/>
      <c r="C403" s="5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ht="12.75" x14ac:dyDescent="0.2">
      <c r="A404" s="5"/>
      <c r="B404" s="5"/>
      <c r="C404" s="5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ht="12.75" x14ac:dyDescent="0.2">
      <c r="A405" s="5"/>
      <c r="B405" s="5"/>
      <c r="C405" s="5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ht="12.75" x14ac:dyDescent="0.2">
      <c r="A406" s="5"/>
      <c r="B406" s="5"/>
      <c r="C406" s="5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ht="12.75" x14ac:dyDescent="0.2">
      <c r="A407" s="5"/>
      <c r="B407" s="5"/>
      <c r="C407" s="5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ht="12.75" x14ac:dyDescent="0.2">
      <c r="A408" s="5"/>
      <c r="B408" s="5"/>
      <c r="C408" s="5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ht="12.75" x14ac:dyDescent="0.2">
      <c r="A409" s="5"/>
      <c r="B409" s="5"/>
      <c r="C409" s="5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ht="12.75" x14ac:dyDescent="0.2">
      <c r="A410" s="5"/>
      <c r="B410" s="5"/>
      <c r="C410" s="5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ht="12.75" x14ac:dyDescent="0.2">
      <c r="A411" s="5"/>
      <c r="B411" s="5"/>
      <c r="C411" s="5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ht="12.75" x14ac:dyDescent="0.2">
      <c r="A412" s="5"/>
      <c r="B412" s="5"/>
      <c r="C412" s="5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ht="12.75" x14ac:dyDescent="0.2">
      <c r="A413" s="5"/>
      <c r="B413" s="5"/>
      <c r="C413" s="5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ht="12.75" x14ac:dyDescent="0.2">
      <c r="A414" s="5"/>
      <c r="B414" s="5"/>
      <c r="C414" s="5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ht="12.75" x14ac:dyDescent="0.2">
      <c r="A415" s="5"/>
      <c r="B415" s="5"/>
      <c r="C415" s="5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ht="12.75" x14ac:dyDescent="0.2">
      <c r="A416" s="5"/>
      <c r="B416" s="5"/>
      <c r="C416" s="5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ht="12.75" x14ac:dyDescent="0.2">
      <c r="A417" s="5"/>
      <c r="B417" s="5"/>
      <c r="C417" s="5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ht="12.75" x14ac:dyDescent="0.2">
      <c r="A418" s="5"/>
      <c r="B418" s="5"/>
      <c r="C418" s="5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ht="12.75" x14ac:dyDescent="0.2">
      <c r="A419" s="5"/>
      <c r="B419" s="5"/>
      <c r="C419" s="5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ht="12.75" x14ac:dyDescent="0.2">
      <c r="A420" s="5"/>
      <c r="B420" s="5"/>
      <c r="C420" s="5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ht="12.75" x14ac:dyDescent="0.2">
      <c r="A421" s="5"/>
      <c r="B421" s="5"/>
      <c r="C421" s="5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ht="12.75" x14ac:dyDescent="0.2">
      <c r="A422" s="5"/>
      <c r="B422" s="5"/>
      <c r="C422" s="5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ht="12.75" x14ac:dyDescent="0.2">
      <c r="A423" s="5"/>
      <c r="B423" s="5"/>
      <c r="C423" s="5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ht="12.75" x14ac:dyDescent="0.2">
      <c r="A424" s="5"/>
      <c r="B424" s="5"/>
      <c r="C424" s="5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ht="12.75" x14ac:dyDescent="0.2">
      <c r="A425" s="5"/>
      <c r="B425" s="5"/>
      <c r="C425" s="5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ht="12.75" x14ac:dyDescent="0.2">
      <c r="A426" s="5"/>
      <c r="B426" s="5"/>
      <c r="C426" s="5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ht="12.75" x14ac:dyDescent="0.2">
      <c r="A427" s="5"/>
      <c r="B427" s="5"/>
      <c r="C427" s="5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ht="12.75" x14ac:dyDescent="0.2">
      <c r="A428" s="5"/>
      <c r="B428" s="5"/>
      <c r="C428" s="5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ht="12.75" x14ac:dyDescent="0.2">
      <c r="A429" s="5"/>
      <c r="B429" s="5"/>
      <c r="C429" s="5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ht="12.75" x14ac:dyDescent="0.2">
      <c r="A430" s="5"/>
      <c r="B430" s="5"/>
      <c r="C430" s="5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ht="12.75" x14ac:dyDescent="0.2">
      <c r="A431" s="5"/>
      <c r="B431" s="5"/>
      <c r="C431" s="5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ht="12.75" x14ac:dyDescent="0.2">
      <c r="A432" s="5"/>
      <c r="B432" s="5"/>
      <c r="C432" s="5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ht="12.75" x14ac:dyDescent="0.2">
      <c r="A433" s="5"/>
      <c r="B433" s="5"/>
      <c r="C433" s="5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ht="12.75" x14ac:dyDescent="0.2">
      <c r="A434" s="5"/>
      <c r="B434" s="5"/>
      <c r="C434" s="5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ht="12.75" x14ac:dyDescent="0.2">
      <c r="A435" s="5"/>
      <c r="B435" s="5"/>
      <c r="C435" s="5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ht="12.75" x14ac:dyDescent="0.2">
      <c r="A436" s="5"/>
      <c r="B436" s="5"/>
      <c r="C436" s="5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ht="12.75" x14ac:dyDescent="0.2">
      <c r="A437" s="5"/>
      <c r="B437" s="5"/>
      <c r="C437" s="5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ht="12.75" x14ac:dyDescent="0.2">
      <c r="A438" s="5"/>
      <c r="B438" s="5"/>
      <c r="C438" s="5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ht="12.75" x14ac:dyDescent="0.2">
      <c r="A439" s="5"/>
      <c r="B439" s="5"/>
      <c r="C439" s="5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ht="12.75" x14ac:dyDescent="0.2">
      <c r="A440" s="5"/>
      <c r="B440" s="5"/>
      <c r="C440" s="5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ht="12.75" x14ac:dyDescent="0.2">
      <c r="A441" s="5"/>
      <c r="B441" s="5"/>
      <c r="C441" s="5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ht="12.75" x14ac:dyDescent="0.2">
      <c r="A442" s="5"/>
      <c r="B442" s="5"/>
      <c r="C442" s="5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ht="12.75" x14ac:dyDescent="0.2">
      <c r="A443" s="5"/>
      <c r="B443" s="5"/>
      <c r="C443" s="5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ht="12.75" x14ac:dyDescent="0.2">
      <c r="A444" s="5"/>
      <c r="B444" s="5"/>
      <c r="C444" s="5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ht="12.75" x14ac:dyDescent="0.2">
      <c r="A445" s="5"/>
      <c r="B445" s="5"/>
      <c r="C445" s="5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ht="12.75" x14ac:dyDescent="0.2">
      <c r="A446" s="5"/>
      <c r="B446" s="5"/>
      <c r="C446" s="5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ht="12.75" x14ac:dyDescent="0.2">
      <c r="A447" s="5"/>
      <c r="B447" s="5"/>
      <c r="C447" s="5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ht="12.75" x14ac:dyDescent="0.2">
      <c r="A448" s="5"/>
      <c r="B448" s="5"/>
      <c r="C448" s="5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ht="12.75" x14ac:dyDescent="0.2">
      <c r="A449" s="5"/>
      <c r="B449" s="5"/>
      <c r="C449" s="5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ht="12.75" x14ac:dyDescent="0.2">
      <c r="A450" s="5"/>
      <c r="B450" s="5"/>
      <c r="C450" s="5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ht="12.75" x14ac:dyDescent="0.2">
      <c r="A451" s="5"/>
      <c r="B451" s="5"/>
      <c r="C451" s="5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ht="12.75" x14ac:dyDescent="0.2">
      <c r="A452" s="5"/>
      <c r="B452" s="5"/>
      <c r="C452" s="5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ht="12.75" x14ac:dyDescent="0.2">
      <c r="A453" s="5"/>
      <c r="B453" s="5"/>
      <c r="C453" s="5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ht="12.75" x14ac:dyDescent="0.2">
      <c r="A454" s="5"/>
      <c r="B454" s="5"/>
      <c r="C454" s="5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ht="12.75" x14ac:dyDescent="0.2">
      <c r="A455" s="5"/>
      <c r="B455" s="5"/>
      <c r="C455" s="5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ht="12.75" x14ac:dyDescent="0.2">
      <c r="A456" s="5"/>
      <c r="B456" s="5"/>
      <c r="C456" s="5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ht="12.75" x14ac:dyDescent="0.2">
      <c r="A457" s="5"/>
      <c r="B457" s="5"/>
      <c r="C457" s="5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ht="12.75" x14ac:dyDescent="0.2">
      <c r="A458" s="5"/>
      <c r="B458" s="5"/>
      <c r="C458" s="5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ht="12.75" x14ac:dyDescent="0.2">
      <c r="A459" s="5"/>
      <c r="B459" s="5"/>
      <c r="C459" s="5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ht="12.75" x14ac:dyDescent="0.2">
      <c r="A460" s="5"/>
      <c r="B460" s="5"/>
      <c r="C460" s="5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ht="12.75" x14ac:dyDescent="0.2">
      <c r="A461" s="5"/>
      <c r="B461" s="5"/>
      <c r="C461" s="5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ht="12.75" x14ac:dyDescent="0.2">
      <c r="A462" s="5"/>
      <c r="B462" s="5"/>
      <c r="C462" s="5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ht="12.75" x14ac:dyDescent="0.2">
      <c r="A463" s="5"/>
      <c r="B463" s="5"/>
      <c r="C463" s="5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ht="12.75" x14ac:dyDescent="0.2">
      <c r="A464" s="5"/>
      <c r="B464" s="5"/>
      <c r="C464" s="5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ht="12.75" x14ac:dyDescent="0.2">
      <c r="A465" s="5"/>
      <c r="B465" s="5"/>
      <c r="C465" s="5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ht="12.75" x14ac:dyDescent="0.2">
      <c r="A466" s="5"/>
      <c r="B466" s="5"/>
      <c r="C466" s="5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ht="12.75" x14ac:dyDescent="0.2">
      <c r="A467" s="5"/>
      <c r="B467" s="5"/>
      <c r="C467" s="5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ht="12.75" x14ac:dyDescent="0.2">
      <c r="A468" s="5"/>
      <c r="B468" s="5"/>
      <c r="C468" s="5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ht="12.75" x14ac:dyDescent="0.2">
      <c r="A469" s="5"/>
      <c r="B469" s="5"/>
      <c r="C469" s="5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ht="12.75" x14ac:dyDescent="0.2">
      <c r="A470" s="5"/>
      <c r="B470" s="5"/>
      <c r="C470" s="5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ht="12.75" x14ac:dyDescent="0.2">
      <c r="A471" s="5"/>
      <c r="B471" s="5"/>
      <c r="C471" s="5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ht="12.75" x14ac:dyDescent="0.2">
      <c r="A472" s="5"/>
      <c r="B472" s="5"/>
      <c r="C472" s="5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ht="12.75" x14ac:dyDescent="0.2">
      <c r="A473" s="5"/>
      <c r="B473" s="5"/>
      <c r="C473" s="5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ht="12.75" x14ac:dyDescent="0.2">
      <c r="A474" s="5"/>
      <c r="B474" s="5"/>
      <c r="C474" s="5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ht="12.75" x14ac:dyDescent="0.2">
      <c r="A475" s="5"/>
      <c r="B475" s="5"/>
      <c r="C475" s="5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ht="12.75" x14ac:dyDescent="0.2">
      <c r="A476" s="5"/>
      <c r="B476" s="5"/>
      <c r="C476" s="5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ht="12.75" x14ac:dyDescent="0.2">
      <c r="A477" s="5"/>
      <c r="B477" s="5"/>
      <c r="C477" s="5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ht="12.75" x14ac:dyDescent="0.2">
      <c r="A478" s="5"/>
      <c r="B478" s="5"/>
      <c r="C478" s="5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ht="12.75" x14ac:dyDescent="0.2">
      <c r="A479" s="5"/>
      <c r="B479" s="5"/>
      <c r="C479" s="5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ht="12.75" x14ac:dyDescent="0.2">
      <c r="A480" s="5"/>
      <c r="B480" s="5"/>
      <c r="C480" s="5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ht="12.75" x14ac:dyDescent="0.2">
      <c r="A481" s="5"/>
      <c r="B481" s="5"/>
      <c r="C481" s="5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ht="12.75" x14ac:dyDescent="0.2">
      <c r="A482" s="5"/>
      <c r="B482" s="5"/>
      <c r="C482" s="5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ht="12.75" x14ac:dyDescent="0.2">
      <c r="A483" s="5"/>
      <c r="B483" s="5"/>
      <c r="C483" s="5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ht="12.75" x14ac:dyDescent="0.2">
      <c r="A484" s="5"/>
      <c r="B484" s="5"/>
      <c r="C484" s="5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ht="12.75" x14ac:dyDescent="0.2">
      <c r="A485" s="5"/>
      <c r="B485" s="5"/>
      <c r="C485" s="5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ht="12.75" x14ac:dyDescent="0.2">
      <c r="A486" s="5"/>
      <c r="B486" s="5"/>
      <c r="C486" s="5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ht="12.75" x14ac:dyDescent="0.2">
      <c r="A487" s="5"/>
      <c r="B487" s="5"/>
      <c r="C487" s="5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ht="12.75" x14ac:dyDescent="0.2">
      <c r="A488" s="5"/>
      <c r="B488" s="5"/>
      <c r="C488" s="5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ht="12.75" x14ac:dyDescent="0.2">
      <c r="A489" s="5"/>
      <c r="B489" s="5"/>
      <c r="C489" s="5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ht="12.75" x14ac:dyDescent="0.2">
      <c r="A490" s="5"/>
      <c r="B490" s="5"/>
      <c r="C490" s="5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ht="12.75" x14ac:dyDescent="0.2">
      <c r="A491" s="5"/>
      <c r="B491" s="5"/>
      <c r="C491" s="5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ht="12.75" x14ac:dyDescent="0.2">
      <c r="A492" s="5"/>
      <c r="B492" s="5"/>
      <c r="C492" s="5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ht="12.75" x14ac:dyDescent="0.2">
      <c r="A493" s="5"/>
      <c r="B493" s="5"/>
      <c r="C493" s="5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ht="12.75" x14ac:dyDescent="0.2">
      <c r="A494" s="5"/>
      <c r="B494" s="5"/>
      <c r="C494" s="5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ht="12.75" x14ac:dyDescent="0.2">
      <c r="A495" s="5"/>
      <c r="B495" s="5"/>
      <c r="C495" s="5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ht="12.75" x14ac:dyDescent="0.2">
      <c r="A496" s="5"/>
      <c r="B496" s="5"/>
      <c r="C496" s="5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ht="12.75" x14ac:dyDescent="0.2">
      <c r="A497" s="5"/>
      <c r="B497" s="5"/>
      <c r="C497" s="5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ht="12.75" x14ac:dyDescent="0.2">
      <c r="A498" s="5"/>
      <c r="B498" s="5"/>
      <c r="C498" s="5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ht="12.75" x14ac:dyDescent="0.2">
      <c r="A499" s="5"/>
      <c r="B499" s="5"/>
      <c r="C499" s="5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ht="12.75" x14ac:dyDescent="0.2">
      <c r="A500" s="5"/>
      <c r="B500" s="5"/>
      <c r="C500" s="5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ht="12.75" x14ac:dyDescent="0.2">
      <c r="A501" s="5"/>
      <c r="B501" s="5"/>
      <c r="C501" s="5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ht="12.75" x14ac:dyDescent="0.2">
      <c r="A502" s="5"/>
      <c r="B502" s="5"/>
      <c r="C502" s="5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ht="12.75" x14ac:dyDescent="0.2">
      <c r="A503" s="5"/>
      <c r="B503" s="5"/>
      <c r="C503" s="5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ht="12.75" x14ac:dyDescent="0.2">
      <c r="A504" s="5"/>
      <c r="B504" s="5"/>
      <c r="C504" s="5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ht="12.75" x14ac:dyDescent="0.2">
      <c r="A505" s="5"/>
      <c r="B505" s="5"/>
      <c r="C505" s="5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ht="12.75" x14ac:dyDescent="0.2">
      <c r="A506" s="5"/>
      <c r="B506" s="5"/>
      <c r="C506" s="5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ht="12.75" x14ac:dyDescent="0.2">
      <c r="A507" s="5"/>
      <c r="B507" s="5"/>
      <c r="C507" s="5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ht="12.75" x14ac:dyDescent="0.2">
      <c r="A508" s="5"/>
      <c r="B508" s="5"/>
      <c r="C508" s="5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ht="12.75" x14ac:dyDescent="0.2">
      <c r="A509" s="5"/>
      <c r="B509" s="5"/>
      <c r="C509" s="5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ht="12.75" x14ac:dyDescent="0.2">
      <c r="A510" s="5"/>
      <c r="B510" s="5"/>
      <c r="C510" s="5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ht="12.75" x14ac:dyDescent="0.2">
      <c r="A511" s="5"/>
      <c r="B511" s="5"/>
      <c r="C511" s="5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ht="12.75" x14ac:dyDescent="0.2">
      <c r="A512" s="5"/>
      <c r="B512" s="5"/>
      <c r="C512" s="5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ht="12.75" x14ac:dyDescent="0.2">
      <c r="A513" s="5"/>
      <c r="B513" s="5"/>
      <c r="C513" s="5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ht="12.75" x14ac:dyDescent="0.2">
      <c r="A514" s="5"/>
      <c r="B514" s="5"/>
      <c r="C514" s="5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ht="12.75" x14ac:dyDescent="0.2">
      <c r="A515" s="5"/>
      <c r="B515" s="5"/>
      <c r="C515" s="5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ht="12.75" x14ac:dyDescent="0.2">
      <c r="A516" s="5"/>
      <c r="B516" s="5"/>
      <c r="C516" s="5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ht="12.75" x14ac:dyDescent="0.2">
      <c r="A517" s="5"/>
      <c r="B517" s="5"/>
      <c r="C517" s="5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ht="12.75" x14ac:dyDescent="0.2">
      <c r="A518" s="5"/>
      <c r="B518" s="5"/>
      <c r="C518" s="5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ht="12.75" x14ac:dyDescent="0.2">
      <c r="A519" s="5"/>
      <c r="B519" s="5"/>
      <c r="C519" s="5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ht="12.75" x14ac:dyDescent="0.2">
      <c r="A520" s="5"/>
      <c r="B520" s="5"/>
      <c r="C520" s="5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ht="12.75" x14ac:dyDescent="0.2">
      <c r="A521" s="5"/>
      <c r="B521" s="5"/>
      <c r="C521" s="5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ht="12.75" x14ac:dyDescent="0.2">
      <c r="A522" s="5"/>
      <c r="B522" s="5"/>
      <c r="C522" s="5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ht="12.75" x14ac:dyDescent="0.2">
      <c r="A523" s="5"/>
      <c r="B523" s="5"/>
      <c r="C523" s="5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ht="12.75" x14ac:dyDescent="0.2">
      <c r="A524" s="5"/>
      <c r="B524" s="5"/>
      <c r="C524" s="5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ht="12.75" x14ac:dyDescent="0.2">
      <c r="A525" s="5"/>
      <c r="B525" s="5"/>
      <c r="C525" s="5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ht="12.75" x14ac:dyDescent="0.2">
      <c r="A526" s="5"/>
      <c r="B526" s="5"/>
      <c r="C526" s="5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ht="12.75" x14ac:dyDescent="0.2">
      <c r="A527" s="5"/>
      <c r="B527" s="5"/>
      <c r="C527" s="5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ht="12.75" x14ac:dyDescent="0.2">
      <c r="A528" s="5"/>
      <c r="B528" s="5"/>
      <c r="C528" s="5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ht="12.75" x14ac:dyDescent="0.2">
      <c r="A529" s="5"/>
      <c r="B529" s="5"/>
      <c r="C529" s="5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ht="12.75" x14ac:dyDescent="0.2">
      <c r="A530" s="5"/>
      <c r="B530" s="5"/>
      <c r="C530" s="5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ht="12.75" x14ac:dyDescent="0.2">
      <c r="A531" s="5"/>
      <c r="B531" s="5"/>
      <c r="C531" s="5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ht="12.75" x14ac:dyDescent="0.2">
      <c r="A532" s="5"/>
      <c r="B532" s="5"/>
      <c r="C532" s="5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ht="12.75" x14ac:dyDescent="0.2">
      <c r="A533" s="5"/>
      <c r="B533" s="5"/>
      <c r="C533" s="5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ht="12.75" x14ac:dyDescent="0.2">
      <c r="A534" s="5"/>
      <c r="B534" s="5"/>
      <c r="C534" s="5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ht="12.75" x14ac:dyDescent="0.2">
      <c r="A535" s="5"/>
      <c r="B535" s="5"/>
      <c r="C535" s="5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ht="12.75" x14ac:dyDescent="0.2">
      <c r="A536" s="5"/>
      <c r="B536" s="5"/>
      <c r="C536" s="5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ht="12.75" x14ac:dyDescent="0.2">
      <c r="A537" s="5"/>
      <c r="B537" s="5"/>
      <c r="C537" s="5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ht="12.75" x14ac:dyDescent="0.2">
      <c r="A538" s="5"/>
      <c r="B538" s="5"/>
      <c r="C538" s="5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ht="12.75" x14ac:dyDescent="0.2">
      <c r="A539" s="5"/>
      <c r="B539" s="5"/>
      <c r="C539" s="5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ht="12.75" x14ac:dyDescent="0.2">
      <c r="A540" s="5"/>
      <c r="B540" s="5"/>
      <c r="C540" s="5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ht="12.75" x14ac:dyDescent="0.2">
      <c r="A541" s="5"/>
      <c r="B541" s="5"/>
      <c r="C541" s="5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ht="12.75" x14ac:dyDescent="0.2">
      <c r="A542" s="5"/>
      <c r="B542" s="5"/>
      <c r="C542" s="5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ht="12.75" x14ac:dyDescent="0.2">
      <c r="A543" s="5"/>
      <c r="B543" s="5"/>
      <c r="C543" s="5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ht="12.75" x14ac:dyDescent="0.2">
      <c r="A544" s="5"/>
      <c r="B544" s="5"/>
      <c r="C544" s="5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ht="12.75" x14ac:dyDescent="0.2">
      <c r="A545" s="5"/>
      <c r="B545" s="5"/>
      <c r="C545" s="5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ht="12.75" x14ac:dyDescent="0.2">
      <c r="A546" s="5"/>
      <c r="B546" s="5"/>
      <c r="C546" s="5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ht="12.75" x14ac:dyDescent="0.2">
      <c r="A547" s="5"/>
      <c r="B547" s="5"/>
      <c r="C547" s="5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ht="12.75" x14ac:dyDescent="0.2">
      <c r="A548" s="5"/>
      <c r="B548" s="5"/>
      <c r="C548" s="5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ht="12.75" x14ac:dyDescent="0.2">
      <c r="A549" s="5"/>
      <c r="B549" s="5"/>
      <c r="C549" s="5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ht="12.75" x14ac:dyDescent="0.2">
      <c r="A550" s="5"/>
      <c r="B550" s="5"/>
      <c r="C550" s="5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ht="12.75" x14ac:dyDescent="0.2">
      <c r="A551" s="5"/>
      <c r="B551" s="5"/>
      <c r="C551" s="5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ht="12.75" x14ac:dyDescent="0.2">
      <c r="A552" s="5"/>
      <c r="B552" s="5"/>
      <c r="C552" s="5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ht="12.75" x14ac:dyDescent="0.2">
      <c r="A553" s="5"/>
      <c r="B553" s="5"/>
      <c r="C553" s="5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ht="12.75" x14ac:dyDescent="0.2">
      <c r="A554" s="5"/>
      <c r="B554" s="5"/>
      <c r="C554" s="5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ht="12.75" x14ac:dyDescent="0.2">
      <c r="A555" s="5"/>
      <c r="B555" s="5"/>
      <c r="C555" s="5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ht="12.75" x14ac:dyDescent="0.2">
      <c r="A556" s="5"/>
      <c r="B556" s="5"/>
      <c r="C556" s="5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ht="12.75" x14ac:dyDescent="0.2">
      <c r="A557" s="5"/>
      <c r="B557" s="5"/>
      <c r="C557" s="5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ht="12.75" x14ac:dyDescent="0.2">
      <c r="A558" s="5"/>
      <c r="B558" s="5"/>
      <c r="C558" s="5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ht="12.75" x14ac:dyDescent="0.2">
      <c r="A559" s="5"/>
      <c r="B559" s="5"/>
      <c r="C559" s="5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ht="12.75" x14ac:dyDescent="0.2">
      <c r="A560" s="5"/>
      <c r="B560" s="5"/>
      <c r="C560" s="5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ht="12.75" x14ac:dyDescent="0.2">
      <c r="A561" s="5"/>
      <c r="B561" s="5"/>
      <c r="C561" s="5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ht="12.75" x14ac:dyDescent="0.2">
      <c r="A562" s="5"/>
      <c r="B562" s="5"/>
      <c r="C562" s="5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ht="12.75" x14ac:dyDescent="0.2">
      <c r="A563" s="5"/>
      <c r="B563" s="5"/>
      <c r="C563" s="5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ht="12.75" x14ac:dyDescent="0.2">
      <c r="A564" s="5"/>
      <c r="B564" s="5"/>
      <c r="C564" s="5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ht="12.75" x14ac:dyDescent="0.2">
      <c r="A565" s="5"/>
      <c r="B565" s="5"/>
      <c r="C565" s="5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ht="12.75" x14ac:dyDescent="0.2">
      <c r="A566" s="5"/>
      <c r="B566" s="5"/>
      <c r="C566" s="5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ht="12.75" x14ac:dyDescent="0.2">
      <c r="A567" s="5"/>
      <c r="B567" s="5"/>
      <c r="C567" s="5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ht="12.75" x14ac:dyDescent="0.2">
      <c r="A568" s="5"/>
      <c r="B568" s="5"/>
      <c r="C568" s="5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ht="12.75" x14ac:dyDescent="0.2">
      <c r="A569" s="5"/>
      <c r="B569" s="5"/>
      <c r="C569" s="5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ht="12.75" x14ac:dyDescent="0.2">
      <c r="A570" s="5"/>
      <c r="B570" s="5"/>
      <c r="C570" s="5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ht="12.75" x14ac:dyDescent="0.2">
      <c r="A571" s="5"/>
      <c r="B571" s="5"/>
      <c r="C571" s="5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ht="12.75" x14ac:dyDescent="0.2">
      <c r="A572" s="5"/>
      <c r="B572" s="5"/>
      <c r="C572" s="5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ht="12.75" x14ac:dyDescent="0.2">
      <c r="A573" s="5"/>
      <c r="B573" s="5"/>
      <c r="C573" s="5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ht="12.75" x14ac:dyDescent="0.2">
      <c r="A574" s="5"/>
      <c r="B574" s="5"/>
      <c r="C574" s="5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ht="12.75" x14ac:dyDescent="0.2">
      <c r="A575" s="5"/>
      <c r="B575" s="5"/>
      <c r="C575" s="5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ht="12.75" x14ac:dyDescent="0.2">
      <c r="A576" s="5"/>
      <c r="B576" s="5"/>
      <c r="C576" s="5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ht="12.75" x14ac:dyDescent="0.2">
      <c r="A577" s="5"/>
      <c r="B577" s="5"/>
      <c r="C577" s="5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ht="12.75" x14ac:dyDescent="0.2">
      <c r="A578" s="5"/>
      <c r="B578" s="5"/>
      <c r="C578" s="5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ht="12.75" x14ac:dyDescent="0.2">
      <c r="A579" s="5"/>
      <c r="B579" s="5"/>
      <c r="C579" s="5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ht="12.75" x14ac:dyDescent="0.2">
      <c r="A580" s="5"/>
      <c r="B580" s="5"/>
      <c r="C580" s="5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ht="12.75" x14ac:dyDescent="0.2">
      <c r="A581" s="5"/>
      <c r="B581" s="5"/>
      <c r="C581" s="5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ht="12.75" x14ac:dyDescent="0.2">
      <c r="A582" s="5"/>
      <c r="B582" s="5"/>
      <c r="C582" s="5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ht="12.75" x14ac:dyDescent="0.2">
      <c r="A583" s="5"/>
      <c r="B583" s="5"/>
      <c r="C583" s="5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ht="12.75" x14ac:dyDescent="0.2">
      <c r="A584" s="5"/>
      <c r="B584" s="5"/>
      <c r="C584" s="5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ht="12.75" x14ac:dyDescent="0.2">
      <c r="A585" s="5"/>
      <c r="B585" s="5"/>
      <c r="C585" s="5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ht="12.75" x14ac:dyDescent="0.2">
      <c r="A586" s="5"/>
      <c r="B586" s="5"/>
      <c r="C586" s="5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ht="12.75" x14ac:dyDescent="0.2">
      <c r="A587" s="5"/>
      <c r="B587" s="5"/>
      <c r="C587" s="5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ht="12.75" x14ac:dyDescent="0.2">
      <c r="A588" s="5"/>
      <c r="B588" s="5"/>
      <c r="C588" s="5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ht="12.75" x14ac:dyDescent="0.2">
      <c r="A589" s="5"/>
      <c r="B589" s="5"/>
      <c r="C589" s="5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ht="12.75" x14ac:dyDescent="0.2">
      <c r="A590" s="5"/>
      <c r="B590" s="5"/>
      <c r="C590" s="5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ht="12.75" x14ac:dyDescent="0.2">
      <c r="A591" s="5"/>
      <c r="B591" s="5"/>
      <c r="C591" s="5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ht="12.75" x14ac:dyDescent="0.2">
      <c r="A592" s="5"/>
      <c r="B592" s="5"/>
      <c r="C592" s="5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ht="12.75" x14ac:dyDescent="0.2">
      <c r="A593" s="5"/>
      <c r="B593" s="5"/>
      <c r="C593" s="5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ht="12.75" x14ac:dyDescent="0.2">
      <c r="A594" s="5"/>
      <c r="B594" s="5"/>
      <c r="C594" s="5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ht="12.75" x14ac:dyDescent="0.2">
      <c r="A595" s="5"/>
      <c r="B595" s="5"/>
      <c r="C595" s="5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ht="12.75" x14ac:dyDescent="0.2">
      <c r="A596" s="5"/>
      <c r="B596" s="5"/>
      <c r="C596" s="5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ht="12.75" x14ac:dyDescent="0.2">
      <c r="A597" s="5"/>
      <c r="B597" s="5"/>
      <c r="C597" s="5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ht="12.75" x14ac:dyDescent="0.2">
      <c r="A598" s="5"/>
      <c r="B598" s="5"/>
      <c r="C598" s="5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ht="12.75" x14ac:dyDescent="0.2">
      <c r="A599" s="5"/>
      <c r="B599" s="5"/>
      <c r="C599" s="5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ht="12.75" x14ac:dyDescent="0.2">
      <c r="A600" s="5"/>
      <c r="B600" s="5"/>
      <c r="C600" s="5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ht="12.75" x14ac:dyDescent="0.2">
      <c r="A601" s="5"/>
      <c r="B601" s="5"/>
      <c r="C601" s="5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ht="12.75" x14ac:dyDescent="0.2">
      <c r="A602" s="5"/>
      <c r="B602" s="5"/>
      <c r="C602" s="5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ht="12.75" x14ac:dyDescent="0.2">
      <c r="A603" s="5"/>
      <c r="B603" s="5"/>
      <c r="C603" s="5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ht="12.75" x14ac:dyDescent="0.2">
      <c r="A604" s="5"/>
      <c r="B604" s="5"/>
      <c r="C604" s="5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ht="12.75" x14ac:dyDescent="0.2">
      <c r="A605" s="5"/>
      <c r="B605" s="5"/>
      <c r="C605" s="5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ht="12.75" x14ac:dyDescent="0.2">
      <c r="A606" s="5"/>
      <c r="B606" s="5"/>
      <c r="C606" s="5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ht="12.75" x14ac:dyDescent="0.2">
      <c r="A607" s="5"/>
      <c r="B607" s="5"/>
      <c r="C607" s="5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ht="12.75" x14ac:dyDescent="0.2">
      <c r="A608" s="5"/>
      <c r="B608" s="5"/>
      <c r="C608" s="5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ht="12.75" x14ac:dyDescent="0.2">
      <c r="A609" s="5"/>
      <c r="B609" s="5"/>
      <c r="C609" s="5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ht="12.75" x14ac:dyDescent="0.2">
      <c r="A610" s="5"/>
      <c r="B610" s="5"/>
      <c r="C610" s="5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ht="12.75" x14ac:dyDescent="0.2">
      <c r="A611" s="5"/>
      <c r="B611" s="5"/>
      <c r="C611" s="5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ht="12.75" x14ac:dyDescent="0.2">
      <c r="A612" s="5"/>
      <c r="B612" s="5"/>
      <c r="C612" s="5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ht="12.75" x14ac:dyDescent="0.2">
      <c r="A613" s="5"/>
      <c r="B613" s="5"/>
      <c r="C613" s="5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ht="12.75" x14ac:dyDescent="0.2">
      <c r="A614" s="5"/>
      <c r="B614" s="5"/>
      <c r="C614" s="5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ht="12.75" x14ac:dyDescent="0.2">
      <c r="A615" s="5"/>
      <c r="B615" s="5"/>
      <c r="C615" s="5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ht="12.75" x14ac:dyDescent="0.2">
      <c r="A616" s="5"/>
      <c r="B616" s="5"/>
      <c r="C616" s="5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ht="12.75" x14ac:dyDescent="0.2">
      <c r="A617" s="5"/>
      <c r="B617" s="5"/>
      <c r="C617" s="5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ht="12.75" x14ac:dyDescent="0.2">
      <c r="A618" s="5"/>
      <c r="B618" s="5"/>
      <c r="C618" s="5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ht="12.75" x14ac:dyDescent="0.2">
      <c r="A619" s="5"/>
      <c r="B619" s="5"/>
      <c r="C619" s="5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ht="12.75" x14ac:dyDescent="0.2">
      <c r="A620" s="5"/>
      <c r="B620" s="5"/>
      <c r="C620" s="5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ht="12.75" x14ac:dyDescent="0.2">
      <c r="A621" s="5"/>
      <c r="B621" s="5"/>
      <c r="C621" s="5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ht="12.75" x14ac:dyDescent="0.2">
      <c r="A622" s="5"/>
      <c r="B622" s="5"/>
      <c r="C622" s="5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ht="12.75" x14ac:dyDescent="0.2">
      <c r="A623" s="5"/>
      <c r="B623" s="5"/>
      <c r="C623" s="5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ht="12.75" x14ac:dyDescent="0.2">
      <c r="A624" s="5"/>
      <c r="B624" s="5"/>
      <c r="C624" s="5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ht="12.75" x14ac:dyDescent="0.2">
      <c r="A625" s="5"/>
      <c r="B625" s="5"/>
      <c r="C625" s="5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ht="12.75" x14ac:dyDescent="0.2">
      <c r="A626" s="5"/>
      <c r="B626" s="5"/>
      <c r="C626" s="5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ht="12.75" x14ac:dyDescent="0.2">
      <c r="A627" s="5"/>
      <c r="B627" s="5"/>
      <c r="C627" s="5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ht="12.75" x14ac:dyDescent="0.2">
      <c r="A628" s="5"/>
      <c r="B628" s="5"/>
      <c r="C628" s="5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ht="12.75" x14ac:dyDescent="0.2">
      <c r="A629" s="5"/>
      <c r="B629" s="5"/>
      <c r="C629" s="5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ht="12.75" x14ac:dyDescent="0.2">
      <c r="A630" s="5"/>
      <c r="B630" s="5"/>
      <c r="C630" s="5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ht="12.75" x14ac:dyDescent="0.2">
      <c r="A631" s="5"/>
      <c r="B631" s="5"/>
      <c r="C631" s="5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ht="12.75" x14ac:dyDescent="0.2">
      <c r="A632" s="5"/>
      <c r="B632" s="5"/>
      <c r="C632" s="5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ht="12.75" x14ac:dyDescent="0.2">
      <c r="A633" s="5"/>
      <c r="B633" s="5"/>
      <c r="C633" s="5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ht="12.75" x14ac:dyDescent="0.2">
      <c r="A634" s="5"/>
      <c r="B634" s="5"/>
      <c r="C634" s="5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ht="12.75" x14ac:dyDescent="0.2">
      <c r="A635" s="5"/>
      <c r="B635" s="5"/>
      <c r="C635" s="5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ht="12.75" x14ac:dyDescent="0.2">
      <c r="A636" s="5"/>
      <c r="B636" s="5"/>
      <c r="C636" s="5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ht="12.75" x14ac:dyDescent="0.2">
      <c r="A637" s="5"/>
      <c r="B637" s="5"/>
      <c r="C637" s="5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ht="12.75" x14ac:dyDescent="0.2">
      <c r="A638" s="5"/>
      <c r="B638" s="5"/>
      <c r="C638" s="5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ht="12.75" x14ac:dyDescent="0.2">
      <c r="A639" s="5"/>
      <c r="B639" s="5"/>
      <c r="C639" s="5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ht="12.75" x14ac:dyDescent="0.2">
      <c r="A640" s="5"/>
      <c r="B640" s="5"/>
      <c r="C640" s="5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ht="12.75" x14ac:dyDescent="0.2">
      <c r="A641" s="5"/>
      <c r="B641" s="5"/>
      <c r="C641" s="5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ht="12.75" x14ac:dyDescent="0.2">
      <c r="A642" s="5"/>
      <c r="B642" s="5"/>
      <c r="C642" s="5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ht="12.75" x14ac:dyDescent="0.2">
      <c r="A643" s="5"/>
      <c r="B643" s="5"/>
      <c r="C643" s="5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ht="12.75" x14ac:dyDescent="0.2">
      <c r="A644" s="5"/>
      <c r="B644" s="5"/>
      <c r="C644" s="5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ht="12.75" x14ac:dyDescent="0.2">
      <c r="A645" s="5"/>
      <c r="B645" s="5"/>
      <c r="C645" s="5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ht="12.75" x14ac:dyDescent="0.2">
      <c r="A646" s="5"/>
      <c r="B646" s="5"/>
      <c r="C646" s="5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ht="12.75" x14ac:dyDescent="0.2">
      <c r="A647" s="5"/>
      <c r="B647" s="5"/>
      <c r="C647" s="5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ht="12.75" x14ac:dyDescent="0.2">
      <c r="A648" s="5"/>
      <c r="B648" s="5"/>
      <c r="C648" s="5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ht="12.75" x14ac:dyDescent="0.2">
      <c r="A649" s="5"/>
      <c r="B649" s="5"/>
      <c r="C649" s="5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ht="12.75" x14ac:dyDescent="0.2">
      <c r="A650" s="5"/>
      <c r="B650" s="5"/>
      <c r="C650" s="5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ht="12.75" x14ac:dyDescent="0.2">
      <c r="A651" s="5"/>
      <c r="B651" s="5"/>
      <c r="C651" s="5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ht="12.75" x14ac:dyDescent="0.2">
      <c r="A652" s="5"/>
      <c r="B652" s="5"/>
      <c r="C652" s="5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ht="12.75" x14ac:dyDescent="0.2">
      <c r="A653" s="5"/>
      <c r="B653" s="5"/>
      <c r="C653" s="5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ht="12.75" x14ac:dyDescent="0.2">
      <c r="A654" s="5"/>
      <c r="B654" s="5"/>
      <c r="C654" s="5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ht="12.75" x14ac:dyDescent="0.2">
      <c r="A655" s="5"/>
      <c r="B655" s="5"/>
      <c r="C655" s="5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ht="12.75" x14ac:dyDescent="0.2">
      <c r="A656" s="5"/>
      <c r="B656" s="5"/>
      <c r="C656" s="5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ht="12.75" x14ac:dyDescent="0.2">
      <c r="A657" s="5"/>
      <c r="B657" s="5"/>
      <c r="C657" s="5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ht="12.75" x14ac:dyDescent="0.2">
      <c r="A658" s="5"/>
      <c r="B658" s="5"/>
      <c r="C658" s="5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ht="12.75" x14ac:dyDescent="0.2">
      <c r="A659" s="5"/>
      <c r="B659" s="5"/>
      <c r="C659" s="5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ht="12.75" x14ac:dyDescent="0.2">
      <c r="A660" s="5"/>
      <c r="B660" s="5"/>
      <c r="C660" s="5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ht="12.75" x14ac:dyDescent="0.2">
      <c r="A661" s="5"/>
      <c r="B661" s="5"/>
      <c r="C661" s="5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ht="12.75" x14ac:dyDescent="0.2">
      <c r="A662" s="5"/>
      <c r="B662" s="5"/>
      <c r="C662" s="5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ht="12.75" x14ac:dyDescent="0.2">
      <c r="A663" s="5"/>
      <c r="B663" s="5"/>
      <c r="C663" s="5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ht="12.75" x14ac:dyDescent="0.2">
      <c r="A664" s="5"/>
      <c r="B664" s="5"/>
      <c r="C664" s="5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ht="12.75" x14ac:dyDescent="0.2">
      <c r="A665" s="5"/>
      <c r="B665" s="5"/>
      <c r="C665" s="5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ht="12.75" x14ac:dyDescent="0.2">
      <c r="A666" s="5"/>
      <c r="B666" s="5"/>
      <c r="C666" s="5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ht="12.75" x14ac:dyDescent="0.2">
      <c r="A667" s="5"/>
      <c r="B667" s="5"/>
      <c r="C667" s="5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ht="12.75" x14ac:dyDescent="0.2">
      <c r="A668" s="5"/>
      <c r="B668" s="5"/>
      <c r="C668" s="5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ht="12.75" x14ac:dyDescent="0.2">
      <c r="A669" s="5"/>
      <c r="B669" s="5"/>
      <c r="C669" s="5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ht="12.75" x14ac:dyDescent="0.2">
      <c r="A670" s="5"/>
      <c r="B670" s="5"/>
      <c r="C670" s="5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ht="12.75" x14ac:dyDescent="0.2">
      <c r="A671" s="5"/>
      <c r="B671" s="5"/>
      <c r="C671" s="5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ht="12.75" x14ac:dyDescent="0.2">
      <c r="A672" s="5"/>
      <c r="B672" s="5"/>
      <c r="C672" s="5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ht="12.75" x14ac:dyDescent="0.2">
      <c r="A673" s="5"/>
      <c r="B673" s="5"/>
      <c r="C673" s="5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ht="12.75" x14ac:dyDescent="0.2">
      <c r="A674" s="5"/>
      <c r="B674" s="5"/>
      <c r="C674" s="5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ht="12.75" x14ac:dyDescent="0.2">
      <c r="A675" s="5"/>
      <c r="B675" s="5"/>
      <c r="C675" s="5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ht="12.75" x14ac:dyDescent="0.2">
      <c r="A676" s="5"/>
      <c r="B676" s="5"/>
      <c r="C676" s="5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ht="12.75" x14ac:dyDescent="0.2">
      <c r="A677" s="5"/>
      <c r="B677" s="5"/>
      <c r="C677" s="5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ht="12.75" x14ac:dyDescent="0.2">
      <c r="A678" s="5"/>
      <c r="B678" s="5"/>
      <c r="C678" s="5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ht="12.75" x14ac:dyDescent="0.2">
      <c r="A679" s="5"/>
      <c r="B679" s="5"/>
      <c r="C679" s="5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ht="12.75" x14ac:dyDescent="0.2">
      <c r="A680" s="5"/>
      <c r="B680" s="5"/>
      <c r="C680" s="5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ht="12.75" x14ac:dyDescent="0.2">
      <c r="A681" s="5"/>
      <c r="B681" s="5"/>
      <c r="C681" s="5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ht="12.75" x14ac:dyDescent="0.2">
      <c r="A682" s="5"/>
      <c r="B682" s="5"/>
      <c r="C682" s="5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ht="12.75" x14ac:dyDescent="0.2">
      <c r="A683" s="5"/>
      <c r="B683" s="5"/>
      <c r="C683" s="5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ht="12.75" x14ac:dyDescent="0.2">
      <c r="A684" s="5"/>
      <c r="B684" s="5"/>
      <c r="C684" s="5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ht="12.75" x14ac:dyDescent="0.2">
      <c r="A685" s="5"/>
      <c r="B685" s="5"/>
      <c r="C685" s="5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ht="12.75" x14ac:dyDescent="0.2">
      <c r="A686" s="5"/>
      <c r="B686" s="5"/>
      <c r="C686" s="5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ht="12.75" x14ac:dyDescent="0.2">
      <c r="A687" s="5"/>
      <c r="B687" s="5"/>
      <c r="C687" s="5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ht="12.75" x14ac:dyDescent="0.2">
      <c r="A688" s="5"/>
      <c r="B688" s="5"/>
      <c r="C688" s="5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ht="12.75" x14ac:dyDescent="0.2">
      <c r="A689" s="5"/>
      <c r="B689" s="5"/>
      <c r="C689" s="5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ht="12.75" x14ac:dyDescent="0.2">
      <c r="A690" s="5"/>
      <c r="B690" s="5"/>
      <c r="C690" s="5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ht="12.75" x14ac:dyDescent="0.2">
      <c r="A691" s="5"/>
      <c r="B691" s="5"/>
      <c r="C691" s="5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ht="12.75" x14ac:dyDescent="0.2">
      <c r="A692" s="5"/>
      <c r="B692" s="5"/>
      <c r="C692" s="5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ht="12.75" x14ac:dyDescent="0.2">
      <c r="A693" s="5"/>
      <c r="B693" s="5"/>
      <c r="C693" s="5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ht="12.75" x14ac:dyDescent="0.2">
      <c r="A694" s="5"/>
      <c r="B694" s="5"/>
      <c r="C694" s="5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ht="12.75" x14ac:dyDescent="0.2">
      <c r="A695" s="5"/>
      <c r="B695" s="5"/>
      <c r="C695" s="5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ht="12.75" x14ac:dyDescent="0.2">
      <c r="A696" s="5"/>
      <c r="B696" s="5"/>
      <c r="C696" s="5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ht="12.75" x14ac:dyDescent="0.2">
      <c r="A697" s="5"/>
      <c r="B697" s="5"/>
      <c r="C697" s="5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ht="12.75" x14ac:dyDescent="0.2">
      <c r="A698" s="5"/>
      <c r="B698" s="5"/>
      <c r="C698" s="5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ht="12.75" x14ac:dyDescent="0.2">
      <c r="A699" s="5"/>
      <c r="B699" s="5"/>
      <c r="C699" s="5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ht="12.75" x14ac:dyDescent="0.2">
      <c r="A700" s="5"/>
      <c r="B700" s="5"/>
      <c r="C700" s="5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ht="12.75" x14ac:dyDescent="0.2">
      <c r="A701" s="5"/>
      <c r="B701" s="5"/>
      <c r="C701" s="5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ht="12.75" x14ac:dyDescent="0.2">
      <c r="A702" s="5"/>
      <c r="B702" s="5"/>
      <c r="C702" s="5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ht="12.75" x14ac:dyDescent="0.2">
      <c r="A703" s="5"/>
      <c r="B703" s="5"/>
      <c r="C703" s="5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ht="12.75" x14ac:dyDescent="0.2">
      <c r="A704" s="5"/>
      <c r="B704" s="5"/>
      <c r="C704" s="5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ht="12.75" x14ac:dyDescent="0.2">
      <c r="A705" s="5"/>
      <c r="B705" s="5"/>
      <c r="C705" s="5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ht="12.75" x14ac:dyDescent="0.2">
      <c r="A706" s="5"/>
      <c r="B706" s="5"/>
      <c r="C706" s="5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ht="12.75" x14ac:dyDescent="0.2">
      <c r="A707" s="5"/>
      <c r="B707" s="5"/>
      <c r="C707" s="5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ht="12.75" x14ac:dyDescent="0.2">
      <c r="A708" s="5"/>
      <c r="B708" s="5"/>
      <c r="C708" s="5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ht="12.75" x14ac:dyDescent="0.2">
      <c r="A709" s="5"/>
      <c r="B709" s="5"/>
      <c r="C709" s="5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ht="12.75" x14ac:dyDescent="0.2">
      <c r="A710" s="5"/>
      <c r="B710" s="5"/>
      <c r="C710" s="5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ht="12.75" x14ac:dyDescent="0.2">
      <c r="A711" s="5"/>
      <c r="B711" s="5"/>
      <c r="C711" s="5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ht="12.75" x14ac:dyDescent="0.2">
      <c r="A712" s="5"/>
      <c r="B712" s="5"/>
      <c r="C712" s="5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ht="12.75" x14ac:dyDescent="0.2">
      <c r="A713" s="5"/>
      <c r="B713" s="5"/>
      <c r="C713" s="5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ht="12.75" x14ac:dyDescent="0.2">
      <c r="A714" s="5"/>
      <c r="B714" s="5"/>
      <c r="C714" s="5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ht="12.75" x14ac:dyDescent="0.2">
      <c r="A715" s="5"/>
      <c r="B715" s="5"/>
      <c r="C715" s="5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ht="12.75" x14ac:dyDescent="0.2">
      <c r="A716" s="5"/>
      <c r="B716" s="5"/>
      <c r="C716" s="5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ht="12.75" x14ac:dyDescent="0.2">
      <c r="A717" s="5"/>
      <c r="B717" s="5"/>
      <c r="C717" s="5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ht="12.75" x14ac:dyDescent="0.2">
      <c r="A718" s="5"/>
      <c r="B718" s="5"/>
      <c r="C718" s="5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ht="12.75" x14ac:dyDescent="0.2">
      <c r="A719" s="5"/>
      <c r="B719" s="5"/>
      <c r="C719" s="5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ht="12.75" x14ac:dyDescent="0.2">
      <c r="A720" s="5"/>
      <c r="B720" s="5"/>
      <c r="C720" s="5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ht="12.75" x14ac:dyDescent="0.2">
      <c r="A721" s="5"/>
      <c r="B721" s="5"/>
      <c r="C721" s="5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ht="12.75" x14ac:dyDescent="0.2">
      <c r="A722" s="5"/>
      <c r="B722" s="5"/>
      <c r="C722" s="5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ht="12.75" x14ac:dyDescent="0.2">
      <c r="A723" s="5"/>
      <c r="B723" s="5"/>
      <c r="C723" s="5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ht="12.75" x14ac:dyDescent="0.2">
      <c r="A724" s="5"/>
      <c r="B724" s="5"/>
      <c r="C724" s="5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ht="12.75" x14ac:dyDescent="0.2">
      <c r="A725" s="5"/>
      <c r="B725" s="5"/>
      <c r="C725" s="5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ht="12.75" x14ac:dyDescent="0.2">
      <c r="A726" s="5"/>
      <c r="B726" s="5"/>
      <c r="C726" s="5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ht="12.75" x14ac:dyDescent="0.2">
      <c r="A727" s="5"/>
      <c r="B727" s="5"/>
      <c r="C727" s="5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ht="12.75" x14ac:dyDescent="0.2">
      <c r="A728" s="5"/>
      <c r="B728" s="5"/>
      <c r="C728" s="5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ht="12.75" x14ac:dyDescent="0.2">
      <c r="A729" s="5"/>
      <c r="B729" s="5"/>
      <c r="C729" s="5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ht="12.75" x14ac:dyDescent="0.2">
      <c r="A730" s="5"/>
      <c r="B730" s="5"/>
      <c r="C730" s="5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ht="12.75" x14ac:dyDescent="0.2">
      <c r="A731" s="5"/>
      <c r="B731" s="5"/>
      <c r="C731" s="5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ht="12.75" x14ac:dyDescent="0.2">
      <c r="A732" s="5"/>
      <c r="B732" s="5"/>
      <c r="C732" s="5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ht="12.75" x14ac:dyDescent="0.2">
      <c r="A733" s="5"/>
      <c r="B733" s="5"/>
      <c r="C733" s="5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ht="12.75" x14ac:dyDescent="0.2">
      <c r="A734" s="5"/>
      <c r="B734" s="5"/>
      <c r="C734" s="5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ht="12.75" x14ac:dyDescent="0.2">
      <c r="A735" s="5"/>
      <c r="B735" s="5"/>
      <c r="C735" s="5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ht="12.75" x14ac:dyDescent="0.2">
      <c r="A736" s="5"/>
      <c r="B736" s="5"/>
      <c r="C736" s="5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ht="12.75" x14ac:dyDescent="0.2">
      <c r="A737" s="5"/>
      <c r="B737" s="5"/>
      <c r="C737" s="5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ht="12.75" x14ac:dyDescent="0.2">
      <c r="A738" s="5"/>
      <c r="B738" s="5"/>
      <c r="C738" s="5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ht="12.75" x14ac:dyDescent="0.2">
      <c r="A739" s="5"/>
      <c r="B739" s="5"/>
      <c r="C739" s="5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ht="12.75" x14ac:dyDescent="0.2">
      <c r="A740" s="5"/>
      <c r="B740" s="5"/>
      <c r="C740" s="5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ht="12.75" x14ac:dyDescent="0.2">
      <c r="A741" s="5"/>
      <c r="B741" s="5"/>
      <c r="C741" s="5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ht="12.75" x14ac:dyDescent="0.2">
      <c r="A742" s="5"/>
      <c r="B742" s="5"/>
      <c r="C742" s="5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ht="12.75" x14ac:dyDescent="0.2">
      <c r="A743" s="5"/>
      <c r="B743" s="5"/>
      <c r="C743" s="5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ht="12.75" x14ac:dyDescent="0.2">
      <c r="A744" s="5"/>
      <c r="B744" s="5"/>
      <c r="C744" s="5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ht="12.75" x14ac:dyDescent="0.2">
      <c r="A745" s="5"/>
      <c r="B745" s="5"/>
      <c r="C745" s="5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ht="12.75" x14ac:dyDescent="0.2">
      <c r="A746" s="5"/>
      <c r="B746" s="5"/>
      <c r="C746" s="5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ht="12.75" x14ac:dyDescent="0.2">
      <c r="A747" s="5"/>
      <c r="B747" s="5"/>
      <c r="C747" s="5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ht="12.75" x14ac:dyDescent="0.2">
      <c r="A748" s="5"/>
      <c r="B748" s="5"/>
      <c r="C748" s="5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ht="12.75" x14ac:dyDescent="0.2">
      <c r="A749" s="5"/>
      <c r="B749" s="5"/>
      <c r="C749" s="5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ht="12.75" x14ac:dyDescent="0.2">
      <c r="A750" s="5"/>
      <c r="B750" s="5"/>
      <c r="C750" s="5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ht="12.75" x14ac:dyDescent="0.2">
      <c r="A751" s="5"/>
      <c r="B751" s="5"/>
      <c r="C751" s="5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ht="12.75" x14ac:dyDescent="0.2">
      <c r="A752" s="5"/>
      <c r="B752" s="5"/>
      <c r="C752" s="5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ht="12.75" x14ac:dyDescent="0.2">
      <c r="A753" s="5"/>
      <c r="B753" s="5"/>
      <c r="C753" s="5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ht="12.75" x14ac:dyDescent="0.2">
      <c r="A754" s="5"/>
      <c r="B754" s="5"/>
      <c r="C754" s="5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ht="12.75" x14ac:dyDescent="0.2">
      <c r="A755" s="5"/>
      <c r="B755" s="5"/>
      <c r="C755" s="5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ht="12.75" x14ac:dyDescent="0.2">
      <c r="A756" s="5"/>
      <c r="B756" s="5"/>
      <c r="C756" s="5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ht="12.75" x14ac:dyDescent="0.2">
      <c r="A757" s="5"/>
      <c r="B757" s="5"/>
      <c r="C757" s="5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ht="12.75" x14ac:dyDescent="0.2">
      <c r="A758" s="5"/>
      <c r="B758" s="5"/>
      <c r="C758" s="5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ht="12.75" x14ac:dyDescent="0.2">
      <c r="A759" s="5"/>
      <c r="B759" s="5"/>
      <c r="C759" s="5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ht="12.75" x14ac:dyDescent="0.2">
      <c r="A760" s="5"/>
      <c r="B760" s="5"/>
      <c r="C760" s="5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ht="12.75" x14ac:dyDescent="0.2">
      <c r="A761" s="5"/>
      <c r="B761" s="5"/>
      <c r="C761" s="5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ht="12.75" x14ac:dyDescent="0.2">
      <c r="A762" s="5"/>
      <c r="B762" s="5"/>
      <c r="C762" s="5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ht="12.75" x14ac:dyDescent="0.2">
      <c r="A763" s="5"/>
      <c r="B763" s="5"/>
      <c r="C763" s="5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ht="12.75" x14ac:dyDescent="0.2">
      <c r="A764" s="5"/>
      <c r="B764" s="5"/>
      <c r="C764" s="5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ht="12.75" x14ac:dyDescent="0.2">
      <c r="A765" s="5"/>
      <c r="B765" s="5"/>
      <c r="C765" s="5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ht="12.75" x14ac:dyDescent="0.2">
      <c r="A766" s="5"/>
      <c r="B766" s="5"/>
      <c r="C766" s="5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ht="12.75" x14ac:dyDescent="0.2">
      <c r="A767" s="5"/>
      <c r="B767" s="5"/>
      <c r="C767" s="5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ht="12.75" x14ac:dyDescent="0.2">
      <c r="A768" s="5"/>
      <c r="B768" s="5"/>
      <c r="C768" s="5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ht="12.75" x14ac:dyDescent="0.2">
      <c r="A769" s="5"/>
      <c r="B769" s="5"/>
      <c r="C769" s="5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ht="12.75" x14ac:dyDescent="0.2">
      <c r="A770" s="5"/>
      <c r="B770" s="5"/>
      <c r="C770" s="5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ht="12.75" x14ac:dyDescent="0.2">
      <c r="A771" s="5"/>
      <c r="B771" s="5"/>
      <c r="C771" s="5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ht="12.75" x14ac:dyDescent="0.2">
      <c r="A772" s="5"/>
      <c r="B772" s="5"/>
      <c r="C772" s="5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ht="12.75" x14ac:dyDescent="0.2">
      <c r="A773" s="5"/>
      <c r="B773" s="5"/>
      <c r="C773" s="5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ht="12.75" x14ac:dyDescent="0.2">
      <c r="A774" s="5"/>
      <c r="B774" s="5"/>
      <c r="C774" s="5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ht="12.75" x14ac:dyDescent="0.2">
      <c r="A775" s="5"/>
      <c r="B775" s="5"/>
      <c r="C775" s="5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ht="12.75" x14ac:dyDescent="0.2">
      <c r="A776" s="5"/>
      <c r="B776" s="5"/>
      <c r="C776" s="5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ht="12.75" x14ac:dyDescent="0.2">
      <c r="A777" s="5"/>
      <c r="B777" s="5"/>
      <c r="C777" s="5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ht="12.75" x14ac:dyDescent="0.2">
      <c r="A778" s="5"/>
      <c r="B778" s="5"/>
      <c r="C778" s="5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ht="12.75" x14ac:dyDescent="0.2">
      <c r="A779" s="5"/>
      <c r="B779" s="5"/>
      <c r="C779" s="5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ht="12.75" x14ac:dyDescent="0.2">
      <c r="A780" s="5"/>
      <c r="B780" s="5"/>
      <c r="C780" s="5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ht="12.75" x14ac:dyDescent="0.2">
      <c r="A781" s="5"/>
      <c r="B781" s="5"/>
      <c r="C781" s="5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ht="12.75" x14ac:dyDescent="0.2">
      <c r="A782" s="5"/>
      <c r="B782" s="5"/>
      <c r="C782" s="5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ht="12.75" x14ac:dyDescent="0.2">
      <c r="A783" s="5"/>
      <c r="B783" s="5"/>
      <c r="C783" s="5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ht="12.75" x14ac:dyDescent="0.2">
      <c r="A784" s="5"/>
      <c r="B784" s="5"/>
      <c r="C784" s="5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ht="12.75" x14ac:dyDescent="0.2">
      <c r="A785" s="5"/>
      <c r="B785" s="5"/>
      <c r="C785" s="5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ht="12.75" x14ac:dyDescent="0.2">
      <c r="A786" s="5"/>
      <c r="B786" s="5"/>
      <c r="C786" s="5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ht="12.75" x14ac:dyDescent="0.2">
      <c r="A787" s="5"/>
      <c r="B787" s="5"/>
      <c r="C787" s="5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ht="12.75" x14ac:dyDescent="0.2">
      <c r="A788" s="5"/>
      <c r="B788" s="5"/>
      <c r="C788" s="5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ht="12.75" x14ac:dyDescent="0.2">
      <c r="A789" s="5"/>
      <c r="B789" s="5"/>
      <c r="C789" s="5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ht="12.75" x14ac:dyDescent="0.2">
      <c r="A790" s="5"/>
      <c r="B790" s="5"/>
      <c r="C790" s="5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ht="12.75" x14ac:dyDescent="0.2">
      <c r="A791" s="5"/>
      <c r="B791" s="5"/>
      <c r="C791" s="5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ht="12.75" x14ac:dyDescent="0.2">
      <c r="A792" s="5"/>
      <c r="B792" s="5"/>
      <c r="C792" s="5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ht="12.75" x14ac:dyDescent="0.2">
      <c r="A793" s="5"/>
      <c r="B793" s="5"/>
      <c r="C793" s="5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ht="12.75" x14ac:dyDescent="0.2">
      <c r="A794" s="5"/>
      <c r="B794" s="5"/>
      <c r="C794" s="5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ht="12.75" x14ac:dyDescent="0.2">
      <c r="A795" s="5"/>
      <c r="B795" s="5"/>
      <c r="C795" s="5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ht="12.75" x14ac:dyDescent="0.2">
      <c r="A796" s="5"/>
      <c r="B796" s="5"/>
      <c r="C796" s="5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ht="12.75" x14ac:dyDescent="0.2">
      <c r="A797" s="5"/>
      <c r="B797" s="5"/>
      <c r="C797" s="5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ht="12.75" x14ac:dyDescent="0.2">
      <c r="A798" s="5"/>
      <c r="B798" s="5"/>
      <c r="C798" s="5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ht="12.75" x14ac:dyDescent="0.2">
      <c r="A799" s="5"/>
      <c r="B799" s="5"/>
      <c r="C799" s="5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ht="12.75" x14ac:dyDescent="0.2">
      <c r="A800" s="5"/>
      <c r="B800" s="5"/>
      <c r="C800" s="5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ht="12.75" x14ac:dyDescent="0.2">
      <c r="A801" s="5"/>
      <c r="B801" s="5"/>
      <c r="C801" s="5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ht="12.75" x14ac:dyDescent="0.2">
      <c r="A802" s="5"/>
      <c r="B802" s="5"/>
      <c r="C802" s="5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ht="12.75" x14ac:dyDescent="0.2">
      <c r="A803" s="5"/>
      <c r="B803" s="5"/>
      <c r="C803" s="5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ht="12.75" x14ac:dyDescent="0.2">
      <c r="A804" s="5"/>
      <c r="B804" s="5"/>
      <c r="C804" s="5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ht="12.75" x14ac:dyDescent="0.2">
      <c r="A805" s="5"/>
      <c r="B805" s="5"/>
      <c r="C805" s="5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ht="12.75" x14ac:dyDescent="0.2">
      <c r="A806" s="5"/>
      <c r="B806" s="5"/>
      <c r="C806" s="5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ht="12.75" x14ac:dyDescent="0.2">
      <c r="A807" s="5"/>
      <c r="B807" s="5"/>
      <c r="C807" s="5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ht="12.75" x14ac:dyDescent="0.2">
      <c r="A808" s="5"/>
      <c r="B808" s="5"/>
      <c r="C808" s="5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ht="12.75" x14ac:dyDescent="0.2">
      <c r="A809" s="5"/>
      <c r="B809" s="5"/>
      <c r="C809" s="5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ht="12.75" x14ac:dyDescent="0.2">
      <c r="A810" s="5"/>
      <c r="B810" s="5"/>
      <c r="C810" s="5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ht="12.75" x14ac:dyDescent="0.2">
      <c r="A811" s="5"/>
      <c r="B811" s="5"/>
      <c r="C811" s="5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ht="12.75" x14ac:dyDescent="0.2">
      <c r="A812" s="5"/>
      <c r="B812" s="5"/>
      <c r="C812" s="5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ht="12.75" x14ac:dyDescent="0.2">
      <c r="A813" s="5"/>
      <c r="B813" s="5"/>
      <c r="C813" s="5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ht="12.75" x14ac:dyDescent="0.2">
      <c r="A814" s="5"/>
      <c r="B814" s="5"/>
      <c r="C814" s="5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ht="12.75" x14ac:dyDescent="0.2">
      <c r="A815" s="5"/>
      <c r="B815" s="5"/>
      <c r="C815" s="5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ht="12.75" x14ac:dyDescent="0.2">
      <c r="A816" s="5"/>
      <c r="B816" s="5"/>
      <c r="C816" s="5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ht="12.75" x14ac:dyDescent="0.2">
      <c r="A817" s="5"/>
      <c r="B817" s="5"/>
      <c r="C817" s="5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ht="12.75" x14ac:dyDescent="0.2">
      <c r="A818" s="5"/>
      <c r="B818" s="5"/>
      <c r="C818" s="5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ht="12.75" x14ac:dyDescent="0.2">
      <c r="A819" s="5"/>
      <c r="B819" s="5"/>
      <c r="C819" s="5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ht="12.75" x14ac:dyDescent="0.2">
      <c r="A820" s="5"/>
      <c r="B820" s="5"/>
      <c r="C820" s="5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ht="12.75" x14ac:dyDescent="0.2">
      <c r="A821" s="5"/>
      <c r="B821" s="5"/>
      <c r="C821" s="5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ht="12.75" x14ac:dyDescent="0.2">
      <c r="A822" s="5"/>
      <c r="B822" s="5"/>
      <c r="C822" s="5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ht="12.75" x14ac:dyDescent="0.2">
      <c r="A823" s="5"/>
      <c r="B823" s="5"/>
      <c r="C823" s="5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ht="12.75" x14ac:dyDescent="0.2">
      <c r="A824" s="5"/>
      <c r="B824" s="5"/>
      <c r="C824" s="5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ht="12.75" x14ac:dyDescent="0.2">
      <c r="A825" s="5"/>
      <c r="B825" s="5"/>
      <c r="C825" s="5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ht="12.75" x14ac:dyDescent="0.2">
      <c r="A826" s="5"/>
      <c r="B826" s="5"/>
      <c r="C826" s="5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ht="12.75" x14ac:dyDescent="0.2">
      <c r="A827" s="5"/>
      <c r="B827" s="5"/>
      <c r="C827" s="5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ht="12.75" x14ac:dyDescent="0.2">
      <c r="A828" s="5"/>
      <c r="B828" s="5"/>
      <c r="C828" s="5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ht="12.75" x14ac:dyDescent="0.2">
      <c r="A829" s="5"/>
      <c r="B829" s="5"/>
      <c r="C829" s="5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ht="12.75" x14ac:dyDescent="0.2">
      <c r="A830" s="5"/>
      <c r="B830" s="5"/>
      <c r="C830" s="5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ht="12.75" x14ac:dyDescent="0.2">
      <c r="A831" s="5"/>
      <c r="B831" s="5"/>
      <c r="C831" s="5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ht="12.75" x14ac:dyDescent="0.2">
      <c r="A832" s="5"/>
      <c r="B832" s="5"/>
      <c r="C832" s="5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ht="12.75" x14ac:dyDescent="0.2">
      <c r="A833" s="5"/>
      <c r="B833" s="5"/>
      <c r="C833" s="5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ht="12.75" x14ac:dyDescent="0.2">
      <c r="A834" s="5"/>
      <c r="B834" s="5"/>
      <c r="C834" s="5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ht="12.75" x14ac:dyDescent="0.2">
      <c r="A835" s="5"/>
      <c r="B835" s="5"/>
      <c r="C835" s="5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ht="12.75" x14ac:dyDescent="0.2">
      <c r="A836" s="5"/>
      <c r="B836" s="5"/>
      <c r="C836" s="5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ht="12.75" x14ac:dyDescent="0.2">
      <c r="A837" s="5"/>
      <c r="B837" s="5"/>
      <c r="C837" s="5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ht="12.75" x14ac:dyDescent="0.2">
      <c r="A838" s="5"/>
      <c r="B838" s="5"/>
      <c r="C838" s="5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ht="12.75" x14ac:dyDescent="0.2">
      <c r="A839" s="5"/>
      <c r="B839" s="5"/>
      <c r="C839" s="5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ht="12.75" x14ac:dyDescent="0.2">
      <c r="A840" s="5"/>
      <c r="B840" s="5"/>
      <c r="C840" s="5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ht="12.75" x14ac:dyDescent="0.2">
      <c r="A841" s="5"/>
      <c r="B841" s="5"/>
      <c r="C841" s="5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ht="12.75" x14ac:dyDescent="0.2">
      <c r="A842" s="5"/>
      <c r="B842" s="5"/>
      <c r="C842" s="5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ht="12.75" x14ac:dyDescent="0.2">
      <c r="A843" s="5"/>
      <c r="B843" s="5"/>
      <c r="C843" s="5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ht="12.75" x14ac:dyDescent="0.2">
      <c r="A844" s="5"/>
      <c r="B844" s="5"/>
      <c r="C844" s="5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ht="12.75" x14ac:dyDescent="0.2">
      <c r="A845" s="5"/>
      <c r="B845" s="5"/>
      <c r="C845" s="5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ht="12.75" x14ac:dyDescent="0.2">
      <c r="A846" s="5"/>
      <c r="B846" s="5"/>
      <c r="C846" s="5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ht="12.75" x14ac:dyDescent="0.2">
      <c r="A847" s="5"/>
      <c r="B847" s="5"/>
      <c r="C847" s="5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ht="12.75" x14ac:dyDescent="0.2">
      <c r="A848" s="5"/>
      <c r="B848" s="5"/>
      <c r="C848" s="5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ht="12.75" x14ac:dyDescent="0.2">
      <c r="A849" s="5"/>
      <c r="B849" s="5"/>
      <c r="C849" s="5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ht="12.75" x14ac:dyDescent="0.2">
      <c r="A850" s="5"/>
      <c r="B850" s="5"/>
      <c r="C850" s="5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ht="12.75" x14ac:dyDescent="0.2">
      <c r="A851" s="5"/>
      <c r="B851" s="5"/>
      <c r="C851" s="5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ht="12.75" x14ac:dyDescent="0.2">
      <c r="A852" s="5"/>
      <c r="B852" s="5"/>
      <c r="C852" s="5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ht="12.75" x14ac:dyDescent="0.2">
      <c r="A853" s="5"/>
      <c r="B853" s="5"/>
      <c r="C853" s="5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ht="12.75" x14ac:dyDescent="0.2">
      <c r="A854" s="5"/>
      <c r="B854" s="5"/>
      <c r="C854" s="5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ht="12.75" x14ac:dyDescent="0.2">
      <c r="A855" s="5"/>
      <c r="B855" s="5"/>
      <c r="C855" s="5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ht="12.75" x14ac:dyDescent="0.2">
      <c r="A856" s="5"/>
      <c r="B856" s="5"/>
      <c r="C856" s="5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ht="12.75" x14ac:dyDescent="0.2">
      <c r="A857" s="5"/>
      <c r="B857" s="5"/>
      <c r="C857" s="5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ht="12.75" x14ac:dyDescent="0.2">
      <c r="A858" s="5"/>
      <c r="B858" s="5"/>
      <c r="C858" s="5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ht="12.75" x14ac:dyDescent="0.2">
      <c r="A859" s="5"/>
      <c r="B859" s="5"/>
      <c r="C859" s="5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ht="12.75" x14ac:dyDescent="0.2">
      <c r="A860" s="5"/>
      <c r="B860" s="5"/>
      <c r="C860" s="5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ht="12.75" x14ac:dyDescent="0.2">
      <c r="A861" s="5"/>
      <c r="B861" s="5"/>
      <c r="C861" s="5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ht="12.75" x14ac:dyDescent="0.2">
      <c r="A862" s="5"/>
      <c r="B862" s="5"/>
      <c r="C862" s="5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ht="12.75" x14ac:dyDescent="0.2">
      <c r="A863" s="5"/>
      <c r="B863" s="5"/>
      <c r="C863" s="5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ht="12.75" x14ac:dyDescent="0.2">
      <c r="A864" s="5"/>
      <c r="B864" s="5"/>
      <c r="C864" s="5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ht="12.75" x14ac:dyDescent="0.2">
      <c r="A865" s="5"/>
      <c r="B865" s="5"/>
      <c r="C865" s="5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ht="12.75" x14ac:dyDescent="0.2">
      <c r="A866" s="5"/>
      <c r="B866" s="5"/>
      <c r="C866" s="5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ht="12.75" x14ac:dyDescent="0.2">
      <c r="A867" s="5"/>
      <c r="B867" s="5"/>
      <c r="C867" s="5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ht="12.75" x14ac:dyDescent="0.2">
      <c r="A868" s="5"/>
      <c r="B868" s="5"/>
      <c r="C868" s="5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ht="12.75" x14ac:dyDescent="0.2">
      <c r="A869" s="5"/>
      <c r="B869" s="5"/>
      <c r="C869" s="5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ht="12.75" x14ac:dyDescent="0.2">
      <c r="A870" s="5"/>
      <c r="B870" s="5"/>
      <c r="C870" s="5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ht="12.75" x14ac:dyDescent="0.2">
      <c r="A871" s="5"/>
      <c r="B871" s="5"/>
      <c r="C871" s="5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ht="12.75" x14ac:dyDescent="0.2">
      <c r="A872" s="5"/>
      <c r="B872" s="5"/>
      <c r="C872" s="5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ht="12.75" x14ac:dyDescent="0.2">
      <c r="A873" s="5"/>
      <c r="B873" s="5"/>
      <c r="C873" s="5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ht="12.75" x14ac:dyDescent="0.2">
      <c r="A874" s="5"/>
      <c r="B874" s="5"/>
      <c r="C874" s="5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ht="12.75" x14ac:dyDescent="0.2">
      <c r="A875" s="5"/>
      <c r="B875" s="5"/>
      <c r="C875" s="5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ht="12.75" x14ac:dyDescent="0.2">
      <c r="A876" s="5"/>
      <c r="B876" s="5"/>
      <c r="C876" s="5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ht="12.75" x14ac:dyDescent="0.2">
      <c r="A877" s="5"/>
      <c r="B877" s="5"/>
      <c r="C877" s="5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ht="12.75" x14ac:dyDescent="0.2">
      <c r="A878" s="5"/>
      <c r="B878" s="5"/>
      <c r="C878" s="5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ht="12.75" x14ac:dyDescent="0.2">
      <c r="A879" s="5"/>
      <c r="B879" s="5"/>
      <c r="C879" s="5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ht="12.75" x14ac:dyDescent="0.2">
      <c r="A880" s="5"/>
      <c r="B880" s="5"/>
      <c r="C880" s="5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ht="12.75" x14ac:dyDescent="0.2">
      <c r="A881" s="5"/>
      <c r="B881" s="5"/>
      <c r="C881" s="5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ht="12.75" x14ac:dyDescent="0.2">
      <c r="A882" s="5"/>
      <c r="B882" s="5"/>
      <c r="C882" s="5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ht="12.75" x14ac:dyDescent="0.2">
      <c r="A883" s="5"/>
      <c r="B883" s="5"/>
      <c r="C883" s="5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ht="12.75" x14ac:dyDescent="0.2">
      <c r="A884" s="5"/>
      <c r="B884" s="5"/>
      <c r="C884" s="5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ht="12.75" x14ac:dyDescent="0.2">
      <c r="A885" s="5"/>
      <c r="B885" s="5"/>
      <c r="C885" s="5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ht="12.75" x14ac:dyDescent="0.2">
      <c r="A886" s="5"/>
      <c r="B886" s="5"/>
      <c r="C886" s="5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ht="12.75" x14ac:dyDescent="0.2">
      <c r="A887" s="5"/>
      <c r="B887" s="5"/>
      <c r="C887" s="5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ht="12.75" x14ac:dyDescent="0.2">
      <c r="A888" s="5"/>
      <c r="B888" s="5"/>
      <c r="C888" s="5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ht="12.75" x14ac:dyDescent="0.2">
      <c r="A889" s="5"/>
      <c r="B889" s="5"/>
      <c r="C889" s="5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ht="12.75" x14ac:dyDescent="0.2">
      <c r="A890" s="5"/>
      <c r="B890" s="5"/>
      <c r="C890" s="5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ht="12.75" x14ac:dyDescent="0.2">
      <c r="A891" s="5"/>
      <c r="B891" s="5"/>
      <c r="C891" s="5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ht="12.75" x14ac:dyDescent="0.2">
      <c r="A892" s="5"/>
      <c r="B892" s="5"/>
      <c r="C892" s="5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ht="12.75" x14ac:dyDescent="0.2">
      <c r="A893" s="5"/>
      <c r="B893" s="5"/>
      <c r="C893" s="5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ht="12.75" x14ac:dyDescent="0.2">
      <c r="A894" s="5"/>
      <c r="B894" s="5"/>
      <c r="C894" s="5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ht="12.75" x14ac:dyDescent="0.2">
      <c r="A895" s="5"/>
      <c r="B895" s="5"/>
      <c r="C895" s="5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ht="12.75" x14ac:dyDescent="0.2">
      <c r="A896" s="5"/>
      <c r="B896" s="5"/>
      <c r="C896" s="5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ht="12.75" x14ac:dyDescent="0.2">
      <c r="A897" s="5"/>
      <c r="B897" s="5"/>
      <c r="C897" s="5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ht="12.75" x14ac:dyDescent="0.2">
      <c r="A898" s="5"/>
      <c r="B898" s="5"/>
      <c r="C898" s="5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ht="12.75" x14ac:dyDescent="0.2">
      <c r="A899" s="5"/>
      <c r="B899" s="5"/>
      <c r="C899" s="5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ht="12.75" x14ac:dyDescent="0.2">
      <c r="A900" s="5"/>
      <c r="B900" s="5"/>
      <c r="C900" s="5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ht="12.75" x14ac:dyDescent="0.2">
      <c r="A901" s="5"/>
      <c r="B901" s="5"/>
      <c r="C901" s="5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ht="12.75" x14ac:dyDescent="0.2">
      <c r="A902" s="5"/>
      <c r="B902" s="5"/>
      <c r="C902" s="5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ht="12.75" x14ac:dyDescent="0.2">
      <c r="A903" s="5"/>
      <c r="B903" s="5"/>
      <c r="C903" s="5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ht="12.75" x14ac:dyDescent="0.2">
      <c r="A904" s="5"/>
      <c r="B904" s="5"/>
      <c r="C904" s="5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ht="12.75" x14ac:dyDescent="0.2">
      <c r="A905" s="5"/>
      <c r="B905" s="5"/>
      <c r="C905" s="5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ht="12.75" x14ac:dyDescent="0.2">
      <c r="A906" s="5"/>
      <c r="B906" s="5"/>
      <c r="C906" s="5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ht="12.75" x14ac:dyDescent="0.2">
      <c r="A907" s="5"/>
      <c r="B907" s="5"/>
      <c r="C907" s="5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ht="12.75" x14ac:dyDescent="0.2">
      <c r="A908" s="5"/>
      <c r="B908" s="5"/>
      <c r="C908" s="5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ht="12.75" x14ac:dyDescent="0.2">
      <c r="A909" s="5"/>
      <c r="B909" s="5"/>
      <c r="C909" s="5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ht="12.75" x14ac:dyDescent="0.2">
      <c r="A910" s="5"/>
      <c r="B910" s="5"/>
      <c r="C910" s="5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ht="12.75" x14ac:dyDescent="0.2">
      <c r="A911" s="5"/>
      <c r="B911" s="5"/>
      <c r="C911" s="5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ht="12.75" x14ac:dyDescent="0.2">
      <c r="A912" s="5"/>
      <c r="B912" s="5"/>
      <c r="C912" s="5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ht="12.75" x14ac:dyDescent="0.2">
      <c r="A913" s="5"/>
      <c r="B913" s="5"/>
      <c r="C913" s="5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ht="12.75" x14ac:dyDescent="0.2">
      <c r="A914" s="5"/>
      <c r="B914" s="5"/>
      <c r="C914" s="5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ht="12.75" x14ac:dyDescent="0.2">
      <c r="A915" s="5"/>
      <c r="B915" s="5"/>
      <c r="C915" s="5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ht="12.75" x14ac:dyDescent="0.2">
      <c r="A916" s="5"/>
      <c r="B916" s="5"/>
      <c r="C916" s="5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ht="12.75" x14ac:dyDescent="0.2">
      <c r="A917" s="5"/>
      <c r="B917" s="5"/>
      <c r="C917" s="5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ht="12.75" x14ac:dyDescent="0.2">
      <c r="A918" s="5"/>
      <c r="B918" s="5"/>
      <c r="C918" s="5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ht="12.75" x14ac:dyDescent="0.2">
      <c r="A919" s="5"/>
      <c r="B919" s="5"/>
      <c r="C919" s="5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ht="12.75" x14ac:dyDescent="0.2">
      <c r="A920" s="5"/>
      <c r="B920" s="5"/>
      <c r="C920" s="5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ht="12.75" x14ac:dyDescent="0.2">
      <c r="A921" s="5"/>
      <c r="B921" s="5"/>
      <c r="C921" s="5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ht="12.75" x14ac:dyDescent="0.2">
      <c r="A922" s="5"/>
      <c r="B922" s="5"/>
      <c r="C922" s="5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ht="12.75" x14ac:dyDescent="0.2">
      <c r="A923" s="5"/>
      <c r="B923" s="5"/>
      <c r="C923" s="5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ht="12.75" x14ac:dyDescent="0.2">
      <c r="A924" s="5"/>
      <c r="B924" s="5"/>
      <c r="C924" s="5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ht="12.75" x14ac:dyDescent="0.2">
      <c r="A925" s="5"/>
      <c r="B925" s="5"/>
      <c r="C925" s="5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ht="12.75" x14ac:dyDescent="0.2">
      <c r="A926" s="5"/>
      <c r="B926" s="5"/>
      <c r="C926" s="5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ht="12.75" x14ac:dyDescent="0.2">
      <c r="A927" s="5"/>
      <c r="B927" s="5"/>
      <c r="C927" s="5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ht="12.75" x14ac:dyDescent="0.2">
      <c r="A928" s="5"/>
      <c r="B928" s="5"/>
      <c r="C928" s="5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ht="12.75" x14ac:dyDescent="0.2">
      <c r="A929" s="5"/>
      <c r="B929" s="5"/>
      <c r="C929" s="5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ht="12.75" x14ac:dyDescent="0.2">
      <c r="A930" s="5"/>
      <c r="B930" s="5"/>
      <c r="C930" s="5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ht="12.75" x14ac:dyDescent="0.2">
      <c r="A931" s="5"/>
      <c r="B931" s="5"/>
      <c r="C931" s="5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ht="12.75" x14ac:dyDescent="0.2">
      <c r="A932" s="5"/>
      <c r="B932" s="5"/>
      <c r="C932" s="5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ht="12.75" x14ac:dyDescent="0.2">
      <c r="A933" s="5"/>
      <c r="B933" s="5"/>
      <c r="C933" s="5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ht="12.75" x14ac:dyDescent="0.2">
      <c r="A934" s="5"/>
      <c r="B934" s="5"/>
      <c r="C934" s="5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ht="12.75" x14ac:dyDescent="0.2">
      <c r="A935" s="5"/>
      <c r="B935" s="5"/>
      <c r="C935" s="5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ht="12.75" x14ac:dyDescent="0.2">
      <c r="A936" s="5"/>
      <c r="B936" s="5"/>
      <c r="C936" s="5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ht="12.75" x14ac:dyDescent="0.2">
      <c r="A937" s="5"/>
      <c r="B937" s="5"/>
      <c r="C937" s="5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ht="12.75" x14ac:dyDescent="0.2">
      <c r="A938" s="5"/>
      <c r="B938" s="5"/>
      <c r="C938" s="5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ht="12.75" x14ac:dyDescent="0.2">
      <c r="A939" s="5"/>
      <c r="B939" s="5"/>
      <c r="C939" s="5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ht="12.75" x14ac:dyDescent="0.2">
      <c r="A940" s="5"/>
      <c r="B940" s="5"/>
      <c r="C940" s="5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ht="12.75" x14ac:dyDescent="0.2">
      <c r="A941" s="5"/>
      <c r="B941" s="5"/>
      <c r="C941" s="5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ht="12.75" x14ac:dyDescent="0.2">
      <c r="A942" s="5"/>
      <c r="B942" s="5"/>
      <c r="C942" s="5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ht="12.75" x14ac:dyDescent="0.2">
      <c r="A943" s="5"/>
      <c r="B943" s="5"/>
      <c r="C943" s="5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ht="12.75" x14ac:dyDescent="0.2">
      <c r="A944" s="5"/>
      <c r="B944" s="5"/>
      <c r="C944" s="5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ht="12.75" x14ac:dyDescent="0.2">
      <c r="A945" s="5"/>
      <c r="B945" s="5"/>
      <c r="C945" s="5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ht="12.75" x14ac:dyDescent="0.2">
      <c r="A946" s="5"/>
      <c r="B946" s="5"/>
      <c r="C946" s="5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ht="12.75" x14ac:dyDescent="0.2">
      <c r="A947" s="5"/>
      <c r="B947" s="5"/>
      <c r="C947" s="5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ht="12.75" x14ac:dyDescent="0.2">
      <c r="A948" s="5"/>
      <c r="B948" s="5"/>
      <c r="C948" s="5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ht="12.75" x14ac:dyDescent="0.2">
      <c r="A949" s="5"/>
      <c r="B949" s="5"/>
      <c r="C949" s="5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ht="12.75" x14ac:dyDescent="0.2">
      <c r="A950" s="5"/>
      <c r="B950" s="5"/>
      <c r="C950" s="5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ht="12.75" x14ac:dyDescent="0.2">
      <c r="A951" s="5"/>
      <c r="B951" s="5"/>
      <c r="C951" s="5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ht="12.75" x14ac:dyDescent="0.2">
      <c r="A952" s="5"/>
      <c r="B952" s="5"/>
      <c r="C952" s="5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ht="12.75" x14ac:dyDescent="0.2">
      <c r="A953" s="5"/>
      <c r="B953" s="5"/>
      <c r="C953" s="5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ht="12.75" x14ac:dyDescent="0.2">
      <c r="A954" s="5"/>
      <c r="B954" s="5"/>
      <c r="C954" s="5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ht="12.75" x14ac:dyDescent="0.2">
      <c r="A955" s="5"/>
      <c r="B955" s="5"/>
      <c r="C955" s="5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ht="12.75" x14ac:dyDescent="0.2">
      <c r="A956" s="5"/>
      <c r="B956" s="5"/>
      <c r="C956" s="5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ht="12.75" x14ac:dyDescent="0.2">
      <c r="A957" s="5"/>
      <c r="B957" s="5"/>
      <c r="C957" s="5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ht="12.75" x14ac:dyDescent="0.2">
      <c r="A958" s="5"/>
      <c r="B958" s="5"/>
      <c r="C958" s="5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ht="12.75" x14ac:dyDescent="0.2">
      <c r="A959" s="5"/>
      <c r="B959" s="5"/>
      <c r="C959" s="5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ht="12.75" x14ac:dyDescent="0.2">
      <c r="A960" s="5"/>
      <c r="B960" s="5"/>
      <c r="C960" s="5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ht="12.75" x14ac:dyDescent="0.2">
      <c r="A961" s="5"/>
      <c r="B961" s="5"/>
      <c r="C961" s="5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ht="12.75" x14ac:dyDescent="0.2">
      <c r="A962" s="5"/>
      <c r="B962" s="5"/>
      <c r="C962" s="5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ht="12.75" x14ac:dyDescent="0.2">
      <c r="A963" s="5"/>
      <c r="B963" s="5"/>
      <c r="C963" s="5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ht="12.75" x14ac:dyDescent="0.2">
      <c r="A964" s="5"/>
      <c r="B964" s="5"/>
      <c r="C964" s="5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ht="12.75" x14ac:dyDescent="0.2">
      <c r="A965" s="5"/>
      <c r="B965" s="5"/>
      <c r="C965" s="5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ht="12.75" x14ac:dyDescent="0.2">
      <c r="A966" s="5"/>
      <c r="B966" s="5"/>
      <c r="C966" s="5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ht="12.75" x14ac:dyDescent="0.2">
      <c r="A967" s="5"/>
      <c r="B967" s="5"/>
      <c r="C967" s="5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ht="12.75" x14ac:dyDescent="0.2">
      <c r="A968" s="5"/>
      <c r="B968" s="5"/>
      <c r="C968" s="5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ht="12.75" x14ac:dyDescent="0.2">
      <c r="A969" s="5"/>
      <c r="B969" s="5"/>
      <c r="C969" s="5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ht="12.75" x14ac:dyDescent="0.2">
      <c r="A970" s="5"/>
      <c r="B970" s="5"/>
      <c r="C970" s="5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ht="12.75" x14ac:dyDescent="0.2">
      <c r="A971" s="5"/>
      <c r="B971" s="5"/>
      <c r="C971" s="5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ht="12.75" x14ac:dyDescent="0.2">
      <c r="A972" s="5"/>
      <c r="B972" s="5"/>
      <c r="C972" s="5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ht="12.75" x14ac:dyDescent="0.2">
      <c r="A973" s="5"/>
      <c r="B973" s="5"/>
      <c r="C973" s="5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ht="12.75" x14ac:dyDescent="0.2">
      <c r="A974" s="5"/>
      <c r="B974" s="5"/>
      <c r="C974" s="5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ht="12.75" x14ac:dyDescent="0.2">
      <c r="A975" s="5"/>
      <c r="B975" s="5"/>
      <c r="C975" s="5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ht="12.75" x14ac:dyDescent="0.2">
      <c r="A976" s="5"/>
      <c r="B976" s="5"/>
      <c r="C976" s="5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ht="12.75" x14ac:dyDescent="0.2">
      <c r="A977" s="5"/>
      <c r="B977" s="5"/>
      <c r="C977" s="5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ht="12.75" x14ac:dyDescent="0.2">
      <c r="A978" s="5"/>
      <c r="B978" s="5"/>
      <c r="C978" s="5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ht="12.75" x14ac:dyDescent="0.2">
      <c r="A979" s="5"/>
      <c r="B979" s="5"/>
      <c r="C979" s="5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ht="12.75" x14ac:dyDescent="0.2">
      <c r="A980" s="5"/>
      <c r="B980" s="5"/>
      <c r="C980" s="5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ht="12.75" x14ac:dyDescent="0.2">
      <c r="A981" s="5"/>
      <c r="B981" s="5"/>
      <c r="C981" s="5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ht="12.75" x14ac:dyDescent="0.2">
      <c r="A982" s="5"/>
      <c r="B982" s="5"/>
      <c r="C982" s="5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ht="12.75" x14ac:dyDescent="0.2">
      <c r="A983" s="5"/>
      <c r="B983" s="5"/>
      <c r="C983" s="5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ht="12.75" x14ac:dyDescent="0.2">
      <c r="A984" s="5"/>
      <c r="B984" s="5"/>
      <c r="C984" s="5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ht="12.75" x14ac:dyDescent="0.2">
      <c r="A985" s="5"/>
      <c r="B985" s="5"/>
      <c r="C985" s="5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ht="12.75" x14ac:dyDescent="0.2">
      <c r="A986" s="5"/>
      <c r="B986" s="5"/>
      <c r="C986" s="5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ht="12.75" x14ac:dyDescent="0.2">
      <c r="A987" s="5"/>
      <c r="B987" s="5"/>
      <c r="C987" s="5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ht="12.75" x14ac:dyDescent="0.2">
      <c r="A988" s="5"/>
      <c r="B988" s="5"/>
      <c r="C988" s="5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ht="12.75" x14ac:dyDescent="0.2">
      <c r="A989" s="5"/>
      <c r="B989" s="5"/>
      <c r="C989" s="5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ht="12.75" x14ac:dyDescent="0.2">
      <c r="A990" s="5"/>
      <c r="B990" s="5"/>
      <c r="C990" s="5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ht="12.75" x14ac:dyDescent="0.2">
      <c r="A991" s="5"/>
      <c r="B991" s="5"/>
      <c r="C991" s="5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ht="12.75" x14ac:dyDescent="0.2">
      <c r="A992" s="5"/>
      <c r="B992" s="5"/>
      <c r="C992" s="5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ht="12.75" x14ac:dyDescent="0.2">
      <c r="A993" s="5"/>
      <c r="B993" s="5"/>
      <c r="C993" s="5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ht="12.75" x14ac:dyDescent="0.2">
      <c r="A994" s="5"/>
      <c r="B994" s="5"/>
      <c r="C994" s="5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ht="12.75" x14ac:dyDescent="0.2">
      <c r="A995" s="5"/>
      <c r="B995" s="5"/>
      <c r="C995" s="5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ht="12.75" x14ac:dyDescent="0.2">
      <c r="A996" s="5"/>
      <c r="B996" s="5"/>
      <c r="C996" s="5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ht="12.75" x14ac:dyDescent="0.2">
      <c r="A997" s="5"/>
      <c r="B997" s="5"/>
      <c r="C997" s="5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ht="12.75" x14ac:dyDescent="0.2">
      <c r="A998" s="5"/>
      <c r="B998" s="5"/>
      <c r="C998" s="5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ht="12.75" x14ac:dyDescent="0.2">
      <c r="A999" s="5"/>
      <c r="B999" s="5"/>
      <c r="C999" s="5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ht="12.75" x14ac:dyDescent="0.2">
      <c r="A1000" s="5"/>
      <c r="B1000" s="5"/>
      <c r="C1000" s="5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ht="12.75" x14ac:dyDescent="0.2">
      <c r="A1001" s="5"/>
      <c r="B1001" s="5"/>
      <c r="C1001" s="5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ht="12.75" x14ac:dyDescent="0.2">
      <c r="A1002" s="5"/>
      <c r="B1002" s="5"/>
      <c r="C1002" s="5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ht="12.75" x14ac:dyDescent="0.2">
      <c r="A1003" s="5"/>
      <c r="B1003" s="5"/>
      <c r="C1003" s="5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1:15" ht="12.75" x14ac:dyDescent="0.2">
      <c r="A1004" s="5"/>
      <c r="B1004" s="5"/>
      <c r="C1004" s="5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1:15" ht="12.75" x14ac:dyDescent="0.2">
      <c r="A1005" s="5"/>
      <c r="B1005" s="5"/>
      <c r="C1005" s="5"/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1:15" ht="12.75" x14ac:dyDescent="0.2">
      <c r="A1006" s="5"/>
      <c r="B1006" s="5"/>
      <c r="C1006" s="5"/>
      <c r="D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1:15" ht="12.75" x14ac:dyDescent="0.2">
      <c r="A1007" s="5"/>
      <c r="B1007" s="5"/>
      <c r="C1007" s="5"/>
      <c r="D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  <row r="1008" spans="1:15" ht="15.75" customHeight="1" x14ac:dyDescent="0.2">
      <c r="A1008" s="5"/>
      <c r="B1008" s="5"/>
      <c r="C1008" s="5"/>
      <c r="D1008" s="4"/>
      <c r="E1008" s="5"/>
      <c r="F1008" s="5"/>
      <c r="G1008" s="5"/>
      <c r="H1008" s="5"/>
      <c r="I1008" s="5"/>
      <c r="J1008" s="5"/>
      <c r="K1008" s="5"/>
      <c r="L1008" s="5"/>
    </row>
    <row r="1009" spans="1:12" ht="15.75" customHeight="1" x14ac:dyDescent="0.2">
      <c r="A1009" s="5"/>
      <c r="B1009" s="5"/>
      <c r="C1009" s="5"/>
      <c r="D1009" s="4"/>
      <c r="E1009" s="5"/>
      <c r="F1009" s="5"/>
      <c r="G1009" s="5"/>
      <c r="H1009" s="5"/>
      <c r="I1009" s="5"/>
      <c r="J1009" s="5"/>
      <c r="K1009" s="5"/>
      <c r="L1009" s="5"/>
    </row>
  </sheetData>
  <mergeCells count="1">
    <mergeCell ref="A1:L5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55"/>
  <sheetViews>
    <sheetView topLeftCell="A15" zoomScale="85" zoomScaleNormal="85" workbookViewId="0">
      <selection activeCell="E61" sqref="E7:E61"/>
    </sheetView>
  </sheetViews>
  <sheetFormatPr baseColWidth="10" defaultColWidth="12.5703125" defaultRowHeight="15.75" customHeight="1" x14ac:dyDescent="0.2"/>
  <cols>
    <col min="1" max="1" width="12.5703125" customWidth="1"/>
    <col min="2" max="2" width="10.85546875" customWidth="1"/>
    <col min="3" max="3" width="11.5703125" customWidth="1"/>
    <col min="4" max="4" width="16.7109375" customWidth="1"/>
    <col min="5" max="5" width="15.140625" customWidth="1"/>
    <col min="6" max="6" width="13.7109375" customWidth="1"/>
    <col min="7" max="7" width="11.140625" customWidth="1"/>
    <col min="8" max="8" width="26.85546875" customWidth="1"/>
    <col min="9" max="9" width="12.28515625" hidden="1" customWidth="1"/>
    <col min="10" max="10" width="11.28515625" customWidth="1"/>
    <col min="11" max="11" width="26" customWidth="1"/>
    <col min="12" max="12" width="13.5703125" customWidth="1"/>
    <col min="15" max="15" width="17.85546875" customWidth="1"/>
    <col min="16" max="16" width="15" customWidth="1"/>
  </cols>
  <sheetData>
    <row r="1" spans="1:19" ht="12.75" x14ac:dyDescent="0.2">
      <c r="A1" s="207" t="s">
        <v>340</v>
      </c>
      <c r="B1" s="207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5"/>
      <c r="R1" s="5"/>
      <c r="S1" s="5"/>
    </row>
    <row r="2" spans="1:19" ht="12.75" x14ac:dyDescent="0.2">
      <c r="A2" s="210"/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5"/>
      <c r="R2" s="5"/>
      <c r="S2" s="5"/>
    </row>
    <row r="3" spans="1:19" ht="12.75" x14ac:dyDescent="0.2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5"/>
      <c r="R3" s="5"/>
      <c r="S3" s="5"/>
    </row>
    <row r="4" spans="1:19" ht="12.75" x14ac:dyDescent="0.2">
      <c r="A4" s="210"/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  <c r="P4" s="210"/>
      <c r="Q4" s="5"/>
      <c r="R4" s="5"/>
      <c r="S4" s="5"/>
    </row>
    <row r="5" spans="1:19" ht="12.75" x14ac:dyDescent="0.2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5"/>
      <c r="R5" s="5"/>
      <c r="S5" s="5"/>
    </row>
    <row r="6" spans="1:19" ht="25.5" customHeight="1" x14ac:dyDescent="0.2">
      <c r="A6" s="25" t="s">
        <v>302</v>
      </c>
      <c r="B6" s="26" t="s">
        <v>11</v>
      </c>
      <c r="C6" s="27" t="s">
        <v>13</v>
      </c>
      <c r="D6" s="27" t="s">
        <v>12</v>
      </c>
      <c r="E6" s="28" t="s">
        <v>15</v>
      </c>
      <c r="F6" s="29" t="s">
        <v>207</v>
      </c>
      <c r="G6" s="29" t="s">
        <v>208</v>
      </c>
      <c r="H6" s="30" t="s">
        <v>20</v>
      </c>
      <c r="I6" s="30" t="s">
        <v>21</v>
      </c>
      <c r="J6" s="30" t="s">
        <v>22</v>
      </c>
      <c r="K6" s="30" t="s">
        <v>23</v>
      </c>
      <c r="L6" s="31" t="s">
        <v>24</v>
      </c>
      <c r="M6" s="30" t="s">
        <v>26</v>
      </c>
      <c r="N6" s="30" t="s">
        <v>27</v>
      </c>
      <c r="O6" s="27" t="s">
        <v>28</v>
      </c>
      <c r="P6" s="32" t="s">
        <v>29</v>
      </c>
      <c r="Q6" s="32" t="s">
        <v>209</v>
      </c>
      <c r="R6" s="5"/>
      <c r="S6" s="5"/>
    </row>
    <row r="7" spans="1:19" ht="12.75" x14ac:dyDescent="0.2">
      <c r="A7" s="16" t="s">
        <v>341</v>
      </c>
      <c r="B7" s="24" t="s">
        <v>342</v>
      </c>
      <c r="C7" s="9" t="s">
        <v>163</v>
      </c>
      <c r="D7" s="20">
        <v>46083</v>
      </c>
      <c r="E7" s="10">
        <v>30320</v>
      </c>
      <c r="F7" s="9"/>
      <c r="G7" s="9">
        <v>600</v>
      </c>
      <c r="H7" s="9" t="s">
        <v>4</v>
      </c>
      <c r="I7" s="9"/>
      <c r="J7" s="9" t="s">
        <v>143</v>
      </c>
      <c r="K7" s="9" t="s">
        <v>211</v>
      </c>
      <c r="L7" s="9">
        <v>6442611656</v>
      </c>
      <c r="M7" s="11"/>
      <c r="N7" s="11"/>
      <c r="O7" s="11"/>
      <c r="P7" s="17"/>
      <c r="Q7" s="59">
        <v>1928</v>
      </c>
      <c r="R7" s="5"/>
      <c r="S7" s="5"/>
    </row>
    <row r="8" spans="1:19" ht="12.75" x14ac:dyDescent="0.2">
      <c r="A8" s="16" t="s">
        <v>343</v>
      </c>
      <c r="B8" s="24" t="s">
        <v>344</v>
      </c>
      <c r="C8" s="9" t="s">
        <v>163</v>
      </c>
      <c r="D8" s="20">
        <v>46083</v>
      </c>
      <c r="E8" s="10">
        <v>25474</v>
      </c>
      <c r="F8" s="9"/>
      <c r="G8" s="9">
        <v>504</v>
      </c>
      <c r="H8" s="9" t="s">
        <v>4</v>
      </c>
      <c r="I8" s="9"/>
      <c r="J8" s="9" t="s">
        <v>143</v>
      </c>
      <c r="K8" s="9" t="s">
        <v>345</v>
      </c>
      <c r="L8" s="9">
        <v>6443607173</v>
      </c>
      <c r="M8" s="11"/>
      <c r="N8" s="11"/>
      <c r="O8" s="11"/>
      <c r="P8" s="17"/>
      <c r="Q8" s="59">
        <v>1928</v>
      </c>
      <c r="R8" s="5"/>
      <c r="S8" s="5"/>
    </row>
    <row r="9" spans="1:19" ht="12.75" x14ac:dyDescent="0.2">
      <c r="A9" s="16" t="s">
        <v>346</v>
      </c>
      <c r="B9" s="24" t="s">
        <v>347</v>
      </c>
      <c r="C9" s="9" t="s">
        <v>163</v>
      </c>
      <c r="D9" s="20">
        <v>46084</v>
      </c>
      <c r="E9" s="10">
        <v>30190</v>
      </c>
      <c r="F9" s="9"/>
      <c r="G9" s="9">
        <v>600</v>
      </c>
      <c r="H9" s="9" t="s">
        <v>4</v>
      </c>
      <c r="I9" s="9"/>
      <c r="J9" s="9" t="s">
        <v>143</v>
      </c>
      <c r="K9" s="9" t="s">
        <v>215</v>
      </c>
      <c r="L9" s="9">
        <v>6441681913</v>
      </c>
      <c r="M9" s="11"/>
      <c r="N9" s="11"/>
      <c r="O9" s="11"/>
      <c r="P9" s="17"/>
      <c r="Q9" s="59">
        <v>1928</v>
      </c>
      <c r="R9" s="5"/>
      <c r="S9" s="5"/>
    </row>
    <row r="10" spans="1:19" ht="12.75" x14ac:dyDescent="0.2">
      <c r="A10" s="16" t="s">
        <v>348</v>
      </c>
      <c r="B10" s="24" t="s">
        <v>349</v>
      </c>
      <c r="C10" s="9" t="s">
        <v>163</v>
      </c>
      <c r="D10" s="20">
        <v>46084</v>
      </c>
      <c r="E10" s="10">
        <v>30230</v>
      </c>
      <c r="F10" s="9"/>
      <c r="G10" s="9">
        <v>600</v>
      </c>
      <c r="H10" s="9" t="s">
        <v>4</v>
      </c>
      <c r="I10" s="9"/>
      <c r="J10" s="9" t="s">
        <v>143</v>
      </c>
      <c r="K10" s="9" t="s">
        <v>217</v>
      </c>
      <c r="L10" s="9">
        <v>6441895701</v>
      </c>
      <c r="M10" s="11"/>
      <c r="N10" s="11"/>
      <c r="O10" s="11"/>
      <c r="P10" s="17"/>
      <c r="Q10" s="59">
        <v>1928</v>
      </c>
      <c r="R10" s="5"/>
      <c r="S10" s="5"/>
    </row>
    <row r="11" spans="1:19" ht="12.75" x14ac:dyDescent="0.2">
      <c r="A11" s="16" t="s">
        <v>350</v>
      </c>
      <c r="B11" s="24" t="s">
        <v>351</v>
      </c>
      <c r="C11" s="9" t="s">
        <v>163</v>
      </c>
      <c r="D11" s="20">
        <v>46084</v>
      </c>
      <c r="E11" s="10">
        <v>15170</v>
      </c>
      <c r="F11" s="9"/>
      <c r="G11" s="9">
        <v>302</v>
      </c>
      <c r="H11" s="9" t="s">
        <v>4</v>
      </c>
      <c r="I11" s="9"/>
      <c r="J11" s="9" t="s">
        <v>143</v>
      </c>
      <c r="K11" s="9" t="s">
        <v>352</v>
      </c>
      <c r="L11" s="9"/>
      <c r="M11" s="11"/>
      <c r="N11" s="11"/>
      <c r="O11" s="11"/>
      <c r="P11" s="17"/>
      <c r="Q11" s="59">
        <v>1928</v>
      </c>
      <c r="R11" s="5"/>
      <c r="S11" s="5"/>
    </row>
    <row r="12" spans="1:19" ht="12.75" x14ac:dyDescent="0.2">
      <c r="A12" s="16" t="s">
        <v>353</v>
      </c>
      <c r="B12" s="24" t="s">
        <v>354</v>
      </c>
      <c r="C12" s="9" t="s">
        <v>163</v>
      </c>
      <c r="D12" s="20">
        <v>46085</v>
      </c>
      <c r="E12" s="10">
        <v>29970</v>
      </c>
      <c r="F12" s="9"/>
      <c r="G12" s="9">
        <v>600</v>
      </c>
      <c r="H12" s="9" t="s">
        <v>4</v>
      </c>
      <c r="I12" s="9"/>
      <c r="J12" s="9" t="s">
        <v>143</v>
      </c>
      <c r="K12" s="9" t="s">
        <v>211</v>
      </c>
      <c r="L12" s="9"/>
      <c r="M12" s="11"/>
      <c r="N12" s="11"/>
      <c r="O12" s="11"/>
      <c r="P12" s="17"/>
      <c r="Q12" s="59">
        <v>1928</v>
      </c>
      <c r="R12" s="5"/>
      <c r="S12" s="5"/>
    </row>
    <row r="13" spans="1:19" ht="12.75" x14ac:dyDescent="0.2">
      <c r="A13" s="16" t="s">
        <v>355</v>
      </c>
      <c r="B13" s="24" t="s">
        <v>356</v>
      </c>
      <c r="C13" s="9" t="s">
        <v>163</v>
      </c>
      <c r="D13" s="20">
        <v>46085</v>
      </c>
      <c r="E13" s="10">
        <v>30040</v>
      </c>
      <c r="F13" s="9"/>
      <c r="G13" s="9">
        <v>600</v>
      </c>
      <c r="H13" s="9" t="s">
        <v>4</v>
      </c>
      <c r="I13" s="9"/>
      <c r="J13" s="9" t="s">
        <v>143</v>
      </c>
      <c r="K13" s="9" t="s">
        <v>215</v>
      </c>
      <c r="L13" s="9">
        <v>6441681913</v>
      </c>
      <c r="M13" s="11"/>
      <c r="N13" s="11"/>
      <c r="O13" s="11"/>
      <c r="P13" s="17"/>
      <c r="Q13" s="59">
        <v>1928</v>
      </c>
      <c r="R13" s="5"/>
      <c r="S13" s="5"/>
    </row>
    <row r="14" spans="1:19" ht="12.75" x14ac:dyDescent="0.2">
      <c r="A14" s="16" t="s">
        <v>357</v>
      </c>
      <c r="B14" s="24" t="s">
        <v>358</v>
      </c>
      <c r="C14" s="9" t="s">
        <v>163</v>
      </c>
      <c r="D14" s="20">
        <v>46085</v>
      </c>
      <c r="E14" s="10">
        <v>30460</v>
      </c>
      <c r="F14" s="9"/>
      <c r="G14" s="9">
        <v>600</v>
      </c>
      <c r="H14" s="9" t="s">
        <v>4</v>
      </c>
      <c r="I14" s="9"/>
      <c r="J14" s="9" t="s">
        <v>143</v>
      </c>
      <c r="K14" s="9" t="s">
        <v>345</v>
      </c>
      <c r="L14" s="9">
        <v>6443607173</v>
      </c>
      <c r="M14" s="11"/>
      <c r="N14" s="11"/>
      <c r="O14" s="11"/>
      <c r="P14" s="17"/>
      <c r="Q14" s="59">
        <v>1928</v>
      </c>
      <c r="R14" s="5"/>
      <c r="S14" s="5"/>
    </row>
    <row r="15" spans="1:19" ht="12.75" x14ac:dyDescent="0.2">
      <c r="A15" s="16" t="s">
        <v>359</v>
      </c>
      <c r="B15" s="24" t="s">
        <v>360</v>
      </c>
      <c r="C15" s="9" t="s">
        <v>163</v>
      </c>
      <c r="D15" s="20">
        <v>46086</v>
      </c>
      <c r="E15" s="10">
        <v>29850</v>
      </c>
      <c r="F15" s="9"/>
      <c r="G15" s="9">
        <v>600</v>
      </c>
      <c r="H15" s="9" t="s">
        <v>4</v>
      </c>
      <c r="I15" s="9"/>
      <c r="J15" s="9" t="s">
        <v>143</v>
      </c>
      <c r="K15" s="9" t="s">
        <v>217</v>
      </c>
      <c r="L15" s="9">
        <v>6441895701</v>
      </c>
      <c r="M15" s="11"/>
      <c r="N15" s="11"/>
      <c r="O15" s="11"/>
      <c r="P15" s="17"/>
      <c r="Q15" s="59">
        <v>1928</v>
      </c>
      <c r="R15" s="5"/>
      <c r="S15" s="5"/>
    </row>
    <row r="16" spans="1:19" ht="12.75" x14ac:dyDescent="0.2">
      <c r="A16" s="16" t="s">
        <v>361</v>
      </c>
      <c r="B16" s="24" t="s">
        <v>362</v>
      </c>
      <c r="C16" s="9" t="s">
        <v>163</v>
      </c>
      <c r="D16" s="20">
        <v>46086</v>
      </c>
      <c r="E16" s="10">
        <v>30480</v>
      </c>
      <c r="F16" s="9"/>
      <c r="G16" s="9">
        <v>600</v>
      </c>
      <c r="H16" s="9" t="s">
        <v>4</v>
      </c>
      <c r="I16" s="9"/>
      <c r="J16" s="9" t="s">
        <v>143</v>
      </c>
      <c r="K16" s="9" t="s">
        <v>211</v>
      </c>
      <c r="L16" s="9">
        <v>6442611656</v>
      </c>
      <c r="M16" s="11"/>
      <c r="N16" s="11"/>
      <c r="O16" s="11"/>
      <c r="P16" s="17"/>
      <c r="Q16" s="59">
        <v>1928</v>
      </c>
      <c r="R16" s="5"/>
      <c r="S16" s="5"/>
    </row>
    <row r="17" spans="1:19" ht="12.75" x14ac:dyDescent="0.2">
      <c r="A17" s="16" t="s">
        <v>363</v>
      </c>
      <c r="B17" s="24" t="s">
        <v>364</v>
      </c>
      <c r="C17" s="9" t="s">
        <v>163</v>
      </c>
      <c r="D17" s="20">
        <v>46086</v>
      </c>
      <c r="E17" s="10">
        <v>30220</v>
      </c>
      <c r="F17" s="9"/>
      <c r="G17" s="9">
        <v>600</v>
      </c>
      <c r="H17" s="9" t="s">
        <v>4</v>
      </c>
      <c r="I17" s="9"/>
      <c r="J17" s="9" t="s">
        <v>143</v>
      </c>
      <c r="K17" s="9" t="s">
        <v>215</v>
      </c>
      <c r="L17" s="9">
        <v>6441681413</v>
      </c>
      <c r="M17" s="11"/>
      <c r="N17" s="11"/>
      <c r="O17" s="11"/>
      <c r="P17" s="17"/>
      <c r="Q17" s="59">
        <v>1928</v>
      </c>
      <c r="R17" s="5"/>
      <c r="S17" s="5"/>
    </row>
    <row r="18" spans="1:19" ht="12.75" x14ac:dyDescent="0.2">
      <c r="A18" s="16" t="s">
        <v>365</v>
      </c>
      <c r="B18" s="24" t="s">
        <v>366</v>
      </c>
      <c r="C18" s="9" t="s">
        <v>163</v>
      </c>
      <c r="D18" s="20">
        <v>46087</v>
      </c>
      <c r="E18" s="10">
        <v>30570</v>
      </c>
      <c r="F18" s="9"/>
      <c r="G18" s="9">
        <v>600</v>
      </c>
      <c r="H18" s="9" t="s">
        <v>4</v>
      </c>
      <c r="I18" s="9"/>
      <c r="J18" s="9" t="s">
        <v>143</v>
      </c>
      <c r="K18" s="9" t="s">
        <v>367</v>
      </c>
      <c r="L18" s="9">
        <v>6443607173</v>
      </c>
      <c r="M18" s="11"/>
      <c r="N18" s="11"/>
      <c r="O18" s="11"/>
      <c r="P18" s="17"/>
      <c r="Q18" s="59">
        <v>1928</v>
      </c>
      <c r="R18" s="5"/>
      <c r="S18" s="5"/>
    </row>
    <row r="19" spans="1:19" ht="12.75" x14ac:dyDescent="0.2">
      <c r="A19" s="16" t="s">
        <v>368</v>
      </c>
      <c r="B19" s="24" t="s">
        <v>369</v>
      </c>
      <c r="C19" s="9" t="s">
        <v>163</v>
      </c>
      <c r="D19" s="20">
        <v>46087</v>
      </c>
      <c r="E19" s="10">
        <v>30470</v>
      </c>
      <c r="F19" s="9"/>
      <c r="G19" s="9">
        <v>600</v>
      </c>
      <c r="H19" s="9" t="s">
        <v>4</v>
      </c>
      <c r="I19" s="9"/>
      <c r="J19" s="9" t="s">
        <v>143</v>
      </c>
      <c r="K19" s="9" t="s">
        <v>217</v>
      </c>
      <c r="L19" s="9">
        <v>6441895701</v>
      </c>
      <c r="M19" s="11"/>
      <c r="N19" s="11"/>
      <c r="O19" s="11"/>
      <c r="P19" s="17"/>
      <c r="Q19" s="59">
        <v>1928</v>
      </c>
      <c r="R19" s="5"/>
      <c r="S19" s="5"/>
    </row>
    <row r="20" spans="1:19" ht="12.75" x14ac:dyDescent="0.2">
      <c r="A20" s="16" t="s">
        <v>370</v>
      </c>
      <c r="B20" s="24" t="s">
        <v>371</v>
      </c>
      <c r="C20" s="9" t="s">
        <v>163</v>
      </c>
      <c r="D20" s="20">
        <v>46087</v>
      </c>
      <c r="E20" s="10">
        <v>30380</v>
      </c>
      <c r="F20" s="9"/>
      <c r="G20" s="9">
        <v>600</v>
      </c>
      <c r="H20" s="9" t="s">
        <v>4</v>
      </c>
      <c r="I20" s="9"/>
      <c r="J20" s="9" t="s">
        <v>143</v>
      </c>
      <c r="K20" s="9" t="s">
        <v>211</v>
      </c>
      <c r="L20" s="9">
        <v>6442611656</v>
      </c>
      <c r="M20" s="11"/>
      <c r="N20" s="11"/>
      <c r="O20" s="11"/>
      <c r="P20" s="17"/>
      <c r="Q20" s="59">
        <v>1928</v>
      </c>
      <c r="R20" s="5"/>
      <c r="S20" s="5"/>
    </row>
    <row r="21" spans="1:19" ht="12.75" x14ac:dyDescent="0.2">
      <c r="A21" s="16" t="s">
        <v>372</v>
      </c>
      <c r="B21" s="24" t="s">
        <v>373</v>
      </c>
      <c r="C21" s="9" t="s">
        <v>163</v>
      </c>
      <c r="D21" s="20">
        <v>46088</v>
      </c>
      <c r="E21" s="10">
        <v>30270</v>
      </c>
      <c r="F21" s="9"/>
      <c r="G21" s="9">
        <v>600</v>
      </c>
      <c r="H21" s="9" t="s">
        <v>4</v>
      </c>
      <c r="I21" s="9"/>
      <c r="J21" s="9" t="s">
        <v>143</v>
      </c>
      <c r="K21" s="9" t="s">
        <v>215</v>
      </c>
      <c r="L21" s="9">
        <v>6441681913</v>
      </c>
      <c r="M21" s="11"/>
      <c r="N21" s="11"/>
      <c r="O21" s="11"/>
      <c r="P21" s="17"/>
      <c r="Q21" s="59">
        <v>1928</v>
      </c>
      <c r="R21" s="5"/>
      <c r="S21" s="5"/>
    </row>
    <row r="22" spans="1:19" ht="12.75" x14ac:dyDescent="0.2">
      <c r="A22" s="16" t="s">
        <v>374</v>
      </c>
      <c r="B22" s="24" t="s">
        <v>375</v>
      </c>
      <c r="C22" s="9" t="s">
        <v>163</v>
      </c>
      <c r="D22" s="20">
        <v>46088</v>
      </c>
      <c r="E22" s="10">
        <v>30020</v>
      </c>
      <c r="F22" s="9"/>
      <c r="G22" s="9">
        <v>600</v>
      </c>
      <c r="H22" s="9" t="s">
        <v>4</v>
      </c>
      <c r="I22" s="9"/>
      <c r="J22" s="9" t="s">
        <v>143</v>
      </c>
      <c r="K22" s="9" t="s">
        <v>345</v>
      </c>
      <c r="L22" s="9">
        <v>6443607173</v>
      </c>
      <c r="M22" s="11"/>
      <c r="N22" s="11"/>
      <c r="O22" s="11"/>
      <c r="P22" s="17"/>
      <c r="Q22" s="59">
        <v>1928</v>
      </c>
      <c r="R22" s="5"/>
      <c r="S22" s="5"/>
    </row>
    <row r="23" spans="1:19" ht="12.75" x14ac:dyDescent="0.2">
      <c r="A23" s="16" t="s">
        <v>376</v>
      </c>
      <c r="B23" s="24" t="s">
        <v>373</v>
      </c>
      <c r="C23" s="9" t="s">
        <v>163</v>
      </c>
      <c r="D23" s="20">
        <v>46088</v>
      </c>
      <c r="E23" s="10">
        <v>30250</v>
      </c>
      <c r="F23" s="9"/>
      <c r="G23" s="9">
        <v>600</v>
      </c>
      <c r="H23" s="9" t="s">
        <v>4</v>
      </c>
      <c r="I23" s="9"/>
      <c r="J23" s="9" t="s">
        <v>143</v>
      </c>
      <c r="K23" s="9" t="s">
        <v>217</v>
      </c>
      <c r="L23" s="9">
        <f>+L19</f>
        <v>6441895701</v>
      </c>
      <c r="M23" s="11"/>
      <c r="N23" s="11"/>
      <c r="O23" s="11"/>
      <c r="P23" s="17"/>
      <c r="Q23" s="59">
        <v>1928</v>
      </c>
      <c r="R23" s="5"/>
      <c r="S23" s="5"/>
    </row>
    <row r="24" spans="1:19" ht="12.75" x14ac:dyDescent="0.2">
      <c r="A24" s="16" t="s">
        <v>248</v>
      </c>
      <c r="B24" s="24" t="s">
        <v>304</v>
      </c>
      <c r="C24" s="9" t="s">
        <v>163</v>
      </c>
      <c r="D24" s="20">
        <v>46089</v>
      </c>
      <c r="E24" s="10">
        <f>30330-22050</f>
        <v>8280</v>
      </c>
      <c r="F24" s="9"/>
      <c r="G24" s="9">
        <v>162</v>
      </c>
      <c r="H24" s="9" t="s">
        <v>4</v>
      </c>
      <c r="I24" s="9"/>
      <c r="J24" s="9" t="s">
        <v>143</v>
      </c>
      <c r="K24" s="9" t="s">
        <v>249</v>
      </c>
      <c r="L24" s="9"/>
      <c r="M24" s="11"/>
      <c r="N24" s="11"/>
      <c r="O24" s="11"/>
      <c r="P24" s="17"/>
      <c r="Q24" s="59">
        <v>1928</v>
      </c>
      <c r="R24" s="5"/>
      <c r="S24" s="5"/>
    </row>
    <row r="25" spans="1:19" ht="12.75" x14ac:dyDescent="0.2">
      <c r="A25" s="16" t="s">
        <v>377</v>
      </c>
      <c r="B25" s="24" t="s">
        <v>378</v>
      </c>
      <c r="C25" s="9" t="s">
        <v>163</v>
      </c>
      <c r="D25" s="20">
        <v>46089</v>
      </c>
      <c r="E25" s="10">
        <v>30220</v>
      </c>
      <c r="F25" s="9"/>
      <c r="G25" s="9">
        <v>600</v>
      </c>
      <c r="H25" s="9" t="s">
        <v>4</v>
      </c>
      <c r="I25" s="9"/>
      <c r="J25" s="9" t="s">
        <v>143</v>
      </c>
      <c r="K25" s="9" t="s">
        <v>211</v>
      </c>
      <c r="L25" s="9"/>
      <c r="M25" s="11"/>
      <c r="N25" s="11"/>
      <c r="O25" s="11"/>
      <c r="P25" s="17"/>
      <c r="Q25" s="59">
        <v>1928</v>
      </c>
      <c r="R25" s="5"/>
      <c r="S25" s="5"/>
    </row>
    <row r="26" spans="1:19" ht="12.75" x14ac:dyDescent="0.2">
      <c r="A26" s="16" t="s">
        <v>379</v>
      </c>
      <c r="B26" s="24" t="s">
        <v>380</v>
      </c>
      <c r="C26" s="9" t="s">
        <v>163</v>
      </c>
      <c r="D26" s="20">
        <v>46089</v>
      </c>
      <c r="E26" s="10">
        <v>13950</v>
      </c>
      <c r="F26" s="9"/>
      <c r="G26" s="9">
        <v>288</v>
      </c>
      <c r="H26" s="9" t="s">
        <v>4</v>
      </c>
      <c r="I26" s="9"/>
      <c r="J26" s="9" t="s">
        <v>143</v>
      </c>
      <c r="K26" s="9" t="s">
        <v>234</v>
      </c>
      <c r="L26" s="9"/>
      <c r="M26" s="11"/>
      <c r="N26" s="11"/>
      <c r="O26" s="11"/>
      <c r="P26" s="17"/>
      <c r="Q26" s="59">
        <v>1928</v>
      </c>
      <c r="R26" s="5"/>
      <c r="S26" s="5"/>
    </row>
    <row r="27" spans="1:19" ht="12.75" x14ac:dyDescent="0.2">
      <c r="A27" s="16" t="s">
        <v>381</v>
      </c>
      <c r="B27" s="24" t="s">
        <v>382</v>
      </c>
      <c r="C27" s="9" t="s">
        <v>163</v>
      </c>
      <c r="D27" s="20">
        <v>46090</v>
      </c>
      <c r="E27" s="10">
        <v>30920</v>
      </c>
      <c r="F27" s="9"/>
      <c r="G27" s="9">
        <v>600</v>
      </c>
      <c r="H27" s="9" t="s">
        <v>4</v>
      </c>
      <c r="I27" s="9"/>
      <c r="J27" s="9" t="s">
        <v>143</v>
      </c>
      <c r="K27" s="9" t="s">
        <v>215</v>
      </c>
      <c r="L27" s="9">
        <v>6441681913</v>
      </c>
      <c r="M27" s="11"/>
      <c r="N27" s="11"/>
      <c r="O27" s="11"/>
      <c r="P27" s="17"/>
      <c r="Q27" s="59">
        <v>1928</v>
      </c>
      <c r="R27" s="5"/>
      <c r="S27" s="5"/>
    </row>
    <row r="28" spans="1:19" ht="12.75" x14ac:dyDescent="0.2">
      <c r="A28" s="16" t="s">
        <v>383</v>
      </c>
      <c r="B28" s="24" t="s">
        <v>384</v>
      </c>
      <c r="C28" s="9" t="s">
        <v>163</v>
      </c>
      <c r="D28" s="20">
        <v>46090</v>
      </c>
      <c r="E28" s="10">
        <v>30940</v>
      </c>
      <c r="F28" s="9"/>
      <c r="G28" s="9">
        <v>615</v>
      </c>
      <c r="H28" s="9" t="s">
        <v>4</v>
      </c>
      <c r="I28" s="9"/>
      <c r="J28" s="9" t="s">
        <v>143</v>
      </c>
      <c r="K28" s="9" t="s">
        <v>345</v>
      </c>
      <c r="L28" s="9">
        <v>6443607173</v>
      </c>
      <c r="M28" s="11"/>
      <c r="N28" s="11"/>
      <c r="O28" s="11"/>
      <c r="P28" s="17"/>
      <c r="Q28" s="59">
        <v>1928</v>
      </c>
      <c r="R28" s="5"/>
      <c r="S28" s="5"/>
    </row>
    <row r="29" spans="1:19" ht="12.75" x14ac:dyDescent="0.2">
      <c r="A29" s="16" t="s">
        <v>385</v>
      </c>
      <c r="B29" s="24" t="s">
        <v>386</v>
      </c>
      <c r="C29" s="9" t="s">
        <v>163</v>
      </c>
      <c r="D29" s="20">
        <v>46091</v>
      </c>
      <c r="E29" s="10">
        <v>31030</v>
      </c>
      <c r="F29" s="9"/>
      <c r="G29" s="9">
        <v>600</v>
      </c>
      <c r="H29" s="9" t="s">
        <v>4</v>
      </c>
      <c r="I29" s="9"/>
      <c r="J29" s="9" t="s">
        <v>143</v>
      </c>
      <c r="K29" s="9" t="s">
        <v>217</v>
      </c>
      <c r="L29" s="9"/>
      <c r="M29" s="11"/>
      <c r="N29" s="11"/>
      <c r="O29" s="11"/>
      <c r="P29" s="17"/>
      <c r="Q29" s="59">
        <v>1928</v>
      </c>
      <c r="R29" s="5"/>
      <c r="S29" s="5"/>
    </row>
    <row r="30" spans="1:19" ht="12.75" x14ac:dyDescent="0.2">
      <c r="A30" s="16" t="s">
        <v>387</v>
      </c>
      <c r="B30" s="24" t="s">
        <v>388</v>
      </c>
      <c r="C30" s="9" t="s">
        <v>163</v>
      </c>
      <c r="D30" s="20">
        <v>46091</v>
      </c>
      <c r="E30" s="10">
        <v>31500</v>
      </c>
      <c r="F30" s="9"/>
      <c r="G30" s="9">
        <v>600</v>
      </c>
      <c r="H30" s="9" t="s">
        <v>4</v>
      </c>
      <c r="I30" s="9"/>
      <c r="J30" s="9" t="s">
        <v>143</v>
      </c>
      <c r="K30" s="9" t="s">
        <v>389</v>
      </c>
      <c r="L30" s="9">
        <v>6421502126</v>
      </c>
      <c r="M30" s="11"/>
      <c r="N30" s="11"/>
      <c r="O30" s="11"/>
      <c r="P30" s="17"/>
      <c r="Q30" s="59">
        <v>1928</v>
      </c>
      <c r="R30" s="5"/>
      <c r="S30" s="5"/>
    </row>
    <row r="31" spans="1:19" ht="12.75" x14ac:dyDescent="0.2">
      <c r="A31" s="16" t="s">
        <v>390</v>
      </c>
      <c r="B31" s="24" t="s">
        <v>391</v>
      </c>
      <c r="C31" s="9" t="s">
        <v>163</v>
      </c>
      <c r="D31" s="20">
        <v>46091</v>
      </c>
      <c r="E31" s="10">
        <v>30240</v>
      </c>
      <c r="F31" s="9"/>
      <c r="G31" s="9">
        <v>600</v>
      </c>
      <c r="H31" s="9" t="s">
        <v>4</v>
      </c>
      <c r="I31" s="9"/>
      <c r="J31" s="9" t="s">
        <v>143</v>
      </c>
      <c r="K31" s="9" t="s">
        <v>211</v>
      </c>
      <c r="L31" s="9"/>
      <c r="M31" s="11"/>
      <c r="N31" s="11"/>
      <c r="O31" s="11"/>
      <c r="P31" s="17"/>
      <c r="Q31" s="59">
        <v>1928</v>
      </c>
      <c r="R31" s="5"/>
      <c r="S31" s="5"/>
    </row>
    <row r="32" spans="1:19" ht="12.75" x14ac:dyDescent="0.2">
      <c r="A32" s="16" t="s">
        <v>392</v>
      </c>
      <c r="B32" s="24" t="s">
        <v>393</v>
      </c>
      <c r="C32" s="9" t="s">
        <v>163</v>
      </c>
      <c r="D32" s="20">
        <v>46091</v>
      </c>
      <c r="E32" s="10">
        <v>30870</v>
      </c>
      <c r="F32" s="9"/>
      <c r="G32" s="9">
        <v>600</v>
      </c>
      <c r="H32" s="9" t="s">
        <v>4</v>
      </c>
      <c r="I32" s="9"/>
      <c r="J32" s="9" t="s">
        <v>143</v>
      </c>
      <c r="K32" s="9" t="s">
        <v>241</v>
      </c>
      <c r="L32" s="9"/>
      <c r="M32" s="11"/>
      <c r="N32" s="11"/>
      <c r="O32" s="11"/>
      <c r="P32" s="17"/>
      <c r="Q32" s="59">
        <v>1928</v>
      </c>
      <c r="R32" s="5"/>
      <c r="S32" s="5"/>
    </row>
    <row r="33" spans="1:20" ht="12.75" x14ac:dyDescent="0.2">
      <c r="A33" s="16" t="s">
        <v>394</v>
      </c>
      <c r="B33" s="24" t="s">
        <v>395</v>
      </c>
      <c r="C33" s="9" t="s">
        <v>163</v>
      </c>
      <c r="D33" s="20">
        <v>46091</v>
      </c>
      <c r="E33" s="10">
        <v>30040</v>
      </c>
      <c r="F33" s="9"/>
      <c r="G33" s="9">
        <v>600</v>
      </c>
      <c r="H33" s="9" t="s">
        <v>4</v>
      </c>
      <c r="I33" s="9"/>
      <c r="J33" s="9" t="s">
        <v>143</v>
      </c>
      <c r="K33" s="9" t="s">
        <v>215</v>
      </c>
      <c r="L33" s="9">
        <v>6441681913</v>
      </c>
      <c r="M33" s="11"/>
      <c r="N33" s="11"/>
      <c r="O33" s="11"/>
      <c r="P33" s="17"/>
      <c r="Q33" s="59">
        <v>1928</v>
      </c>
      <c r="R33" s="5"/>
      <c r="S33" s="5"/>
    </row>
    <row r="34" spans="1:20" ht="12.75" x14ac:dyDescent="0.2">
      <c r="A34" s="16" t="s">
        <v>396</v>
      </c>
      <c r="B34" s="24" t="s">
        <v>397</v>
      </c>
      <c r="C34" s="9" t="s">
        <v>163</v>
      </c>
      <c r="D34" s="20">
        <v>46091</v>
      </c>
      <c r="E34" s="10">
        <v>28040</v>
      </c>
      <c r="F34" s="9"/>
      <c r="G34" s="9">
        <v>556</v>
      </c>
      <c r="H34" s="9" t="s">
        <v>4</v>
      </c>
      <c r="I34" s="9"/>
      <c r="J34" s="9" t="s">
        <v>143</v>
      </c>
      <c r="K34" s="9" t="s">
        <v>345</v>
      </c>
      <c r="L34" s="9"/>
      <c r="M34" s="11"/>
      <c r="N34" s="11"/>
      <c r="O34" s="11"/>
      <c r="P34" s="17"/>
      <c r="Q34" s="59">
        <v>1928</v>
      </c>
      <c r="R34" s="5"/>
      <c r="S34" s="5"/>
    </row>
    <row r="35" spans="1:20" ht="12.75" x14ac:dyDescent="0.2">
      <c r="A35" s="16" t="s">
        <v>398</v>
      </c>
      <c r="B35" s="24" t="s">
        <v>399</v>
      </c>
      <c r="C35" s="9" t="s">
        <v>163</v>
      </c>
      <c r="D35" s="20">
        <v>46092</v>
      </c>
      <c r="E35" s="10">
        <v>32110</v>
      </c>
      <c r="F35" s="9"/>
      <c r="G35" s="9">
        <v>600</v>
      </c>
      <c r="H35" s="9" t="s">
        <v>4</v>
      </c>
      <c r="I35" s="9"/>
      <c r="J35" s="9" t="s">
        <v>143</v>
      </c>
      <c r="K35" s="9" t="s">
        <v>217</v>
      </c>
      <c r="L35" s="9"/>
      <c r="M35" s="11"/>
      <c r="N35" s="11"/>
      <c r="O35" s="11"/>
      <c r="P35" s="17"/>
      <c r="Q35" s="59">
        <v>1928</v>
      </c>
      <c r="R35" s="5"/>
      <c r="S35" s="5"/>
    </row>
    <row r="36" spans="1:20" ht="12.75" x14ac:dyDescent="0.2">
      <c r="A36" s="16" t="s">
        <v>400</v>
      </c>
      <c r="B36" s="24" t="s">
        <v>401</v>
      </c>
      <c r="C36" s="9" t="s">
        <v>163</v>
      </c>
      <c r="D36" s="20">
        <v>46092</v>
      </c>
      <c r="E36" s="10">
        <v>30410</v>
      </c>
      <c r="F36" s="9"/>
      <c r="G36" s="9">
        <v>600</v>
      </c>
      <c r="H36" s="9" t="s">
        <v>4</v>
      </c>
      <c r="I36" s="9"/>
      <c r="J36" s="9" t="s">
        <v>143</v>
      </c>
      <c r="K36" s="9" t="s">
        <v>389</v>
      </c>
      <c r="L36" s="9"/>
      <c r="M36" s="11"/>
      <c r="N36" s="11"/>
      <c r="O36" s="11"/>
      <c r="P36" s="17"/>
      <c r="Q36" s="59">
        <v>1928</v>
      </c>
      <c r="R36" s="5"/>
      <c r="S36" s="5"/>
    </row>
    <row r="37" spans="1:20" ht="12.75" x14ac:dyDescent="0.2">
      <c r="A37" s="16" t="s">
        <v>402</v>
      </c>
      <c r="B37" s="24" t="s">
        <v>403</v>
      </c>
      <c r="C37" s="9" t="s">
        <v>163</v>
      </c>
      <c r="D37" s="20">
        <v>46092</v>
      </c>
      <c r="E37" s="10">
        <v>30550</v>
      </c>
      <c r="F37" s="9"/>
      <c r="G37" s="9">
        <v>600</v>
      </c>
      <c r="H37" s="9" t="s">
        <v>4</v>
      </c>
      <c r="I37" s="9"/>
      <c r="J37" s="9" t="s">
        <v>143</v>
      </c>
      <c r="K37" s="9" t="s">
        <v>211</v>
      </c>
      <c r="L37" s="9"/>
      <c r="M37" s="11"/>
      <c r="N37" s="11"/>
      <c r="O37" s="11"/>
      <c r="P37" s="17"/>
      <c r="Q37" s="59">
        <v>1928</v>
      </c>
      <c r="R37" s="5"/>
      <c r="S37" s="5"/>
    </row>
    <row r="38" spans="1:20" ht="12.75" x14ac:dyDescent="0.2">
      <c r="A38" s="58" t="s">
        <v>306</v>
      </c>
      <c r="B38" s="24" t="s">
        <v>307</v>
      </c>
      <c r="C38" s="9" t="s">
        <v>163</v>
      </c>
      <c r="D38" s="20">
        <v>46093</v>
      </c>
      <c r="E38" s="10">
        <v>1295</v>
      </c>
      <c r="F38" s="9"/>
      <c r="G38" s="9">
        <v>25</v>
      </c>
      <c r="H38" s="9" t="s">
        <v>4</v>
      </c>
      <c r="I38" s="9"/>
      <c r="J38" s="9" t="s">
        <v>143</v>
      </c>
      <c r="K38" s="9" t="s">
        <v>308</v>
      </c>
      <c r="L38" s="9"/>
      <c r="M38" s="11"/>
      <c r="N38" s="11"/>
      <c r="O38" s="11"/>
      <c r="P38" s="9"/>
      <c r="Q38" s="9">
        <v>1928</v>
      </c>
      <c r="R38" s="208" t="s">
        <v>253</v>
      </c>
      <c r="S38" s="209"/>
      <c r="T38" s="209"/>
    </row>
    <row r="39" spans="1:20" ht="12.75" x14ac:dyDescent="0.2">
      <c r="A39" s="58" t="s">
        <v>404</v>
      </c>
      <c r="B39" s="24" t="s">
        <v>405</v>
      </c>
      <c r="C39" s="9" t="s">
        <v>163</v>
      </c>
      <c r="D39" s="20">
        <v>46098</v>
      </c>
      <c r="E39" s="10">
        <v>30610</v>
      </c>
      <c r="F39" s="9"/>
      <c r="G39" s="9">
        <v>600</v>
      </c>
      <c r="H39" s="9" t="s">
        <v>4</v>
      </c>
      <c r="I39" s="9"/>
      <c r="J39" s="9" t="s">
        <v>143</v>
      </c>
      <c r="K39" s="9" t="s">
        <v>211</v>
      </c>
      <c r="L39" s="9"/>
      <c r="M39" s="11"/>
      <c r="N39" s="11"/>
      <c r="O39" s="11"/>
      <c r="P39" s="9"/>
      <c r="Q39" s="9">
        <v>405</v>
      </c>
      <c r="R39" s="5"/>
      <c r="S39" s="5"/>
    </row>
    <row r="40" spans="1:20" ht="12.75" x14ac:dyDescent="0.2">
      <c r="A40" s="58" t="s">
        <v>406</v>
      </c>
      <c r="B40" s="24" t="s">
        <v>315</v>
      </c>
      <c r="C40" s="9" t="s">
        <v>163</v>
      </c>
      <c r="D40" s="20">
        <v>46099</v>
      </c>
      <c r="E40" s="10">
        <v>17903</v>
      </c>
      <c r="F40" s="9"/>
      <c r="G40" s="9">
        <v>354</v>
      </c>
      <c r="H40" s="9" t="s">
        <v>4</v>
      </c>
      <c r="I40" s="9"/>
      <c r="J40" s="9" t="s">
        <v>143</v>
      </c>
      <c r="K40" s="9" t="s">
        <v>316</v>
      </c>
      <c r="L40" s="9"/>
      <c r="M40" s="11"/>
      <c r="N40" s="11"/>
      <c r="O40" s="11"/>
      <c r="P40" s="9"/>
      <c r="Q40" s="9">
        <v>405</v>
      </c>
      <c r="R40" s="5"/>
      <c r="S40" s="5"/>
    </row>
    <row r="41" spans="1:20" ht="12.75" x14ac:dyDescent="0.2">
      <c r="A41" s="58" t="s">
        <v>407</v>
      </c>
      <c r="B41" s="24" t="s">
        <v>408</v>
      </c>
      <c r="C41" s="9" t="s">
        <v>163</v>
      </c>
      <c r="D41" s="20">
        <v>46099</v>
      </c>
      <c r="E41" s="10">
        <v>30920</v>
      </c>
      <c r="F41" s="9"/>
      <c r="G41" s="9">
        <v>595</v>
      </c>
      <c r="H41" s="9" t="s">
        <v>4</v>
      </c>
      <c r="I41" s="9"/>
      <c r="J41" s="9" t="s">
        <v>143</v>
      </c>
      <c r="K41" s="9" t="s">
        <v>217</v>
      </c>
      <c r="L41" s="9"/>
      <c r="M41" s="11"/>
      <c r="N41" s="11"/>
      <c r="O41" s="11"/>
      <c r="P41" s="9"/>
      <c r="Q41" s="9">
        <v>405</v>
      </c>
      <c r="R41" s="5"/>
      <c r="S41" s="5"/>
    </row>
    <row r="42" spans="1:20" ht="12.75" x14ac:dyDescent="0.2">
      <c r="A42" s="58" t="s">
        <v>409</v>
      </c>
      <c r="B42" s="24" t="s">
        <v>410</v>
      </c>
      <c r="C42" s="9" t="s">
        <v>163</v>
      </c>
      <c r="D42" s="20">
        <v>46099</v>
      </c>
      <c r="E42" s="10">
        <v>29760</v>
      </c>
      <c r="F42" s="9"/>
      <c r="G42" s="9">
        <v>600</v>
      </c>
      <c r="H42" s="9" t="s">
        <v>4</v>
      </c>
      <c r="I42" s="9"/>
      <c r="J42" s="9" t="s">
        <v>143</v>
      </c>
      <c r="K42" s="9" t="s">
        <v>211</v>
      </c>
      <c r="L42" s="9"/>
      <c r="M42" s="11"/>
      <c r="N42" s="11"/>
      <c r="O42" s="11"/>
      <c r="P42" s="9"/>
      <c r="Q42" s="9">
        <v>405</v>
      </c>
      <c r="R42" s="5"/>
      <c r="S42" s="5"/>
    </row>
    <row r="43" spans="1:20" ht="12.75" x14ac:dyDescent="0.2">
      <c r="A43" s="58" t="s">
        <v>411</v>
      </c>
      <c r="B43" s="24" t="s">
        <v>412</v>
      </c>
      <c r="C43" s="9" t="s">
        <v>163</v>
      </c>
      <c r="D43" s="20">
        <v>46099</v>
      </c>
      <c r="E43" s="10">
        <v>30430</v>
      </c>
      <c r="F43" s="9"/>
      <c r="G43" s="9">
        <v>600</v>
      </c>
      <c r="H43" s="9" t="s">
        <v>4</v>
      </c>
      <c r="I43" s="9"/>
      <c r="J43" s="9" t="s">
        <v>143</v>
      </c>
      <c r="K43" s="9" t="s">
        <v>413</v>
      </c>
      <c r="L43" s="9"/>
      <c r="M43" s="11"/>
      <c r="N43" s="11"/>
      <c r="O43" s="11"/>
      <c r="P43" s="9"/>
      <c r="Q43" s="9">
        <v>405</v>
      </c>
      <c r="R43" s="5"/>
      <c r="S43" s="5"/>
    </row>
    <row r="44" spans="1:20" ht="12.75" x14ac:dyDescent="0.2">
      <c r="A44" s="58" t="s">
        <v>414</v>
      </c>
      <c r="B44" s="24" t="s">
        <v>415</v>
      </c>
      <c r="C44" s="9" t="s">
        <v>163</v>
      </c>
      <c r="D44" s="20">
        <v>46099</v>
      </c>
      <c r="E44" s="10">
        <v>12800</v>
      </c>
      <c r="F44" s="9"/>
      <c r="G44" s="9">
        <v>272</v>
      </c>
      <c r="H44" s="9" t="s">
        <v>4</v>
      </c>
      <c r="I44" s="9"/>
      <c r="J44" s="9" t="s">
        <v>143</v>
      </c>
      <c r="K44" s="9" t="s">
        <v>352</v>
      </c>
      <c r="L44" s="9"/>
      <c r="M44" s="11"/>
      <c r="N44" s="11"/>
      <c r="O44" s="11"/>
      <c r="P44" s="9"/>
      <c r="Q44" s="9">
        <v>405</v>
      </c>
      <c r="R44" s="5"/>
      <c r="S44" s="5"/>
    </row>
    <row r="45" spans="1:20" ht="12.75" x14ac:dyDescent="0.2">
      <c r="A45" s="58" t="s">
        <v>416</v>
      </c>
      <c r="B45" s="24" t="s">
        <v>417</v>
      </c>
      <c r="C45" s="9" t="s">
        <v>163</v>
      </c>
      <c r="D45" s="20">
        <v>46100</v>
      </c>
      <c r="E45" s="10">
        <v>27440</v>
      </c>
      <c r="F45" s="9"/>
      <c r="G45" s="9">
        <v>538</v>
      </c>
      <c r="H45" s="9" t="s">
        <v>4</v>
      </c>
      <c r="I45" s="9"/>
      <c r="J45" s="9" t="s">
        <v>143</v>
      </c>
      <c r="K45" s="9" t="s">
        <v>262</v>
      </c>
      <c r="L45" s="9"/>
      <c r="M45" s="11"/>
      <c r="N45" s="11"/>
      <c r="O45" s="11"/>
      <c r="P45" s="9"/>
      <c r="Q45" s="9">
        <v>405</v>
      </c>
      <c r="R45" s="5"/>
      <c r="S45" s="5"/>
    </row>
    <row r="46" spans="1:20" ht="12.75" x14ac:dyDescent="0.2">
      <c r="A46" s="58" t="s">
        <v>418</v>
      </c>
      <c r="B46" s="24" t="s">
        <v>419</v>
      </c>
      <c r="C46" s="9" t="s">
        <v>163</v>
      </c>
      <c r="D46" s="20">
        <v>46100</v>
      </c>
      <c r="E46" s="10">
        <v>30990</v>
      </c>
      <c r="F46" s="9"/>
      <c r="G46" s="9">
        <v>600</v>
      </c>
      <c r="H46" s="9" t="s">
        <v>4</v>
      </c>
      <c r="I46" s="9"/>
      <c r="J46" s="9" t="s">
        <v>143</v>
      </c>
      <c r="K46" s="9" t="s">
        <v>211</v>
      </c>
      <c r="L46" s="9"/>
      <c r="M46" s="11"/>
      <c r="N46" s="11"/>
      <c r="O46" s="11"/>
      <c r="P46" s="9"/>
      <c r="Q46" s="9">
        <v>405</v>
      </c>
      <c r="R46" s="5"/>
      <c r="S46" s="5"/>
    </row>
    <row r="47" spans="1:20" ht="12.75" x14ac:dyDescent="0.2">
      <c r="A47" s="58" t="s">
        <v>420</v>
      </c>
      <c r="B47" s="24" t="s">
        <v>421</v>
      </c>
      <c r="C47" s="9" t="s">
        <v>163</v>
      </c>
      <c r="D47" s="20">
        <v>46100</v>
      </c>
      <c r="E47" s="10">
        <v>30690</v>
      </c>
      <c r="F47" s="9"/>
      <c r="G47" s="9">
        <v>600</v>
      </c>
      <c r="H47" s="9" t="s">
        <v>4</v>
      </c>
      <c r="I47" s="9"/>
      <c r="J47" s="9" t="s">
        <v>143</v>
      </c>
      <c r="K47" s="9" t="s">
        <v>413</v>
      </c>
      <c r="L47" s="9"/>
      <c r="M47" s="11"/>
      <c r="N47" s="11"/>
      <c r="O47" s="11"/>
      <c r="P47" s="9"/>
      <c r="Q47" s="9">
        <v>405</v>
      </c>
      <c r="R47" s="5"/>
      <c r="S47" s="5"/>
    </row>
    <row r="48" spans="1:20" ht="12.75" x14ac:dyDescent="0.2">
      <c r="A48" s="58" t="s">
        <v>422</v>
      </c>
      <c r="B48" s="24" t="s">
        <v>423</v>
      </c>
      <c r="C48" s="9" t="s">
        <v>163</v>
      </c>
      <c r="D48" s="20">
        <v>46100</v>
      </c>
      <c r="E48" s="10">
        <v>30470</v>
      </c>
      <c r="F48" s="9"/>
      <c r="G48" s="9">
        <v>600</v>
      </c>
      <c r="H48" s="9" t="s">
        <v>4</v>
      </c>
      <c r="I48" s="9"/>
      <c r="J48" s="9" t="s">
        <v>143</v>
      </c>
      <c r="K48" s="9" t="s">
        <v>217</v>
      </c>
      <c r="L48" s="9"/>
      <c r="M48" s="11"/>
      <c r="N48" s="11"/>
      <c r="O48" s="11"/>
      <c r="P48" s="9"/>
      <c r="Q48" s="9">
        <v>405</v>
      </c>
      <c r="R48" s="5"/>
      <c r="S48" s="5"/>
    </row>
    <row r="49" spans="1:19" ht="12.75" x14ac:dyDescent="0.2">
      <c r="A49" s="58" t="s">
        <v>424</v>
      </c>
      <c r="B49" s="24" t="s">
        <v>425</v>
      </c>
      <c r="C49" s="9" t="s">
        <v>163</v>
      </c>
      <c r="D49" s="20">
        <v>46101</v>
      </c>
      <c r="E49" s="10">
        <v>30590</v>
      </c>
      <c r="F49" s="9"/>
      <c r="G49" s="9">
        <v>600</v>
      </c>
      <c r="H49" s="9" t="s">
        <v>4</v>
      </c>
      <c r="I49" s="9"/>
      <c r="J49" s="9" t="s">
        <v>143</v>
      </c>
      <c r="K49" s="9"/>
      <c r="L49" s="9"/>
      <c r="M49" s="11"/>
      <c r="N49" s="11"/>
      <c r="O49" s="11"/>
      <c r="P49" s="9"/>
      <c r="Q49" s="9">
        <v>405</v>
      </c>
      <c r="R49" s="5"/>
      <c r="S49" s="5"/>
    </row>
    <row r="50" spans="1:19" ht="12.75" x14ac:dyDescent="0.2">
      <c r="A50" s="58" t="s">
        <v>426</v>
      </c>
      <c r="B50" s="24" t="s">
        <v>427</v>
      </c>
      <c r="C50" s="9" t="s">
        <v>163</v>
      </c>
      <c r="D50" s="20">
        <v>46101</v>
      </c>
      <c r="E50" s="10">
        <v>31000</v>
      </c>
      <c r="F50" s="9"/>
      <c r="G50" s="9">
        <v>600</v>
      </c>
      <c r="H50" s="9" t="s">
        <v>4</v>
      </c>
      <c r="I50" s="9"/>
      <c r="J50" s="9" t="s">
        <v>143</v>
      </c>
      <c r="K50" s="9" t="s">
        <v>211</v>
      </c>
      <c r="L50" s="9"/>
      <c r="M50" s="11"/>
      <c r="N50" s="11"/>
      <c r="O50" s="11"/>
      <c r="P50" s="9"/>
      <c r="Q50" s="9">
        <v>405</v>
      </c>
      <c r="R50" s="5"/>
      <c r="S50" s="5"/>
    </row>
    <row r="51" spans="1:19" ht="12.75" x14ac:dyDescent="0.2">
      <c r="A51" s="58" t="s">
        <v>428</v>
      </c>
      <c r="B51" s="24"/>
      <c r="C51" s="9" t="s">
        <v>163</v>
      </c>
      <c r="D51" s="20">
        <v>46101</v>
      </c>
      <c r="E51" s="10">
        <v>30950</v>
      </c>
      <c r="F51" s="9"/>
      <c r="G51" s="9">
        <v>600</v>
      </c>
      <c r="H51" s="9" t="s">
        <v>4</v>
      </c>
      <c r="I51" s="9"/>
      <c r="J51" s="9" t="s">
        <v>143</v>
      </c>
      <c r="K51" s="9"/>
      <c r="L51" s="9"/>
      <c r="M51" s="11"/>
      <c r="N51" s="11"/>
      <c r="O51" s="11"/>
      <c r="P51" s="9"/>
      <c r="Q51" s="9">
        <v>405</v>
      </c>
      <c r="R51" s="5"/>
      <c r="S51" s="5"/>
    </row>
    <row r="52" spans="1:19" ht="12.75" x14ac:dyDescent="0.2">
      <c r="A52" s="58" t="s">
        <v>429</v>
      </c>
      <c r="B52" s="24"/>
      <c r="C52" s="9" t="s">
        <v>163</v>
      </c>
      <c r="D52" s="20">
        <v>46102</v>
      </c>
      <c r="E52" s="10">
        <v>30590</v>
      </c>
      <c r="F52" s="9"/>
      <c r="G52" s="9">
        <v>600</v>
      </c>
      <c r="H52" s="9" t="s">
        <v>4</v>
      </c>
      <c r="I52" s="9"/>
      <c r="J52" s="9" t="s">
        <v>143</v>
      </c>
      <c r="K52" s="9"/>
      <c r="L52" s="9"/>
      <c r="M52" s="11"/>
      <c r="N52" s="11"/>
      <c r="O52" s="11"/>
      <c r="P52" s="9"/>
      <c r="Q52" s="9">
        <v>405</v>
      </c>
      <c r="R52" s="5"/>
      <c r="S52" s="5"/>
    </row>
    <row r="53" spans="1:19" ht="12.75" x14ac:dyDescent="0.2">
      <c r="A53" s="58" t="s">
        <v>430</v>
      </c>
      <c r="B53" s="24"/>
      <c r="C53" s="9" t="s">
        <v>163</v>
      </c>
      <c r="D53" s="20">
        <v>46102</v>
      </c>
      <c r="E53" s="10">
        <v>30590</v>
      </c>
      <c r="F53" s="9"/>
      <c r="G53" s="9">
        <v>601</v>
      </c>
      <c r="H53" s="9" t="s">
        <v>4</v>
      </c>
      <c r="I53" s="9"/>
      <c r="J53" s="9" t="s">
        <v>143</v>
      </c>
      <c r="K53" s="9"/>
      <c r="L53" s="9"/>
      <c r="M53" s="11"/>
      <c r="N53" s="11"/>
      <c r="O53" s="11"/>
      <c r="P53" s="9"/>
      <c r="Q53" s="9">
        <v>405</v>
      </c>
      <c r="R53" s="5"/>
      <c r="S53" s="5"/>
    </row>
    <row r="54" spans="1:19" ht="12.75" x14ac:dyDescent="0.2">
      <c r="A54" s="58" t="s">
        <v>431</v>
      </c>
      <c r="B54" s="24"/>
      <c r="C54" s="9" t="s">
        <v>163</v>
      </c>
      <c r="D54" s="20">
        <v>46102</v>
      </c>
      <c r="E54" s="10">
        <v>27220</v>
      </c>
      <c r="F54" s="9"/>
      <c r="G54" s="9">
        <v>523</v>
      </c>
      <c r="H54" s="9" t="s">
        <v>4</v>
      </c>
      <c r="I54" s="9"/>
      <c r="J54" s="9" t="s">
        <v>143</v>
      </c>
      <c r="K54" s="9"/>
      <c r="L54" s="9"/>
      <c r="M54" s="11"/>
      <c r="N54" s="11"/>
      <c r="O54" s="11"/>
      <c r="P54" s="9"/>
      <c r="Q54" s="9">
        <v>405</v>
      </c>
      <c r="R54" s="5"/>
      <c r="S54" s="5"/>
    </row>
    <row r="55" spans="1:19" ht="12.75" x14ac:dyDescent="0.2">
      <c r="A55" s="58" t="s">
        <v>432</v>
      </c>
      <c r="B55" s="24"/>
      <c r="C55" s="9" t="s">
        <v>163</v>
      </c>
      <c r="D55" s="20">
        <v>46102</v>
      </c>
      <c r="E55" s="10">
        <v>31260</v>
      </c>
      <c r="F55" s="9"/>
      <c r="G55" s="9">
        <v>608</v>
      </c>
      <c r="H55" s="9" t="s">
        <v>4</v>
      </c>
      <c r="I55" s="9"/>
      <c r="J55" s="9" t="s">
        <v>143</v>
      </c>
      <c r="K55" s="9"/>
      <c r="L55" s="9"/>
      <c r="M55" s="11"/>
      <c r="N55" s="11"/>
      <c r="O55" s="11"/>
      <c r="P55" s="9"/>
      <c r="Q55" s="9">
        <v>405</v>
      </c>
      <c r="R55" s="5"/>
      <c r="S55" s="5"/>
    </row>
    <row r="56" spans="1:19" ht="12.75" x14ac:dyDescent="0.2">
      <c r="A56" s="58" t="s">
        <v>433</v>
      </c>
      <c r="B56" s="24"/>
      <c r="C56" s="9" t="s">
        <v>163</v>
      </c>
      <c r="D56" s="20">
        <v>46104</v>
      </c>
      <c r="E56" s="10">
        <v>31200</v>
      </c>
      <c r="F56" s="9"/>
      <c r="G56" s="9">
        <v>600</v>
      </c>
      <c r="H56" s="9" t="s">
        <v>4</v>
      </c>
      <c r="I56" s="9"/>
      <c r="J56" s="9" t="s">
        <v>143</v>
      </c>
      <c r="K56" s="9" t="s">
        <v>215</v>
      </c>
      <c r="L56" s="9"/>
      <c r="M56" s="11"/>
      <c r="N56" s="11"/>
      <c r="O56" s="11"/>
      <c r="P56" s="9"/>
      <c r="Q56" s="9">
        <v>405</v>
      </c>
      <c r="R56" s="5"/>
      <c r="S56" s="5"/>
    </row>
    <row r="57" spans="1:19" ht="12.75" x14ac:dyDescent="0.2">
      <c r="A57" s="58" t="s">
        <v>434</v>
      </c>
      <c r="B57" s="24"/>
      <c r="C57" s="9" t="s">
        <v>163</v>
      </c>
      <c r="D57" s="20">
        <v>46104</v>
      </c>
      <c r="E57" s="10">
        <v>30800</v>
      </c>
      <c r="F57" s="9"/>
      <c r="G57" s="9">
        <v>600</v>
      </c>
      <c r="H57" s="9" t="s">
        <v>4</v>
      </c>
      <c r="I57" s="9"/>
      <c r="J57" s="9" t="s">
        <v>143</v>
      </c>
      <c r="K57" s="9" t="s">
        <v>217</v>
      </c>
      <c r="L57" s="9"/>
      <c r="M57" s="11"/>
      <c r="N57" s="11"/>
      <c r="O57" s="11"/>
      <c r="P57" s="9"/>
      <c r="Q57" s="9">
        <v>405</v>
      </c>
      <c r="R57" s="5"/>
      <c r="S57" s="5"/>
    </row>
    <row r="58" spans="1:19" ht="12.75" x14ac:dyDescent="0.2">
      <c r="A58" s="58" t="s">
        <v>435</v>
      </c>
      <c r="B58" s="24" t="s">
        <v>436</v>
      </c>
      <c r="C58" s="9" t="s">
        <v>163</v>
      </c>
      <c r="D58" s="20">
        <v>46104</v>
      </c>
      <c r="E58" s="10">
        <v>27580</v>
      </c>
      <c r="F58" s="9"/>
      <c r="G58" s="9">
        <v>540</v>
      </c>
      <c r="H58" s="9" t="s">
        <v>4</v>
      </c>
      <c r="I58" s="9"/>
      <c r="J58" s="9" t="s">
        <v>143</v>
      </c>
      <c r="K58" s="9" t="s">
        <v>262</v>
      </c>
      <c r="L58" s="9"/>
      <c r="M58" s="11"/>
      <c r="N58" s="11"/>
      <c r="O58" s="11"/>
      <c r="P58" s="9"/>
      <c r="Q58" s="9">
        <v>405</v>
      </c>
      <c r="R58" s="5"/>
      <c r="S58" s="5"/>
    </row>
    <row r="59" spans="1:19" ht="12.75" x14ac:dyDescent="0.2">
      <c r="A59" s="58" t="s">
        <v>437</v>
      </c>
      <c r="B59" s="92" t="s">
        <v>438</v>
      </c>
      <c r="C59" s="9" t="s">
        <v>163</v>
      </c>
      <c r="D59" s="20">
        <v>46104</v>
      </c>
      <c r="E59" s="10">
        <v>8780</v>
      </c>
      <c r="F59" s="9"/>
      <c r="G59" s="9">
        <v>172</v>
      </c>
      <c r="H59" s="9" t="s">
        <v>4</v>
      </c>
      <c r="I59" s="9"/>
      <c r="J59" s="9" t="s">
        <v>143</v>
      </c>
      <c r="K59" s="9" t="s">
        <v>273</v>
      </c>
      <c r="L59" s="9"/>
      <c r="M59" s="11"/>
      <c r="N59" s="11"/>
      <c r="O59" s="11"/>
      <c r="P59" s="9"/>
      <c r="Q59" s="9">
        <v>405</v>
      </c>
      <c r="R59" s="5"/>
      <c r="S59" s="5"/>
    </row>
    <row r="60" spans="1:19" ht="12.75" x14ac:dyDescent="0.2">
      <c r="A60" s="16" t="s">
        <v>439</v>
      </c>
      <c r="B60" s="57" t="s">
        <v>440</v>
      </c>
      <c r="C60" s="9" t="s">
        <v>163</v>
      </c>
      <c r="D60" s="20">
        <v>46105</v>
      </c>
      <c r="E60" s="10">
        <v>31300</v>
      </c>
      <c r="F60" s="9"/>
      <c r="G60" s="9">
        <v>603</v>
      </c>
      <c r="H60" s="9" t="s">
        <v>4</v>
      </c>
      <c r="I60" s="9"/>
      <c r="J60" s="9" t="s">
        <v>143</v>
      </c>
      <c r="K60" s="9" t="s">
        <v>211</v>
      </c>
      <c r="L60" s="9"/>
      <c r="M60" s="11"/>
      <c r="N60" s="11"/>
      <c r="O60" s="11"/>
      <c r="P60" s="9"/>
      <c r="Q60" s="9">
        <v>405</v>
      </c>
      <c r="R60" s="5"/>
      <c r="S60" s="5"/>
    </row>
    <row r="61" spans="1:19" ht="12.75" x14ac:dyDescent="0.2">
      <c r="A61" s="58" t="s">
        <v>441</v>
      </c>
      <c r="B61" s="24" t="s">
        <v>442</v>
      </c>
      <c r="C61" s="9" t="s">
        <v>163</v>
      </c>
      <c r="D61" s="20">
        <v>46105</v>
      </c>
      <c r="E61" s="10">
        <v>30920</v>
      </c>
      <c r="F61" s="9"/>
      <c r="G61" s="9">
        <v>600</v>
      </c>
      <c r="H61" s="9" t="s">
        <v>4</v>
      </c>
      <c r="I61" s="9"/>
      <c r="J61" s="9" t="s">
        <v>143</v>
      </c>
      <c r="K61" s="9" t="s">
        <v>327</v>
      </c>
      <c r="L61" s="9"/>
      <c r="M61" s="11"/>
      <c r="N61" s="11"/>
      <c r="O61" s="11"/>
      <c r="P61" s="9"/>
      <c r="Q61" s="9">
        <v>405</v>
      </c>
      <c r="R61" s="5"/>
      <c r="S61" s="5"/>
    </row>
    <row r="62" spans="1:19" ht="12.75" x14ac:dyDescent="0.2">
      <c r="A62" s="101"/>
      <c r="B62" s="91"/>
      <c r="C62" s="33"/>
      <c r="D62" s="102"/>
      <c r="E62" s="83"/>
      <c r="F62" s="33"/>
      <c r="G62" s="33"/>
      <c r="H62" s="33"/>
      <c r="I62" s="33"/>
      <c r="J62" s="33"/>
      <c r="K62" s="33"/>
      <c r="L62" s="33"/>
      <c r="M62" s="103"/>
      <c r="N62" s="103"/>
      <c r="O62" s="103"/>
      <c r="P62" s="34"/>
      <c r="Q62" s="33"/>
      <c r="R62" s="5"/>
      <c r="S62" s="5"/>
    </row>
    <row r="63" spans="1:19" ht="12.75" x14ac:dyDescent="0.2">
      <c r="A63" s="101"/>
      <c r="B63" s="91"/>
      <c r="C63" s="33"/>
      <c r="D63" s="102"/>
      <c r="E63" s="83"/>
      <c r="F63" s="33"/>
      <c r="G63" s="33"/>
      <c r="H63" s="33"/>
      <c r="I63" s="33"/>
      <c r="J63" s="33"/>
      <c r="K63" s="33"/>
      <c r="L63" s="33"/>
      <c r="M63" s="103"/>
      <c r="N63" s="103"/>
      <c r="O63" s="103"/>
      <c r="P63" s="34"/>
      <c r="Q63" s="33"/>
      <c r="R63" s="5"/>
      <c r="S63" s="5"/>
    </row>
    <row r="64" spans="1:19" ht="12.75" x14ac:dyDescent="0.2">
      <c r="A64" s="101"/>
      <c r="B64" s="91"/>
      <c r="C64" s="33"/>
      <c r="D64" s="102"/>
      <c r="E64" s="83"/>
      <c r="F64" s="33"/>
      <c r="G64" s="33"/>
      <c r="H64" s="33"/>
      <c r="I64" s="33"/>
      <c r="J64" s="33"/>
      <c r="K64" s="33"/>
      <c r="L64" s="33"/>
      <c r="M64" s="103"/>
      <c r="N64" s="103"/>
      <c r="O64" s="103"/>
      <c r="P64" s="34"/>
      <c r="Q64" s="33"/>
      <c r="R64" s="5"/>
      <c r="S64" s="5"/>
    </row>
    <row r="65" spans="1:19" ht="12.75" x14ac:dyDescent="0.2">
      <c r="A65" s="101"/>
      <c r="B65" s="91"/>
      <c r="C65" s="33"/>
      <c r="D65" s="102"/>
      <c r="E65" s="83"/>
      <c r="F65" s="33"/>
      <c r="G65" s="33"/>
      <c r="H65" s="33"/>
      <c r="I65" s="33"/>
      <c r="J65" s="33"/>
      <c r="K65" s="33"/>
      <c r="L65" s="33"/>
      <c r="M65" s="103"/>
      <c r="N65" s="103"/>
      <c r="O65" s="103"/>
      <c r="P65" s="34"/>
      <c r="Q65" s="33"/>
      <c r="R65" s="5"/>
      <c r="S65" s="5"/>
    </row>
    <row r="66" spans="1:19" ht="12.75" x14ac:dyDescent="0.2">
      <c r="A66" s="101"/>
      <c r="B66" s="91"/>
      <c r="C66" s="33"/>
      <c r="D66" s="102"/>
      <c r="E66" s="83"/>
      <c r="F66" s="33"/>
      <c r="G66" s="33"/>
      <c r="H66" s="33"/>
      <c r="I66" s="33"/>
      <c r="J66" s="33"/>
      <c r="K66" s="33"/>
      <c r="L66" s="33"/>
      <c r="M66" s="103"/>
      <c r="N66" s="103"/>
      <c r="O66" s="103"/>
      <c r="P66" s="34"/>
      <c r="Q66" s="33"/>
      <c r="R66" s="5"/>
      <c r="S66" s="5"/>
    </row>
    <row r="67" spans="1:19" ht="12.75" x14ac:dyDescent="0.2">
      <c r="A67" s="101"/>
      <c r="B67" s="91"/>
      <c r="C67" s="33"/>
      <c r="D67" s="102"/>
      <c r="E67" s="83"/>
      <c r="F67" s="33"/>
      <c r="G67" s="33"/>
      <c r="H67" s="33"/>
      <c r="I67" s="33"/>
      <c r="J67" s="33"/>
      <c r="K67" s="33"/>
      <c r="L67" s="33"/>
      <c r="M67" s="103"/>
      <c r="N67" s="103"/>
      <c r="O67" s="103"/>
      <c r="P67" s="34"/>
      <c r="Q67" s="33"/>
      <c r="R67" s="5"/>
      <c r="S67" s="5"/>
    </row>
    <row r="68" spans="1:19" ht="12.75" x14ac:dyDescent="0.2">
      <c r="A68" s="101"/>
      <c r="B68" s="91"/>
      <c r="C68" s="33"/>
      <c r="D68" s="102"/>
      <c r="E68" s="83"/>
      <c r="F68" s="33"/>
      <c r="G68" s="33"/>
      <c r="H68" s="33"/>
      <c r="I68" s="33"/>
      <c r="J68" s="33"/>
      <c r="K68" s="33"/>
      <c r="L68" s="33"/>
      <c r="M68" s="103"/>
      <c r="N68" s="103"/>
      <c r="O68" s="103"/>
      <c r="P68" s="34"/>
      <c r="Q68" s="33"/>
      <c r="R68" s="5"/>
      <c r="S68" s="5"/>
    </row>
    <row r="69" spans="1:19" ht="12.75" x14ac:dyDescent="0.2">
      <c r="A69" s="101"/>
      <c r="B69" s="91"/>
      <c r="C69" s="33"/>
      <c r="D69" s="102"/>
      <c r="E69" s="83"/>
      <c r="F69" s="33"/>
      <c r="G69" s="33"/>
      <c r="H69" s="33"/>
      <c r="I69" s="33"/>
      <c r="J69" s="33"/>
      <c r="K69" s="33"/>
      <c r="L69" s="33"/>
      <c r="M69" s="103"/>
      <c r="N69" s="103"/>
      <c r="O69" s="103"/>
      <c r="P69" s="34"/>
      <c r="Q69" s="33"/>
      <c r="R69" s="5"/>
      <c r="S69" s="5"/>
    </row>
    <row r="70" spans="1:19" ht="12.75" x14ac:dyDescent="0.2">
      <c r="A70" s="101"/>
      <c r="B70" s="91"/>
      <c r="C70" s="33"/>
      <c r="D70" s="102"/>
      <c r="E70" s="83"/>
      <c r="F70" s="33"/>
      <c r="G70" s="33"/>
      <c r="H70" s="33"/>
      <c r="I70" s="33"/>
      <c r="J70" s="33"/>
      <c r="K70" s="33"/>
      <c r="L70" s="33"/>
      <c r="M70" s="103"/>
      <c r="N70" s="103"/>
      <c r="O70" s="103"/>
      <c r="P70" s="34"/>
      <c r="Q70" s="33"/>
      <c r="R70" s="5"/>
      <c r="S70" s="5"/>
    </row>
    <row r="71" spans="1:19" ht="12.75" x14ac:dyDescent="0.2">
      <c r="A71" s="35" t="s">
        <v>149</v>
      </c>
      <c r="B71" s="33"/>
      <c r="C71" s="33"/>
      <c r="D71" s="33"/>
      <c r="E71" s="36">
        <f>SUBTOTAL(109,Tabla3[PESO NETO KGS])</f>
        <v>1529552</v>
      </c>
      <c r="F71" s="33"/>
      <c r="G71" s="33">
        <f>SUM(Tabla3[ARPILLAS 3RAS])</f>
        <v>30058</v>
      </c>
      <c r="H71" s="33"/>
      <c r="I71" s="33"/>
      <c r="J71" s="33"/>
      <c r="K71" s="33"/>
      <c r="L71" s="33"/>
      <c r="M71" s="37">
        <f>SUBTOTAL(109,Tabla3[TOTAL])</f>
        <v>0</v>
      </c>
      <c r="N71" s="37">
        <f>SUBTOTAL(109,Tabla3[PAGO])</f>
        <v>0</v>
      </c>
      <c r="O71" s="37">
        <f>SUBTOTAL(109,Tabla3[DIF POR PAGAR])</f>
        <v>0</v>
      </c>
      <c r="P71" s="34"/>
      <c r="Q71" s="33"/>
      <c r="R71" s="5"/>
      <c r="S71" s="5"/>
    </row>
    <row r="72" spans="1:19" ht="12.75" x14ac:dyDescent="0.2">
      <c r="A72" s="12"/>
      <c r="B72" s="12"/>
      <c r="C72" s="12"/>
      <c r="D72" s="12"/>
      <c r="E72" s="13">
        <f>+Tabla3[[#Totals],[PESO NETO KGS]]-E11+Tabla35[[#Totals],[PESO NETO KGS]]-BODEGA!D9-BODEGA!D10</f>
        <v>1781829</v>
      </c>
      <c r="F72" s="13"/>
      <c r="G72" s="13"/>
      <c r="H72" s="12"/>
      <c r="I72" s="12"/>
      <c r="J72" s="12"/>
      <c r="K72" s="12"/>
      <c r="L72" s="12"/>
      <c r="M72" s="14"/>
      <c r="N72" s="14"/>
      <c r="O72" s="15"/>
      <c r="P72" s="12"/>
      <c r="Q72" s="5"/>
      <c r="R72" s="5"/>
      <c r="S72" s="5"/>
    </row>
    <row r="73" spans="1:19" ht="12.75" x14ac:dyDescent="0.2">
      <c r="Q73" s="5"/>
      <c r="R73" s="5"/>
      <c r="S73" s="5"/>
    </row>
    <row r="74" spans="1:19" ht="12.75" x14ac:dyDescent="0.2">
      <c r="E74" t="s">
        <v>339</v>
      </c>
      <c r="G74">
        <f>10500+13271+438</f>
        <v>24209</v>
      </c>
      <c r="Q74" s="5"/>
      <c r="R74" s="5"/>
      <c r="S74" s="5"/>
    </row>
    <row r="75" spans="1:19" ht="12.75" x14ac:dyDescent="0.2">
      <c r="F75" s="19">
        <f>+Tabla3[[#Totals],[PESO NETO KGS]]-E11+Tabla35[[#Totals],[PESO NETO KGS]]-BODEGA!D10</f>
        <v>1790844</v>
      </c>
      <c r="K75">
        <f>+G24+G25+G26+BODEGA!E7</f>
        <v>1488</v>
      </c>
      <c r="Q75" s="5"/>
      <c r="R75" s="5"/>
      <c r="S75" s="5"/>
    </row>
    <row r="76" spans="1:19" ht="12.75" x14ac:dyDescent="0.2">
      <c r="Q76" s="5"/>
      <c r="R76" s="5"/>
      <c r="S76" s="5"/>
    </row>
    <row r="77" spans="1:19" ht="12.75" x14ac:dyDescent="0.2">
      <c r="Q77" s="5"/>
      <c r="R77" s="5"/>
      <c r="S77" s="5"/>
    </row>
    <row r="78" spans="1:19" ht="12.75" x14ac:dyDescent="0.2">
      <c r="Q78" s="5"/>
      <c r="R78" s="5"/>
      <c r="S78" s="5"/>
    </row>
    <row r="79" spans="1:19" ht="12.75" x14ac:dyDescent="0.2">
      <c r="G79">
        <v>454</v>
      </c>
      <c r="H79">
        <v>22960</v>
      </c>
      <c r="Q79" s="5"/>
      <c r="R79" s="5"/>
      <c r="S79" s="5"/>
    </row>
    <row r="80" spans="1:19" ht="12.75" x14ac:dyDescent="0.2">
      <c r="G80">
        <v>354</v>
      </c>
      <c r="H80">
        <f>+(G80*H79)/G79</f>
        <v>17902.731277533039</v>
      </c>
      <c r="Q80" s="5"/>
      <c r="R80" s="5"/>
      <c r="S80" s="5"/>
    </row>
    <row r="81" spans="1:19" ht="12.75" x14ac:dyDescent="0.2">
      <c r="G81">
        <v>100</v>
      </c>
      <c r="H81">
        <f>+(G81*H79)/G79</f>
        <v>5057.2687224669608</v>
      </c>
      <c r="Q81" s="5"/>
      <c r="R81" s="5"/>
      <c r="S81" s="5"/>
    </row>
    <row r="82" spans="1:19" ht="12.75" x14ac:dyDescent="0.2">
      <c r="Q82" s="5"/>
      <c r="R82" s="5"/>
      <c r="S82" s="5"/>
    </row>
    <row r="83" spans="1:19" ht="12.75" x14ac:dyDescent="0.2">
      <c r="Q83" s="5"/>
      <c r="R83" s="5"/>
      <c r="S83" s="5"/>
    </row>
    <row r="84" spans="1:19" ht="12.75" x14ac:dyDescent="0.2">
      <c r="Q84" s="5"/>
      <c r="R84" s="5"/>
      <c r="S84" s="5"/>
    </row>
    <row r="85" spans="1:19" ht="12.75" x14ac:dyDescent="0.2">
      <c r="Q85" s="5"/>
      <c r="R85" s="5"/>
      <c r="S85" s="5"/>
    </row>
    <row r="86" spans="1:19" ht="12.75" x14ac:dyDescent="0.2">
      <c r="Q86" s="5"/>
      <c r="R86" s="5"/>
      <c r="S86" s="5"/>
    </row>
    <row r="87" spans="1:19" ht="12.75" x14ac:dyDescent="0.2">
      <c r="Q87" s="5"/>
      <c r="R87" s="5"/>
      <c r="S87" s="5"/>
    </row>
    <row r="88" spans="1:19" ht="12.75" x14ac:dyDescent="0.2">
      <c r="Q88" s="5"/>
      <c r="R88" s="5"/>
      <c r="S88" s="5"/>
    </row>
    <row r="89" spans="1:19" ht="12.75" x14ac:dyDescent="0.2">
      <c r="Q89" s="5"/>
      <c r="R89" s="5"/>
      <c r="S89" s="5"/>
    </row>
    <row r="90" spans="1:19" ht="12.75" x14ac:dyDescent="0.2">
      <c r="Q90" s="5"/>
      <c r="R90" s="5"/>
      <c r="S90" s="5"/>
    </row>
    <row r="91" spans="1:19" ht="12.75" x14ac:dyDescent="0.2">
      <c r="Q91" s="5"/>
      <c r="R91" s="5"/>
      <c r="S91" s="5"/>
    </row>
    <row r="92" spans="1:19" ht="12.75" x14ac:dyDescent="0.2">
      <c r="Q92" s="5"/>
      <c r="R92" s="5"/>
      <c r="S92" s="5"/>
    </row>
    <row r="93" spans="1:19" ht="12.75" x14ac:dyDescent="0.2">
      <c r="Q93" s="5"/>
      <c r="R93" s="5"/>
      <c r="S93" s="5"/>
    </row>
    <row r="94" spans="1:19" ht="12.75" x14ac:dyDescent="0.2">
      <c r="Q94" s="5"/>
      <c r="R94" s="5"/>
      <c r="S94" s="5"/>
    </row>
    <row r="95" spans="1:19" ht="12.75" x14ac:dyDescent="0.2">
      <c r="Q95" s="5"/>
      <c r="R95" s="5"/>
      <c r="S95" s="5"/>
    </row>
    <row r="96" spans="1:19" ht="12.75" x14ac:dyDescent="0.2">
      <c r="A96" s="5"/>
      <c r="B96" s="5"/>
      <c r="C96" s="5"/>
      <c r="D96" s="5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2.75" x14ac:dyDescent="0.2">
      <c r="A97" s="5"/>
      <c r="B97" s="5"/>
      <c r="C97" s="5"/>
      <c r="D97" s="5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2.75" x14ac:dyDescent="0.2">
      <c r="A98" s="5"/>
      <c r="B98" s="5"/>
      <c r="C98" s="5"/>
      <c r="D98" s="5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2.75" x14ac:dyDescent="0.2">
      <c r="A99" s="5"/>
      <c r="B99" s="5"/>
      <c r="C99" s="5"/>
      <c r="D99" s="5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2.75" x14ac:dyDescent="0.2">
      <c r="A100" s="5"/>
      <c r="B100" s="5"/>
      <c r="C100" s="5"/>
      <c r="D100" s="5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2.75" x14ac:dyDescent="0.2">
      <c r="A101" s="5"/>
      <c r="B101" s="5"/>
      <c r="C101" s="5"/>
      <c r="D101" s="5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2.75" x14ac:dyDescent="0.2">
      <c r="A102" s="5"/>
      <c r="B102" s="5"/>
      <c r="C102" s="5"/>
      <c r="D102" s="5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2.75" x14ac:dyDescent="0.2">
      <c r="A103" s="5"/>
      <c r="B103" s="5"/>
      <c r="C103" s="5"/>
      <c r="D103" s="5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2.75" x14ac:dyDescent="0.2">
      <c r="A104" s="5"/>
      <c r="B104" s="5"/>
      <c r="C104" s="5"/>
      <c r="D104" s="5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2.75" x14ac:dyDescent="0.2">
      <c r="A105" s="5"/>
      <c r="B105" s="5"/>
      <c r="C105" s="5"/>
      <c r="D105" s="5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2.75" x14ac:dyDescent="0.2">
      <c r="A106" s="5"/>
      <c r="B106" s="5"/>
      <c r="C106" s="5"/>
      <c r="D106" s="5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2.75" x14ac:dyDescent="0.2">
      <c r="A107" s="5"/>
      <c r="B107" s="5"/>
      <c r="C107" s="5"/>
      <c r="D107" s="5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2.75" x14ac:dyDescent="0.2">
      <c r="A108" s="5"/>
      <c r="B108" s="5"/>
      <c r="C108" s="5"/>
      <c r="D108" s="5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2.75" x14ac:dyDescent="0.2">
      <c r="A109" s="5"/>
      <c r="B109" s="5"/>
      <c r="C109" s="5"/>
      <c r="D109" s="5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2.75" x14ac:dyDescent="0.2">
      <c r="A110" s="5"/>
      <c r="B110" s="5"/>
      <c r="C110" s="5"/>
      <c r="D110" s="5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2.75" x14ac:dyDescent="0.2">
      <c r="A111" s="5"/>
      <c r="B111" s="5"/>
      <c r="C111" s="5"/>
      <c r="D111" s="5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2.75" x14ac:dyDescent="0.2">
      <c r="A112" s="5"/>
      <c r="B112" s="5"/>
      <c r="C112" s="5"/>
      <c r="D112" s="5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2.75" x14ac:dyDescent="0.2">
      <c r="A113" s="5"/>
      <c r="B113" s="5"/>
      <c r="C113" s="5"/>
      <c r="D113" s="5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2.75" x14ac:dyDescent="0.2">
      <c r="A114" s="5"/>
      <c r="B114" s="5"/>
      <c r="C114" s="5"/>
      <c r="D114" s="5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2.75" x14ac:dyDescent="0.2">
      <c r="A115" s="5"/>
      <c r="B115" s="5"/>
      <c r="C115" s="5"/>
      <c r="D115" s="5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2.75" x14ac:dyDescent="0.2">
      <c r="A116" s="5"/>
      <c r="B116" s="5"/>
      <c r="C116" s="5"/>
      <c r="D116" s="5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2.75" x14ac:dyDescent="0.2">
      <c r="A117" s="5"/>
      <c r="B117" s="5"/>
      <c r="C117" s="5"/>
      <c r="D117" s="5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2.75" x14ac:dyDescent="0.2">
      <c r="A118" s="5"/>
      <c r="B118" s="5"/>
      <c r="C118" s="5"/>
      <c r="D118" s="5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2.75" x14ac:dyDescent="0.2">
      <c r="A119" s="5"/>
      <c r="B119" s="5"/>
      <c r="C119" s="5"/>
      <c r="D119" s="5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2.75" x14ac:dyDescent="0.2">
      <c r="A120" s="5"/>
      <c r="B120" s="5"/>
      <c r="C120" s="5"/>
      <c r="D120" s="5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2.75" x14ac:dyDescent="0.2">
      <c r="A121" s="5"/>
      <c r="B121" s="5"/>
      <c r="C121" s="5"/>
      <c r="D121" s="5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2.75" x14ac:dyDescent="0.2">
      <c r="A122" s="5"/>
      <c r="B122" s="5"/>
      <c r="C122" s="5"/>
      <c r="D122" s="5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2.75" x14ac:dyDescent="0.2">
      <c r="A123" s="5"/>
      <c r="B123" s="5"/>
      <c r="C123" s="5"/>
      <c r="D123" s="5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2.75" x14ac:dyDescent="0.2">
      <c r="A124" s="5"/>
      <c r="B124" s="5"/>
      <c r="C124" s="5"/>
      <c r="D124" s="5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2.75" x14ac:dyDescent="0.2">
      <c r="A125" s="5"/>
      <c r="B125" s="5"/>
      <c r="C125" s="5"/>
      <c r="D125" s="5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2.75" x14ac:dyDescent="0.2">
      <c r="A126" s="5"/>
      <c r="B126" s="5"/>
      <c r="C126" s="5"/>
      <c r="D126" s="5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2.75" x14ac:dyDescent="0.2">
      <c r="A127" s="5"/>
      <c r="B127" s="5"/>
      <c r="C127" s="5"/>
      <c r="D127" s="5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2.75" x14ac:dyDescent="0.2">
      <c r="A128" s="5"/>
      <c r="B128" s="5"/>
      <c r="C128" s="5"/>
      <c r="D128" s="5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2.75" x14ac:dyDescent="0.2">
      <c r="A129" s="5"/>
      <c r="B129" s="5"/>
      <c r="C129" s="5"/>
      <c r="D129" s="5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2.75" x14ac:dyDescent="0.2">
      <c r="A130" s="5"/>
      <c r="B130" s="5"/>
      <c r="C130" s="5"/>
      <c r="D130" s="5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2.75" x14ac:dyDescent="0.2">
      <c r="A131" s="5"/>
      <c r="B131" s="5"/>
      <c r="C131" s="5"/>
      <c r="D131" s="5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2.75" x14ac:dyDescent="0.2">
      <c r="A132" s="5"/>
      <c r="B132" s="5"/>
      <c r="C132" s="5"/>
      <c r="D132" s="5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2.75" x14ac:dyDescent="0.2">
      <c r="A133" s="5"/>
      <c r="B133" s="5"/>
      <c r="C133" s="5"/>
      <c r="D133" s="5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2.75" x14ac:dyDescent="0.2">
      <c r="A134" s="5"/>
      <c r="B134" s="5"/>
      <c r="C134" s="5"/>
      <c r="D134" s="5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2.75" x14ac:dyDescent="0.2">
      <c r="A135" s="5"/>
      <c r="B135" s="5"/>
      <c r="C135" s="5"/>
      <c r="D135" s="5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2.75" x14ac:dyDescent="0.2">
      <c r="A136" s="5"/>
      <c r="B136" s="5"/>
      <c r="C136" s="5"/>
      <c r="D136" s="5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2.75" x14ac:dyDescent="0.2">
      <c r="A137" s="5"/>
      <c r="B137" s="5"/>
      <c r="C137" s="5"/>
      <c r="D137" s="5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2.75" x14ac:dyDescent="0.2">
      <c r="A138" s="5"/>
      <c r="B138" s="5"/>
      <c r="C138" s="5"/>
      <c r="D138" s="5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2.75" x14ac:dyDescent="0.2">
      <c r="A139" s="5"/>
      <c r="B139" s="5"/>
      <c r="C139" s="5"/>
      <c r="D139" s="5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2.75" x14ac:dyDescent="0.2">
      <c r="A140" s="5"/>
      <c r="B140" s="5"/>
      <c r="C140" s="5"/>
      <c r="D140" s="5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2.75" x14ac:dyDescent="0.2">
      <c r="A141" s="5"/>
      <c r="B141" s="5"/>
      <c r="C141" s="5"/>
      <c r="D141" s="5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2.75" x14ac:dyDescent="0.2">
      <c r="A142" s="5"/>
      <c r="B142" s="5"/>
      <c r="C142" s="5"/>
      <c r="D142" s="5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2.75" x14ac:dyDescent="0.2">
      <c r="A143" s="5"/>
      <c r="B143" s="5"/>
      <c r="C143" s="5"/>
      <c r="D143" s="5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2.75" x14ac:dyDescent="0.2">
      <c r="A144" s="5"/>
      <c r="B144" s="5"/>
      <c r="C144" s="5"/>
      <c r="D144" s="5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2.75" x14ac:dyDescent="0.2">
      <c r="A145" s="5"/>
      <c r="B145" s="5"/>
      <c r="C145" s="5"/>
      <c r="D145" s="5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2.75" x14ac:dyDescent="0.2">
      <c r="A146" s="5"/>
      <c r="B146" s="5"/>
      <c r="C146" s="5"/>
      <c r="D146" s="5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2.75" x14ac:dyDescent="0.2">
      <c r="A147" s="5"/>
      <c r="B147" s="5"/>
      <c r="C147" s="5"/>
      <c r="D147" s="5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2.75" x14ac:dyDescent="0.2">
      <c r="A148" s="5"/>
      <c r="B148" s="5"/>
      <c r="C148" s="5"/>
      <c r="D148" s="5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2.75" x14ac:dyDescent="0.2">
      <c r="A149" s="5"/>
      <c r="B149" s="5"/>
      <c r="C149" s="5"/>
      <c r="D149" s="5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2.75" x14ac:dyDescent="0.2">
      <c r="A150" s="5"/>
      <c r="B150" s="5"/>
      <c r="C150" s="5"/>
      <c r="D150" s="5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2.75" x14ac:dyDescent="0.2">
      <c r="A151" s="5"/>
      <c r="B151" s="5"/>
      <c r="C151" s="5"/>
      <c r="D151" s="5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2.75" x14ac:dyDescent="0.2">
      <c r="A152" s="5"/>
      <c r="B152" s="5"/>
      <c r="C152" s="5"/>
      <c r="D152" s="5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2.75" x14ac:dyDescent="0.2">
      <c r="A153" s="5"/>
      <c r="B153" s="5"/>
      <c r="C153" s="5"/>
      <c r="D153" s="5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2.75" x14ac:dyDescent="0.2">
      <c r="A154" s="5"/>
      <c r="B154" s="5"/>
      <c r="C154" s="5"/>
      <c r="D154" s="5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2.75" x14ac:dyDescent="0.2">
      <c r="A155" s="5"/>
      <c r="B155" s="5"/>
      <c r="C155" s="5"/>
      <c r="D155" s="5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2.75" x14ac:dyDescent="0.2">
      <c r="A156" s="5"/>
      <c r="B156" s="5"/>
      <c r="C156" s="5"/>
      <c r="D156" s="5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2.75" x14ac:dyDescent="0.2">
      <c r="A157" s="5"/>
      <c r="B157" s="5"/>
      <c r="C157" s="5"/>
      <c r="D157" s="5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2.75" x14ac:dyDescent="0.2">
      <c r="A158" s="5"/>
      <c r="B158" s="5"/>
      <c r="C158" s="5"/>
      <c r="D158" s="5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2.75" x14ac:dyDescent="0.2">
      <c r="A159" s="5"/>
      <c r="B159" s="5"/>
      <c r="C159" s="5"/>
      <c r="D159" s="5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2.75" x14ac:dyDescent="0.2">
      <c r="A160" s="5"/>
      <c r="B160" s="5"/>
      <c r="C160" s="5"/>
      <c r="D160" s="5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2.75" x14ac:dyDescent="0.2">
      <c r="A161" s="5"/>
      <c r="B161" s="5"/>
      <c r="C161" s="5"/>
      <c r="D161" s="5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2.75" x14ac:dyDescent="0.2">
      <c r="A162" s="5"/>
      <c r="B162" s="5"/>
      <c r="C162" s="5"/>
      <c r="D162" s="5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2.75" x14ac:dyDescent="0.2">
      <c r="A163" s="5"/>
      <c r="B163" s="5"/>
      <c r="C163" s="5"/>
      <c r="D163" s="5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2.75" x14ac:dyDescent="0.2">
      <c r="A164" s="5"/>
      <c r="B164" s="5"/>
      <c r="C164" s="5"/>
      <c r="D164" s="5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2.75" x14ac:dyDescent="0.2">
      <c r="A165" s="5"/>
      <c r="B165" s="5"/>
      <c r="C165" s="5"/>
      <c r="D165" s="5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2.75" x14ac:dyDescent="0.2">
      <c r="A166" s="5"/>
      <c r="B166" s="5"/>
      <c r="C166" s="5"/>
      <c r="D166" s="5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2.75" x14ac:dyDescent="0.2">
      <c r="A167" s="5"/>
      <c r="B167" s="5"/>
      <c r="C167" s="5"/>
      <c r="D167" s="5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2.75" x14ac:dyDescent="0.2">
      <c r="A168" s="5"/>
      <c r="B168" s="5"/>
      <c r="C168" s="5"/>
      <c r="D168" s="5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2.75" x14ac:dyDescent="0.2">
      <c r="A169" s="5"/>
      <c r="B169" s="5"/>
      <c r="C169" s="5"/>
      <c r="D169" s="5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2.75" x14ac:dyDescent="0.2">
      <c r="A170" s="5"/>
      <c r="B170" s="5"/>
      <c r="C170" s="5"/>
      <c r="D170" s="5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2.75" x14ac:dyDescent="0.2">
      <c r="A171" s="5"/>
      <c r="B171" s="5"/>
      <c r="C171" s="5"/>
      <c r="D171" s="5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2.75" x14ac:dyDescent="0.2">
      <c r="A172" s="5"/>
      <c r="B172" s="5"/>
      <c r="C172" s="5"/>
      <c r="D172" s="5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2.75" x14ac:dyDescent="0.2">
      <c r="A173" s="5"/>
      <c r="B173" s="5"/>
      <c r="C173" s="5"/>
      <c r="D173" s="5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2.75" x14ac:dyDescent="0.2">
      <c r="A174" s="5"/>
      <c r="B174" s="5"/>
      <c r="C174" s="5"/>
      <c r="D174" s="5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2.75" x14ac:dyDescent="0.2">
      <c r="A175" s="5"/>
      <c r="B175" s="5"/>
      <c r="C175" s="5"/>
      <c r="D175" s="5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2.75" x14ac:dyDescent="0.2">
      <c r="A176" s="5"/>
      <c r="B176" s="5"/>
      <c r="C176" s="5"/>
      <c r="D176" s="5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2.75" x14ac:dyDescent="0.2">
      <c r="A177" s="5"/>
      <c r="B177" s="5"/>
      <c r="C177" s="5"/>
      <c r="D177" s="5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2.75" x14ac:dyDescent="0.2">
      <c r="A178" s="5"/>
      <c r="B178" s="5"/>
      <c r="C178" s="5"/>
      <c r="D178" s="5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2.75" x14ac:dyDescent="0.2">
      <c r="A179" s="5"/>
      <c r="B179" s="5"/>
      <c r="C179" s="5"/>
      <c r="D179" s="5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2.75" x14ac:dyDescent="0.2">
      <c r="A180" s="5"/>
      <c r="B180" s="5"/>
      <c r="C180" s="5"/>
      <c r="D180" s="5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2.75" x14ac:dyDescent="0.2">
      <c r="A181" s="5"/>
      <c r="B181" s="5"/>
      <c r="C181" s="5"/>
      <c r="D181" s="5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2.75" x14ac:dyDescent="0.2">
      <c r="A182" s="5"/>
      <c r="B182" s="5"/>
      <c r="C182" s="5"/>
      <c r="D182" s="5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2.75" x14ac:dyDescent="0.2">
      <c r="A183" s="5"/>
      <c r="B183" s="5"/>
      <c r="C183" s="5"/>
      <c r="D183" s="5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2.75" x14ac:dyDescent="0.2">
      <c r="A184" s="5"/>
      <c r="B184" s="5"/>
      <c r="C184" s="5"/>
      <c r="D184" s="5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2.75" x14ac:dyDescent="0.2">
      <c r="A185" s="5"/>
      <c r="B185" s="5"/>
      <c r="C185" s="5"/>
      <c r="D185" s="5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2.75" x14ac:dyDescent="0.2">
      <c r="A186" s="5"/>
      <c r="B186" s="5"/>
      <c r="C186" s="5"/>
      <c r="D186" s="5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2.75" x14ac:dyDescent="0.2">
      <c r="A187" s="5"/>
      <c r="B187" s="5"/>
      <c r="C187" s="5"/>
      <c r="D187" s="5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2.75" x14ac:dyDescent="0.2">
      <c r="A188" s="5"/>
      <c r="B188" s="5"/>
      <c r="C188" s="5"/>
      <c r="D188" s="5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2.75" x14ac:dyDescent="0.2">
      <c r="A189" s="5"/>
      <c r="B189" s="5"/>
      <c r="C189" s="5"/>
      <c r="D189" s="5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2.75" x14ac:dyDescent="0.2">
      <c r="A190" s="5"/>
      <c r="B190" s="5"/>
      <c r="C190" s="5"/>
      <c r="D190" s="5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2.75" x14ac:dyDescent="0.2">
      <c r="A191" s="5"/>
      <c r="B191" s="5"/>
      <c r="C191" s="5"/>
      <c r="D191" s="5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2.75" x14ac:dyDescent="0.2">
      <c r="A192" s="5"/>
      <c r="B192" s="5"/>
      <c r="C192" s="5"/>
      <c r="D192" s="5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2.75" x14ac:dyDescent="0.2">
      <c r="A193" s="5"/>
      <c r="B193" s="5"/>
      <c r="C193" s="5"/>
      <c r="D193" s="5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2.75" x14ac:dyDescent="0.2">
      <c r="A194" s="5"/>
      <c r="B194" s="5"/>
      <c r="C194" s="5"/>
      <c r="D194" s="5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2.75" x14ac:dyDescent="0.2">
      <c r="A195" s="5"/>
      <c r="B195" s="5"/>
      <c r="C195" s="5"/>
      <c r="D195" s="5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2.75" x14ac:dyDescent="0.2">
      <c r="A196" s="5"/>
      <c r="B196" s="5"/>
      <c r="C196" s="5"/>
      <c r="D196" s="5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2.75" x14ac:dyDescent="0.2">
      <c r="A197" s="5"/>
      <c r="B197" s="5"/>
      <c r="C197" s="5"/>
      <c r="D197" s="5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2.75" x14ac:dyDescent="0.2">
      <c r="A198" s="5"/>
      <c r="B198" s="5"/>
      <c r="C198" s="5"/>
      <c r="D198" s="5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2.75" x14ac:dyDescent="0.2">
      <c r="A199" s="5"/>
      <c r="B199" s="5"/>
      <c r="C199" s="5"/>
      <c r="D199" s="5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2.75" x14ac:dyDescent="0.2">
      <c r="A200" s="5"/>
      <c r="B200" s="5"/>
      <c r="C200" s="5"/>
      <c r="D200" s="5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2.75" x14ac:dyDescent="0.2">
      <c r="A201" s="5"/>
      <c r="B201" s="5"/>
      <c r="C201" s="5"/>
      <c r="D201" s="5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2.75" x14ac:dyDescent="0.2">
      <c r="A202" s="5"/>
      <c r="B202" s="5"/>
      <c r="C202" s="5"/>
      <c r="D202" s="5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2.75" x14ac:dyDescent="0.2">
      <c r="A203" s="5"/>
      <c r="B203" s="5"/>
      <c r="C203" s="5"/>
      <c r="D203" s="5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2.75" x14ac:dyDescent="0.2">
      <c r="A204" s="5"/>
      <c r="B204" s="5"/>
      <c r="C204" s="5"/>
      <c r="D204" s="5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2.75" x14ac:dyDescent="0.2">
      <c r="A205" s="5"/>
      <c r="B205" s="5"/>
      <c r="C205" s="5"/>
      <c r="D205" s="5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2.75" x14ac:dyDescent="0.2">
      <c r="A206" s="5"/>
      <c r="B206" s="5"/>
      <c r="C206" s="5"/>
      <c r="D206" s="5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2.75" x14ac:dyDescent="0.2">
      <c r="A207" s="5"/>
      <c r="B207" s="5"/>
      <c r="C207" s="5"/>
      <c r="D207" s="5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2.75" x14ac:dyDescent="0.2">
      <c r="A208" s="5"/>
      <c r="B208" s="5"/>
      <c r="C208" s="5"/>
      <c r="D208" s="5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2.75" x14ac:dyDescent="0.2">
      <c r="A209" s="5"/>
      <c r="B209" s="5"/>
      <c r="C209" s="5"/>
      <c r="D209" s="5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2.75" x14ac:dyDescent="0.2">
      <c r="A210" s="5"/>
      <c r="B210" s="5"/>
      <c r="C210" s="5"/>
      <c r="D210" s="5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2.75" x14ac:dyDescent="0.2">
      <c r="A211" s="5"/>
      <c r="B211" s="5"/>
      <c r="C211" s="5"/>
      <c r="D211" s="5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2.75" x14ac:dyDescent="0.2">
      <c r="A212" s="5"/>
      <c r="B212" s="5"/>
      <c r="C212" s="5"/>
      <c r="D212" s="5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2.75" x14ac:dyDescent="0.2">
      <c r="A213" s="5"/>
      <c r="B213" s="5"/>
      <c r="C213" s="5"/>
      <c r="D213" s="5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2.75" x14ac:dyDescent="0.2">
      <c r="A214" s="5"/>
      <c r="B214" s="5"/>
      <c r="C214" s="5"/>
      <c r="D214" s="5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2.75" x14ac:dyDescent="0.2">
      <c r="A215" s="5"/>
      <c r="B215" s="5"/>
      <c r="C215" s="5"/>
      <c r="D215" s="5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2.75" x14ac:dyDescent="0.2">
      <c r="A216" s="5"/>
      <c r="B216" s="5"/>
      <c r="C216" s="5"/>
      <c r="D216" s="5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2.75" x14ac:dyDescent="0.2">
      <c r="A217" s="5"/>
      <c r="B217" s="5"/>
      <c r="C217" s="5"/>
      <c r="D217" s="5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2.75" x14ac:dyDescent="0.2">
      <c r="A218" s="5"/>
      <c r="B218" s="5"/>
      <c r="C218" s="5"/>
      <c r="D218" s="5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2.75" x14ac:dyDescent="0.2">
      <c r="A219" s="5"/>
      <c r="B219" s="5"/>
      <c r="C219" s="5"/>
      <c r="D219" s="5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2.75" x14ac:dyDescent="0.2">
      <c r="A220" s="5"/>
      <c r="B220" s="5"/>
      <c r="C220" s="5"/>
      <c r="D220" s="5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2.75" x14ac:dyDescent="0.2">
      <c r="A221" s="5"/>
      <c r="B221" s="5"/>
      <c r="C221" s="5"/>
      <c r="D221" s="5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2.75" x14ac:dyDescent="0.2">
      <c r="A222" s="5"/>
      <c r="B222" s="5"/>
      <c r="C222" s="5"/>
      <c r="D222" s="5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2.75" x14ac:dyDescent="0.2">
      <c r="A223" s="5"/>
      <c r="B223" s="5"/>
      <c r="C223" s="5"/>
      <c r="D223" s="5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2.75" x14ac:dyDescent="0.2">
      <c r="A224" s="5"/>
      <c r="B224" s="5"/>
      <c r="C224" s="5"/>
      <c r="D224" s="5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2.75" x14ac:dyDescent="0.2">
      <c r="A225" s="5"/>
      <c r="B225" s="5"/>
      <c r="C225" s="5"/>
      <c r="D225" s="5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2.75" x14ac:dyDescent="0.2">
      <c r="A226" s="5"/>
      <c r="B226" s="5"/>
      <c r="C226" s="5"/>
      <c r="D226" s="5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2.75" x14ac:dyDescent="0.2">
      <c r="A227" s="5"/>
      <c r="B227" s="5"/>
      <c r="C227" s="5"/>
      <c r="D227" s="5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2.75" x14ac:dyDescent="0.2">
      <c r="A228" s="5"/>
      <c r="B228" s="5"/>
      <c r="C228" s="5"/>
      <c r="D228" s="5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2.75" x14ac:dyDescent="0.2">
      <c r="A229" s="5"/>
      <c r="B229" s="5"/>
      <c r="C229" s="5"/>
      <c r="D229" s="5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2.75" x14ac:dyDescent="0.2">
      <c r="A230" s="5"/>
      <c r="B230" s="5"/>
      <c r="C230" s="5"/>
      <c r="D230" s="5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2.75" x14ac:dyDescent="0.2">
      <c r="A231" s="5"/>
      <c r="B231" s="5"/>
      <c r="C231" s="5"/>
      <c r="D231" s="5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2.75" x14ac:dyDescent="0.2">
      <c r="A232" s="5"/>
      <c r="B232" s="5"/>
      <c r="C232" s="5"/>
      <c r="D232" s="5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2.75" x14ac:dyDescent="0.2">
      <c r="A233" s="5"/>
      <c r="B233" s="5"/>
      <c r="C233" s="5"/>
      <c r="D233" s="5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2.75" x14ac:dyDescent="0.2">
      <c r="A234" s="5"/>
      <c r="B234" s="5"/>
      <c r="C234" s="5"/>
      <c r="D234" s="5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2.75" x14ac:dyDescent="0.2">
      <c r="A235" s="5"/>
      <c r="B235" s="5"/>
      <c r="C235" s="5"/>
      <c r="D235" s="5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2.75" x14ac:dyDescent="0.2">
      <c r="A236" s="5"/>
      <c r="B236" s="5"/>
      <c r="C236" s="5"/>
      <c r="D236" s="5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2.75" x14ac:dyDescent="0.2">
      <c r="A237" s="5"/>
      <c r="B237" s="5"/>
      <c r="C237" s="5"/>
      <c r="D237" s="5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2.75" x14ac:dyDescent="0.2">
      <c r="A238" s="5"/>
      <c r="B238" s="5"/>
      <c r="C238" s="5"/>
      <c r="D238" s="5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2.75" x14ac:dyDescent="0.2">
      <c r="A239" s="5"/>
      <c r="B239" s="5"/>
      <c r="C239" s="5"/>
      <c r="D239" s="5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2.75" x14ac:dyDescent="0.2">
      <c r="A240" s="5"/>
      <c r="B240" s="5"/>
      <c r="C240" s="5"/>
      <c r="D240" s="5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2.75" x14ac:dyDescent="0.2">
      <c r="A241" s="5"/>
      <c r="B241" s="5"/>
      <c r="C241" s="5"/>
      <c r="D241" s="5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2.75" x14ac:dyDescent="0.2">
      <c r="A242" s="5"/>
      <c r="B242" s="5"/>
      <c r="C242" s="5"/>
      <c r="D242" s="5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2.75" x14ac:dyDescent="0.2">
      <c r="A243" s="5"/>
      <c r="B243" s="5"/>
      <c r="C243" s="5"/>
      <c r="D243" s="5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2.75" x14ac:dyDescent="0.2">
      <c r="A244" s="5"/>
      <c r="B244" s="5"/>
      <c r="C244" s="5"/>
      <c r="D244" s="5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2.75" x14ac:dyDescent="0.2">
      <c r="A245" s="5"/>
      <c r="B245" s="5"/>
      <c r="C245" s="5"/>
      <c r="D245" s="5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2.75" x14ac:dyDescent="0.2">
      <c r="A246" s="5"/>
      <c r="B246" s="5"/>
      <c r="C246" s="5"/>
      <c r="D246" s="5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2.75" x14ac:dyDescent="0.2">
      <c r="A247" s="5"/>
      <c r="B247" s="5"/>
      <c r="C247" s="5"/>
      <c r="D247" s="5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2.75" x14ac:dyDescent="0.2">
      <c r="A248" s="5"/>
      <c r="B248" s="5"/>
      <c r="C248" s="5"/>
      <c r="D248" s="5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2.75" x14ac:dyDescent="0.2">
      <c r="A249" s="5"/>
      <c r="B249" s="5"/>
      <c r="C249" s="5"/>
      <c r="D249" s="5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2.75" x14ac:dyDescent="0.2">
      <c r="A250" s="5"/>
      <c r="B250" s="5"/>
      <c r="C250" s="5"/>
      <c r="D250" s="5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2.75" x14ac:dyDescent="0.2">
      <c r="A251" s="5"/>
      <c r="B251" s="5"/>
      <c r="C251" s="5"/>
      <c r="D251" s="5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2.75" x14ac:dyDescent="0.2">
      <c r="A252" s="5"/>
      <c r="B252" s="5"/>
      <c r="C252" s="5"/>
      <c r="D252" s="5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2.75" x14ac:dyDescent="0.2">
      <c r="A253" s="5"/>
      <c r="B253" s="5"/>
      <c r="C253" s="5"/>
      <c r="D253" s="5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2.75" x14ac:dyDescent="0.2">
      <c r="A254" s="5"/>
      <c r="B254" s="5"/>
      <c r="C254" s="5"/>
      <c r="D254" s="5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2.75" x14ac:dyDescent="0.2">
      <c r="A255" s="5"/>
      <c r="B255" s="5"/>
      <c r="C255" s="5"/>
      <c r="D255" s="5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2.75" x14ac:dyDescent="0.2">
      <c r="A256" s="5"/>
      <c r="B256" s="5"/>
      <c r="C256" s="5"/>
      <c r="D256" s="5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2.75" x14ac:dyDescent="0.2">
      <c r="A257" s="5"/>
      <c r="B257" s="5"/>
      <c r="C257" s="5"/>
      <c r="D257" s="5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2.75" x14ac:dyDescent="0.2">
      <c r="A258" s="5"/>
      <c r="B258" s="5"/>
      <c r="C258" s="5"/>
      <c r="D258" s="5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2.75" x14ac:dyDescent="0.2">
      <c r="A259" s="5"/>
      <c r="B259" s="5"/>
      <c r="C259" s="5"/>
      <c r="D259" s="5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2.75" x14ac:dyDescent="0.2">
      <c r="A260" s="5"/>
      <c r="B260" s="5"/>
      <c r="C260" s="5"/>
      <c r="D260" s="5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2.75" x14ac:dyDescent="0.2">
      <c r="A261" s="5"/>
      <c r="B261" s="5"/>
      <c r="C261" s="5"/>
      <c r="D261" s="5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2.75" x14ac:dyDescent="0.2">
      <c r="A262" s="5"/>
      <c r="B262" s="5"/>
      <c r="C262" s="5"/>
      <c r="D262" s="5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2.75" x14ac:dyDescent="0.2">
      <c r="A263" s="5"/>
      <c r="B263" s="5"/>
      <c r="C263" s="5"/>
      <c r="D263" s="5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2.75" x14ac:dyDescent="0.2">
      <c r="A264" s="5"/>
      <c r="B264" s="5"/>
      <c r="C264" s="5"/>
      <c r="D264" s="5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2.75" x14ac:dyDescent="0.2">
      <c r="A265" s="5"/>
      <c r="B265" s="5"/>
      <c r="C265" s="5"/>
      <c r="D265" s="5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2.75" x14ac:dyDescent="0.2">
      <c r="A266" s="5"/>
      <c r="B266" s="5"/>
      <c r="C266" s="5"/>
      <c r="D266" s="5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2.75" x14ac:dyDescent="0.2">
      <c r="A267" s="5"/>
      <c r="B267" s="5"/>
      <c r="C267" s="5"/>
      <c r="D267" s="5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2.75" x14ac:dyDescent="0.2">
      <c r="A268" s="5"/>
      <c r="B268" s="5"/>
      <c r="C268" s="5"/>
      <c r="D268" s="5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2.75" x14ac:dyDescent="0.2">
      <c r="A269" s="5"/>
      <c r="B269" s="5"/>
      <c r="C269" s="5"/>
      <c r="D269" s="5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2.75" x14ac:dyDescent="0.2">
      <c r="A270" s="5"/>
      <c r="B270" s="5"/>
      <c r="C270" s="5"/>
      <c r="D270" s="5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2.75" x14ac:dyDescent="0.2">
      <c r="A271" s="5"/>
      <c r="B271" s="5"/>
      <c r="C271" s="5"/>
      <c r="D271" s="5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2.75" x14ac:dyDescent="0.2">
      <c r="A272" s="5"/>
      <c r="B272" s="5"/>
      <c r="C272" s="5"/>
      <c r="D272" s="5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2.75" x14ac:dyDescent="0.2">
      <c r="A273" s="5"/>
      <c r="B273" s="5"/>
      <c r="C273" s="5"/>
      <c r="D273" s="5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2.75" x14ac:dyDescent="0.2">
      <c r="A274" s="5"/>
      <c r="B274" s="5"/>
      <c r="C274" s="5"/>
      <c r="D274" s="5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2.75" x14ac:dyDescent="0.2">
      <c r="A275" s="5"/>
      <c r="B275" s="5"/>
      <c r="C275" s="5"/>
      <c r="D275" s="5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2.75" x14ac:dyDescent="0.2">
      <c r="A276" s="5"/>
      <c r="B276" s="5"/>
      <c r="C276" s="5"/>
      <c r="D276" s="5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2.75" x14ac:dyDescent="0.2">
      <c r="A277" s="5"/>
      <c r="B277" s="5"/>
      <c r="C277" s="5"/>
      <c r="D277" s="5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2.75" x14ac:dyDescent="0.2">
      <c r="A278" s="5"/>
      <c r="B278" s="5"/>
      <c r="C278" s="5"/>
      <c r="D278" s="5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2.75" x14ac:dyDescent="0.2">
      <c r="A279" s="5"/>
      <c r="B279" s="5"/>
      <c r="C279" s="5"/>
      <c r="D279" s="5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2.75" x14ac:dyDescent="0.2">
      <c r="A280" s="5"/>
      <c r="B280" s="5"/>
      <c r="C280" s="5"/>
      <c r="D280" s="5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2.75" x14ac:dyDescent="0.2">
      <c r="A281" s="5"/>
      <c r="B281" s="5"/>
      <c r="C281" s="5"/>
      <c r="D281" s="5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2.75" x14ac:dyDescent="0.2">
      <c r="A282" s="5"/>
      <c r="B282" s="5"/>
      <c r="C282" s="5"/>
      <c r="D282" s="5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2.75" x14ac:dyDescent="0.2">
      <c r="A283" s="5"/>
      <c r="B283" s="5"/>
      <c r="C283" s="5"/>
      <c r="D283" s="5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2.75" x14ac:dyDescent="0.2">
      <c r="A284" s="5"/>
      <c r="B284" s="5"/>
      <c r="C284" s="5"/>
      <c r="D284" s="5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2.75" x14ac:dyDescent="0.2">
      <c r="A285" s="5"/>
      <c r="B285" s="5"/>
      <c r="C285" s="5"/>
      <c r="D285" s="5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2.75" x14ac:dyDescent="0.2">
      <c r="A286" s="5"/>
      <c r="B286" s="5"/>
      <c r="C286" s="5"/>
      <c r="D286" s="5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2.75" x14ac:dyDescent="0.2">
      <c r="A287" s="5"/>
      <c r="B287" s="5"/>
      <c r="C287" s="5"/>
      <c r="D287" s="5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2.75" x14ac:dyDescent="0.2">
      <c r="A288" s="5"/>
      <c r="B288" s="5"/>
      <c r="C288" s="5"/>
      <c r="D288" s="5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2.75" x14ac:dyDescent="0.2">
      <c r="A289" s="5"/>
      <c r="B289" s="5"/>
      <c r="C289" s="5"/>
      <c r="D289" s="5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2.75" x14ac:dyDescent="0.2">
      <c r="A290" s="5"/>
      <c r="B290" s="5"/>
      <c r="C290" s="5"/>
      <c r="D290" s="5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2.75" x14ac:dyDescent="0.2">
      <c r="A291" s="5"/>
      <c r="B291" s="5"/>
      <c r="C291" s="5"/>
      <c r="D291" s="5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2.75" x14ac:dyDescent="0.2">
      <c r="A292" s="5"/>
      <c r="B292" s="5"/>
      <c r="C292" s="5"/>
      <c r="D292" s="5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2.75" x14ac:dyDescent="0.2">
      <c r="A293" s="5"/>
      <c r="B293" s="5"/>
      <c r="C293" s="5"/>
      <c r="D293" s="5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2.75" x14ac:dyDescent="0.2">
      <c r="A294" s="5"/>
      <c r="B294" s="5"/>
      <c r="C294" s="5"/>
      <c r="D294" s="5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2.75" x14ac:dyDescent="0.2">
      <c r="A295" s="5"/>
      <c r="B295" s="5"/>
      <c r="C295" s="5"/>
      <c r="D295" s="5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2.75" x14ac:dyDescent="0.2">
      <c r="A296" s="5"/>
      <c r="B296" s="5"/>
      <c r="C296" s="5"/>
      <c r="D296" s="5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2.75" x14ac:dyDescent="0.2">
      <c r="A297" s="5"/>
      <c r="B297" s="5"/>
      <c r="C297" s="5"/>
      <c r="D297" s="5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2.75" x14ac:dyDescent="0.2">
      <c r="A298" s="5"/>
      <c r="B298" s="5"/>
      <c r="C298" s="5"/>
      <c r="D298" s="5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2.75" x14ac:dyDescent="0.2">
      <c r="A299" s="5"/>
      <c r="B299" s="5"/>
      <c r="C299" s="5"/>
      <c r="D299" s="5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2.75" x14ac:dyDescent="0.2">
      <c r="A300" s="5"/>
      <c r="B300" s="5"/>
      <c r="C300" s="5"/>
      <c r="D300" s="5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2.75" x14ac:dyDescent="0.2">
      <c r="A301" s="5"/>
      <c r="B301" s="5"/>
      <c r="C301" s="5"/>
      <c r="D301" s="5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2.75" x14ac:dyDescent="0.2">
      <c r="A302" s="5"/>
      <c r="B302" s="5"/>
      <c r="C302" s="5"/>
      <c r="D302" s="5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2.75" x14ac:dyDescent="0.2">
      <c r="A303" s="5"/>
      <c r="B303" s="5"/>
      <c r="C303" s="5"/>
      <c r="D303" s="5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2.75" x14ac:dyDescent="0.2">
      <c r="A304" s="5"/>
      <c r="B304" s="5"/>
      <c r="C304" s="5"/>
      <c r="D304" s="5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2.75" x14ac:dyDescent="0.2">
      <c r="A305" s="5"/>
      <c r="B305" s="5"/>
      <c r="C305" s="5"/>
      <c r="D305" s="5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2.75" x14ac:dyDescent="0.2">
      <c r="A306" s="5"/>
      <c r="B306" s="5"/>
      <c r="C306" s="5"/>
      <c r="D306" s="5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2.75" x14ac:dyDescent="0.2">
      <c r="A307" s="5"/>
      <c r="B307" s="5"/>
      <c r="C307" s="5"/>
      <c r="D307" s="5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2.75" x14ac:dyDescent="0.2">
      <c r="A308" s="5"/>
      <c r="B308" s="5"/>
      <c r="C308" s="5"/>
      <c r="D308" s="5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2.75" x14ac:dyDescent="0.2">
      <c r="A309" s="5"/>
      <c r="B309" s="5"/>
      <c r="C309" s="5"/>
      <c r="D309" s="5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2.75" x14ac:dyDescent="0.2">
      <c r="A310" s="5"/>
      <c r="B310" s="5"/>
      <c r="C310" s="5"/>
      <c r="D310" s="5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2.75" x14ac:dyDescent="0.2">
      <c r="A311" s="5"/>
      <c r="B311" s="5"/>
      <c r="C311" s="5"/>
      <c r="D311" s="5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2.75" x14ac:dyDescent="0.2">
      <c r="A312" s="5"/>
      <c r="B312" s="5"/>
      <c r="C312" s="5"/>
      <c r="D312" s="5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2.75" x14ac:dyDescent="0.2">
      <c r="A313" s="5"/>
      <c r="B313" s="5"/>
      <c r="C313" s="5"/>
      <c r="D313" s="5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2.75" x14ac:dyDescent="0.2">
      <c r="A314" s="5"/>
      <c r="B314" s="5"/>
      <c r="C314" s="5"/>
      <c r="D314" s="5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2.75" x14ac:dyDescent="0.2">
      <c r="A315" s="5"/>
      <c r="B315" s="5"/>
      <c r="C315" s="5"/>
      <c r="D315" s="5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2.75" x14ac:dyDescent="0.2">
      <c r="A316" s="5"/>
      <c r="B316" s="5"/>
      <c r="C316" s="5"/>
      <c r="D316" s="5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2.75" x14ac:dyDescent="0.2">
      <c r="A317" s="5"/>
      <c r="B317" s="5"/>
      <c r="C317" s="5"/>
      <c r="D317" s="5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2.75" x14ac:dyDescent="0.2">
      <c r="A318" s="5"/>
      <c r="B318" s="5"/>
      <c r="C318" s="5"/>
      <c r="D318" s="5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2.75" x14ac:dyDescent="0.2">
      <c r="A319" s="5"/>
      <c r="B319" s="5"/>
      <c r="C319" s="5"/>
      <c r="D319" s="5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2.75" x14ac:dyDescent="0.2">
      <c r="A320" s="5"/>
      <c r="B320" s="5"/>
      <c r="C320" s="5"/>
      <c r="D320" s="5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2.75" x14ac:dyDescent="0.2">
      <c r="A321" s="5"/>
      <c r="B321" s="5"/>
      <c r="C321" s="5"/>
      <c r="D321" s="5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2.75" x14ac:dyDescent="0.2">
      <c r="A322" s="5"/>
      <c r="B322" s="5"/>
      <c r="C322" s="5"/>
      <c r="D322" s="5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2.75" x14ac:dyDescent="0.2">
      <c r="A323" s="5"/>
      <c r="B323" s="5"/>
      <c r="C323" s="5"/>
      <c r="D323" s="5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2.75" x14ac:dyDescent="0.2">
      <c r="A324" s="5"/>
      <c r="B324" s="5"/>
      <c r="C324" s="5"/>
      <c r="D324" s="5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2.75" x14ac:dyDescent="0.2">
      <c r="A325" s="5"/>
      <c r="B325" s="5"/>
      <c r="C325" s="5"/>
      <c r="D325" s="5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2.75" x14ac:dyDescent="0.2">
      <c r="A326" s="5"/>
      <c r="B326" s="5"/>
      <c r="C326" s="5"/>
      <c r="D326" s="5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2.75" x14ac:dyDescent="0.2">
      <c r="A327" s="5"/>
      <c r="B327" s="5"/>
      <c r="C327" s="5"/>
      <c r="D327" s="5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2.75" x14ac:dyDescent="0.2">
      <c r="A328" s="5"/>
      <c r="B328" s="5"/>
      <c r="C328" s="5"/>
      <c r="D328" s="5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2.75" x14ac:dyDescent="0.2">
      <c r="A329" s="5"/>
      <c r="B329" s="5"/>
      <c r="C329" s="5"/>
      <c r="D329" s="5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2.75" x14ac:dyDescent="0.2">
      <c r="A330" s="5"/>
      <c r="B330" s="5"/>
      <c r="C330" s="5"/>
      <c r="D330" s="5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2.75" x14ac:dyDescent="0.2">
      <c r="A331" s="5"/>
      <c r="B331" s="5"/>
      <c r="C331" s="5"/>
      <c r="D331" s="5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2.75" x14ac:dyDescent="0.2">
      <c r="A332" s="5"/>
      <c r="B332" s="5"/>
      <c r="C332" s="5"/>
      <c r="D332" s="5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2.75" x14ac:dyDescent="0.2">
      <c r="A333" s="5"/>
      <c r="B333" s="5"/>
      <c r="C333" s="5"/>
      <c r="D333" s="5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2.75" x14ac:dyDescent="0.2">
      <c r="A334" s="5"/>
      <c r="B334" s="5"/>
      <c r="C334" s="5"/>
      <c r="D334" s="5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2.75" x14ac:dyDescent="0.2">
      <c r="A335" s="5"/>
      <c r="B335" s="5"/>
      <c r="C335" s="5"/>
      <c r="D335" s="5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2.75" x14ac:dyDescent="0.2">
      <c r="A336" s="5"/>
      <c r="B336" s="5"/>
      <c r="C336" s="5"/>
      <c r="D336" s="5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2.75" x14ac:dyDescent="0.2">
      <c r="A337" s="5"/>
      <c r="B337" s="5"/>
      <c r="C337" s="5"/>
      <c r="D337" s="5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2.75" x14ac:dyDescent="0.2">
      <c r="A338" s="5"/>
      <c r="B338" s="5"/>
      <c r="C338" s="5"/>
      <c r="D338" s="5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2.75" x14ac:dyDescent="0.2">
      <c r="A339" s="5"/>
      <c r="B339" s="5"/>
      <c r="C339" s="5"/>
      <c r="D339" s="5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2.75" x14ac:dyDescent="0.2">
      <c r="A340" s="5"/>
      <c r="B340" s="5"/>
      <c r="C340" s="5"/>
      <c r="D340" s="5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2.75" x14ac:dyDescent="0.2">
      <c r="A341" s="5"/>
      <c r="B341" s="5"/>
      <c r="C341" s="5"/>
      <c r="D341" s="5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2.75" x14ac:dyDescent="0.2">
      <c r="A342" s="5"/>
      <c r="B342" s="5"/>
      <c r="C342" s="5"/>
      <c r="D342" s="5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2.75" x14ac:dyDescent="0.2">
      <c r="A343" s="5"/>
      <c r="B343" s="5"/>
      <c r="C343" s="5"/>
      <c r="D343" s="5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2.75" x14ac:dyDescent="0.2">
      <c r="A344" s="5"/>
      <c r="B344" s="5"/>
      <c r="C344" s="5"/>
      <c r="D344" s="5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2.75" x14ac:dyDescent="0.2">
      <c r="A345" s="5"/>
      <c r="B345" s="5"/>
      <c r="C345" s="5"/>
      <c r="D345" s="5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2.75" x14ac:dyDescent="0.2">
      <c r="A346" s="5"/>
      <c r="B346" s="5"/>
      <c r="C346" s="5"/>
      <c r="D346" s="5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2.75" x14ac:dyDescent="0.2">
      <c r="A347" s="5"/>
      <c r="B347" s="5"/>
      <c r="C347" s="5"/>
      <c r="D347" s="5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2.75" x14ac:dyDescent="0.2">
      <c r="A348" s="5"/>
      <c r="B348" s="5"/>
      <c r="C348" s="5"/>
      <c r="D348" s="5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2.75" x14ac:dyDescent="0.2">
      <c r="A349" s="5"/>
      <c r="B349" s="5"/>
      <c r="C349" s="5"/>
      <c r="D349" s="5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2.75" x14ac:dyDescent="0.2">
      <c r="A350" s="5"/>
      <c r="B350" s="5"/>
      <c r="C350" s="5"/>
      <c r="D350" s="5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2.75" x14ac:dyDescent="0.2">
      <c r="A351" s="5"/>
      <c r="B351" s="5"/>
      <c r="C351" s="5"/>
      <c r="D351" s="5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2.75" x14ac:dyDescent="0.2">
      <c r="A352" s="5"/>
      <c r="B352" s="5"/>
      <c r="C352" s="5"/>
      <c r="D352" s="5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2.75" x14ac:dyDescent="0.2">
      <c r="A353" s="5"/>
      <c r="B353" s="5"/>
      <c r="C353" s="5"/>
      <c r="D353" s="5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2.75" x14ac:dyDescent="0.2">
      <c r="A354" s="5"/>
      <c r="B354" s="5"/>
      <c r="C354" s="5"/>
      <c r="D354" s="5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2.75" x14ac:dyDescent="0.2">
      <c r="A355" s="5"/>
      <c r="B355" s="5"/>
      <c r="C355" s="5"/>
      <c r="D355" s="5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2.75" x14ac:dyDescent="0.2">
      <c r="A356" s="5"/>
      <c r="B356" s="5"/>
      <c r="C356" s="5"/>
      <c r="D356" s="5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2.75" x14ac:dyDescent="0.2">
      <c r="A357" s="5"/>
      <c r="B357" s="5"/>
      <c r="C357" s="5"/>
      <c r="D357" s="5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2.75" x14ac:dyDescent="0.2">
      <c r="A358" s="5"/>
      <c r="B358" s="5"/>
      <c r="C358" s="5"/>
      <c r="D358" s="5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2.75" x14ac:dyDescent="0.2">
      <c r="A359" s="5"/>
      <c r="B359" s="5"/>
      <c r="C359" s="5"/>
      <c r="D359" s="5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2.75" x14ac:dyDescent="0.2">
      <c r="A360" s="5"/>
      <c r="B360" s="5"/>
      <c r="C360" s="5"/>
      <c r="D360" s="5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2.75" x14ac:dyDescent="0.2">
      <c r="A361" s="5"/>
      <c r="B361" s="5"/>
      <c r="C361" s="5"/>
      <c r="D361" s="5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2.75" x14ac:dyDescent="0.2">
      <c r="A362" s="5"/>
      <c r="B362" s="5"/>
      <c r="C362" s="5"/>
      <c r="D362" s="5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2.75" x14ac:dyDescent="0.2">
      <c r="A363" s="5"/>
      <c r="B363" s="5"/>
      <c r="C363" s="5"/>
      <c r="D363" s="5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2.75" x14ac:dyDescent="0.2">
      <c r="A364" s="5"/>
      <c r="B364" s="5"/>
      <c r="C364" s="5"/>
      <c r="D364" s="5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2.75" x14ac:dyDescent="0.2">
      <c r="A365" s="5"/>
      <c r="B365" s="5"/>
      <c r="C365" s="5"/>
      <c r="D365" s="5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2.75" x14ac:dyDescent="0.2">
      <c r="A366" s="5"/>
      <c r="B366" s="5"/>
      <c r="C366" s="5"/>
      <c r="D366" s="5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2.75" x14ac:dyDescent="0.2">
      <c r="A367" s="5"/>
      <c r="B367" s="5"/>
      <c r="C367" s="5"/>
      <c r="D367" s="5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2.75" x14ac:dyDescent="0.2">
      <c r="A368" s="5"/>
      <c r="B368" s="5"/>
      <c r="C368" s="5"/>
      <c r="D368" s="5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2.75" x14ac:dyDescent="0.2">
      <c r="A369" s="5"/>
      <c r="B369" s="5"/>
      <c r="C369" s="5"/>
      <c r="D369" s="5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2.75" x14ac:dyDescent="0.2">
      <c r="A370" s="5"/>
      <c r="B370" s="5"/>
      <c r="C370" s="5"/>
      <c r="D370" s="5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2.75" x14ac:dyDescent="0.2">
      <c r="A371" s="5"/>
      <c r="B371" s="5"/>
      <c r="C371" s="5"/>
      <c r="D371" s="5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2.75" x14ac:dyDescent="0.2">
      <c r="A372" s="5"/>
      <c r="B372" s="5"/>
      <c r="C372" s="5"/>
      <c r="D372" s="5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2.75" x14ac:dyDescent="0.2">
      <c r="A373" s="5"/>
      <c r="B373" s="5"/>
      <c r="C373" s="5"/>
      <c r="D373" s="5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2.75" x14ac:dyDescent="0.2">
      <c r="A374" s="5"/>
      <c r="B374" s="5"/>
      <c r="C374" s="5"/>
      <c r="D374" s="5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2.75" x14ac:dyDescent="0.2">
      <c r="A375" s="5"/>
      <c r="B375" s="5"/>
      <c r="C375" s="5"/>
      <c r="D375" s="5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2.75" x14ac:dyDescent="0.2">
      <c r="A376" s="5"/>
      <c r="B376" s="5"/>
      <c r="C376" s="5"/>
      <c r="D376" s="5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2.75" x14ac:dyDescent="0.2">
      <c r="A377" s="5"/>
      <c r="B377" s="5"/>
      <c r="C377" s="5"/>
      <c r="D377" s="5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2.75" x14ac:dyDescent="0.2">
      <c r="A378" s="5"/>
      <c r="B378" s="5"/>
      <c r="C378" s="5"/>
      <c r="D378" s="5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2.75" x14ac:dyDescent="0.2">
      <c r="A379" s="5"/>
      <c r="B379" s="5"/>
      <c r="C379" s="5"/>
      <c r="D379" s="5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2.75" x14ac:dyDescent="0.2">
      <c r="A380" s="5"/>
      <c r="B380" s="5"/>
      <c r="C380" s="5"/>
      <c r="D380" s="5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2.75" x14ac:dyDescent="0.2">
      <c r="A381" s="5"/>
      <c r="B381" s="5"/>
      <c r="C381" s="5"/>
      <c r="D381" s="5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2.75" x14ac:dyDescent="0.2">
      <c r="A382" s="5"/>
      <c r="B382" s="5"/>
      <c r="C382" s="5"/>
      <c r="D382" s="5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2.75" x14ac:dyDescent="0.2">
      <c r="A383" s="5"/>
      <c r="B383" s="5"/>
      <c r="C383" s="5"/>
      <c r="D383" s="5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2.75" x14ac:dyDescent="0.2">
      <c r="A384" s="5"/>
      <c r="B384" s="5"/>
      <c r="C384" s="5"/>
      <c r="D384" s="5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2.75" x14ac:dyDescent="0.2">
      <c r="A385" s="5"/>
      <c r="B385" s="5"/>
      <c r="C385" s="5"/>
      <c r="D385" s="5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2.75" x14ac:dyDescent="0.2">
      <c r="A386" s="5"/>
      <c r="B386" s="5"/>
      <c r="C386" s="5"/>
      <c r="D386" s="5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2.75" x14ac:dyDescent="0.2">
      <c r="A387" s="5"/>
      <c r="B387" s="5"/>
      <c r="C387" s="5"/>
      <c r="D387" s="5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2.75" x14ac:dyDescent="0.2">
      <c r="A388" s="5"/>
      <c r="B388" s="5"/>
      <c r="C388" s="5"/>
      <c r="D388" s="5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2.75" x14ac:dyDescent="0.2">
      <c r="A389" s="5"/>
      <c r="B389" s="5"/>
      <c r="C389" s="5"/>
      <c r="D389" s="5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2.75" x14ac:dyDescent="0.2">
      <c r="A390" s="5"/>
      <c r="B390" s="5"/>
      <c r="C390" s="5"/>
      <c r="D390" s="5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2.75" x14ac:dyDescent="0.2">
      <c r="A391" s="5"/>
      <c r="B391" s="5"/>
      <c r="C391" s="5"/>
      <c r="D391" s="5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2.75" x14ac:dyDescent="0.2">
      <c r="A392" s="5"/>
      <c r="B392" s="5"/>
      <c r="C392" s="5"/>
      <c r="D392" s="5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2.75" x14ac:dyDescent="0.2">
      <c r="A393" s="5"/>
      <c r="B393" s="5"/>
      <c r="C393" s="5"/>
      <c r="D393" s="5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2.75" x14ac:dyDescent="0.2">
      <c r="A394" s="5"/>
      <c r="B394" s="5"/>
      <c r="C394" s="5"/>
      <c r="D394" s="5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2.75" x14ac:dyDescent="0.2">
      <c r="A395" s="5"/>
      <c r="B395" s="5"/>
      <c r="C395" s="5"/>
      <c r="D395" s="5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2.75" x14ac:dyDescent="0.2">
      <c r="A396" s="5"/>
      <c r="B396" s="5"/>
      <c r="C396" s="5"/>
      <c r="D396" s="5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2.75" x14ac:dyDescent="0.2">
      <c r="A397" s="5"/>
      <c r="B397" s="5"/>
      <c r="C397" s="5"/>
      <c r="D397" s="5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2.75" x14ac:dyDescent="0.2">
      <c r="A398" s="5"/>
      <c r="B398" s="5"/>
      <c r="C398" s="5"/>
      <c r="D398" s="5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2.75" x14ac:dyDescent="0.2">
      <c r="A399" s="5"/>
      <c r="B399" s="5"/>
      <c r="C399" s="5"/>
      <c r="D399" s="5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2.75" x14ac:dyDescent="0.2">
      <c r="A400" s="5"/>
      <c r="B400" s="5"/>
      <c r="C400" s="5"/>
      <c r="D400" s="5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2.75" x14ac:dyDescent="0.2">
      <c r="A401" s="5"/>
      <c r="B401" s="5"/>
      <c r="C401" s="5"/>
      <c r="D401" s="5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2.75" x14ac:dyDescent="0.2">
      <c r="A402" s="5"/>
      <c r="B402" s="5"/>
      <c r="C402" s="5"/>
      <c r="D402" s="5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2.75" x14ac:dyDescent="0.2">
      <c r="A403" s="5"/>
      <c r="B403" s="5"/>
      <c r="C403" s="5"/>
      <c r="D403" s="5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2.75" x14ac:dyDescent="0.2">
      <c r="A404" s="5"/>
      <c r="B404" s="5"/>
      <c r="C404" s="5"/>
      <c r="D404" s="5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2.75" x14ac:dyDescent="0.2">
      <c r="A405" s="5"/>
      <c r="B405" s="5"/>
      <c r="C405" s="5"/>
      <c r="D405" s="5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2.75" x14ac:dyDescent="0.2">
      <c r="A406" s="5"/>
      <c r="B406" s="5"/>
      <c r="C406" s="5"/>
      <c r="D406" s="5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2.75" x14ac:dyDescent="0.2">
      <c r="A407" s="5"/>
      <c r="B407" s="5"/>
      <c r="C407" s="5"/>
      <c r="D407" s="5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2.75" x14ac:dyDescent="0.2">
      <c r="A408" s="5"/>
      <c r="B408" s="5"/>
      <c r="C408" s="5"/>
      <c r="D408" s="5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2.75" x14ac:dyDescent="0.2">
      <c r="A409" s="5"/>
      <c r="B409" s="5"/>
      <c r="C409" s="5"/>
      <c r="D409" s="5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2.75" x14ac:dyDescent="0.2">
      <c r="A410" s="5"/>
      <c r="B410" s="5"/>
      <c r="C410" s="5"/>
      <c r="D410" s="5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2.75" x14ac:dyDescent="0.2">
      <c r="A411" s="5"/>
      <c r="B411" s="5"/>
      <c r="C411" s="5"/>
      <c r="D411" s="5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2.75" x14ac:dyDescent="0.2">
      <c r="A412" s="5"/>
      <c r="B412" s="5"/>
      <c r="C412" s="5"/>
      <c r="D412" s="5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2.75" x14ac:dyDescent="0.2">
      <c r="A413" s="5"/>
      <c r="B413" s="5"/>
      <c r="C413" s="5"/>
      <c r="D413" s="5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2.75" x14ac:dyDescent="0.2">
      <c r="A414" s="5"/>
      <c r="B414" s="5"/>
      <c r="C414" s="5"/>
      <c r="D414" s="5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2.75" x14ac:dyDescent="0.2">
      <c r="A415" s="5"/>
      <c r="B415" s="5"/>
      <c r="C415" s="5"/>
      <c r="D415" s="5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2.75" x14ac:dyDescent="0.2">
      <c r="A416" s="5"/>
      <c r="B416" s="5"/>
      <c r="C416" s="5"/>
      <c r="D416" s="5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2.75" x14ac:dyDescent="0.2">
      <c r="A417" s="5"/>
      <c r="B417" s="5"/>
      <c r="C417" s="5"/>
      <c r="D417" s="5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2.75" x14ac:dyDescent="0.2">
      <c r="A418" s="5"/>
      <c r="B418" s="5"/>
      <c r="C418" s="5"/>
      <c r="D418" s="5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2.75" x14ac:dyDescent="0.2">
      <c r="A419" s="5"/>
      <c r="B419" s="5"/>
      <c r="C419" s="5"/>
      <c r="D419" s="5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2.75" x14ac:dyDescent="0.2">
      <c r="A420" s="5"/>
      <c r="B420" s="5"/>
      <c r="C420" s="5"/>
      <c r="D420" s="5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2.75" x14ac:dyDescent="0.2">
      <c r="A421" s="5"/>
      <c r="B421" s="5"/>
      <c r="C421" s="5"/>
      <c r="D421" s="5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2.75" x14ac:dyDescent="0.2">
      <c r="A422" s="5"/>
      <c r="B422" s="5"/>
      <c r="C422" s="5"/>
      <c r="D422" s="5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2.75" x14ac:dyDescent="0.2">
      <c r="A423" s="5"/>
      <c r="B423" s="5"/>
      <c r="C423" s="5"/>
      <c r="D423" s="5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2.75" x14ac:dyDescent="0.2">
      <c r="A424" s="5"/>
      <c r="B424" s="5"/>
      <c r="C424" s="5"/>
      <c r="D424" s="5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2.75" x14ac:dyDescent="0.2">
      <c r="A425" s="5"/>
      <c r="B425" s="5"/>
      <c r="C425" s="5"/>
      <c r="D425" s="5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2.75" x14ac:dyDescent="0.2">
      <c r="A426" s="5"/>
      <c r="B426" s="5"/>
      <c r="C426" s="5"/>
      <c r="D426" s="5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2.75" x14ac:dyDescent="0.2">
      <c r="A427" s="5"/>
      <c r="B427" s="5"/>
      <c r="C427" s="5"/>
      <c r="D427" s="5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2.75" x14ac:dyDescent="0.2">
      <c r="A428" s="5"/>
      <c r="B428" s="5"/>
      <c r="C428" s="5"/>
      <c r="D428" s="5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2.75" x14ac:dyDescent="0.2">
      <c r="A429" s="5"/>
      <c r="B429" s="5"/>
      <c r="C429" s="5"/>
      <c r="D429" s="5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2.75" x14ac:dyDescent="0.2">
      <c r="A430" s="5"/>
      <c r="B430" s="5"/>
      <c r="C430" s="5"/>
      <c r="D430" s="5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2.75" x14ac:dyDescent="0.2">
      <c r="A431" s="5"/>
      <c r="B431" s="5"/>
      <c r="C431" s="5"/>
      <c r="D431" s="5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2.75" x14ac:dyDescent="0.2">
      <c r="A432" s="5"/>
      <c r="B432" s="5"/>
      <c r="C432" s="5"/>
      <c r="D432" s="5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2.75" x14ac:dyDescent="0.2">
      <c r="A433" s="5"/>
      <c r="B433" s="5"/>
      <c r="C433" s="5"/>
      <c r="D433" s="5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2.75" x14ac:dyDescent="0.2">
      <c r="A434" s="5"/>
      <c r="B434" s="5"/>
      <c r="C434" s="5"/>
      <c r="D434" s="5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2.75" x14ac:dyDescent="0.2">
      <c r="A435" s="5"/>
      <c r="B435" s="5"/>
      <c r="C435" s="5"/>
      <c r="D435" s="5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2.75" x14ac:dyDescent="0.2">
      <c r="A436" s="5"/>
      <c r="B436" s="5"/>
      <c r="C436" s="5"/>
      <c r="D436" s="5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2.75" x14ac:dyDescent="0.2">
      <c r="A437" s="5"/>
      <c r="B437" s="5"/>
      <c r="C437" s="5"/>
      <c r="D437" s="5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2.75" x14ac:dyDescent="0.2">
      <c r="A438" s="5"/>
      <c r="B438" s="5"/>
      <c r="C438" s="5"/>
      <c r="D438" s="5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2.75" x14ac:dyDescent="0.2">
      <c r="A439" s="5"/>
      <c r="B439" s="5"/>
      <c r="C439" s="5"/>
      <c r="D439" s="5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2.75" x14ac:dyDescent="0.2">
      <c r="A440" s="5"/>
      <c r="B440" s="5"/>
      <c r="C440" s="5"/>
      <c r="D440" s="5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2.75" x14ac:dyDescent="0.2">
      <c r="A441" s="5"/>
      <c r="B441" s="5"/>
      <c r="C441" s="5"/>
      <c r="D441" s="5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2.75" x14ac:dyDescent="0.2">
      <c r="A442" s="5"/>
      <c r="B442" s="5"/>
      <c r="C442" s="5"/>
      <c r="D442" s="5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2.75" x14ac:dyDescent="0.2">
      <c r="A443" s="5"/>
      <c r="B443" s="5"/>
      <c r="C443" s="5"/>
      <c r="D443" s="5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2.75" x14ac:dyDescent="0.2">
      <c r="A444" s="5"/>
      <c r="B444" s="5"/>
      <c r="C444" s="5"/>
      <c r="D444" s="5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2.75" x14ac:dyDescent="0.2">
      <c r="A445" s="5"/>
      <c r="B445" s="5"/>
      <c r="C445" s="5"/>
      <c r="D445" s="5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2.75" x14ac:dyDescent="0.2">
      <c r="A446" s="5"/>
      <c r="B446" s="5"/>
      <c r="C446" s="5"/>
      <c r="D446" s="5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2.75" x14ac:dyDescent="0.2">
      <c r="A447" s="5"/>
      <c r="B447" s="5"/>
      <c r="C447" s="5"/>
      <c r="D447" s="5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2.75" x14ac:dyDescent="0.2">
      <c r="A448" s="5"/>
      <c r="B448" s="5"/>
      <c r="C448" s="5"/>
      <c r="D448" s="5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2.75" x14ac:dyDescent="0.2">
      <c r="A449" s="5"/>
      <c r="B449" s="5"/>
      <c r="C449" s="5"/>
      <c r="D449" s="5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2.75" x14ac:dyDescent="0.2">
      <c r="A450" s="5"/>
      <c r="B450" s="5"/>
      <c r="C450" s="5"/>
      <c r="D450" s="5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2.75" x14ac:dyDescent="0.2">
      <c r="A451" s="5"/>
      <c r="B451" s="5"/>
      <c r="C451" s="5"/>
      <c r="D451" s="5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2.75" x14ac:dyDescent="0.2">
      <c r="A452" s="5"/>
      <c r="B452" s="5"/>
      <c r="C452" s="5"/>
      <c r="D452" s="5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2.75" x14ac:dyDescent="0.2">
      <c r="A453" s="5"/>
      <c r="B453" s="5"/>
      <c r="C453" s="5"/>
      <c r="D453" s="5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2.75" x14ac:dyDescent="0.2">
      <c r="A454" s="5"/>
      <c r="B454" s="5"/>
      <c r="C454" s="5"/>
      <c r="D454" s="5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2.75" x14ac:dyDescent="0.2">
      <c r="A455" s="5"/>
      <c r="B455" s="5"/>
      <c r="C455" s="5"/>
      <c r="D455" s="5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2.75" x14ac:dyDescent="0.2">
      <c r="A456" s="5"/>
      <c r="B456" s="5"/>
      <c r="C456" s="5"/>
      <c r="D456" s="5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2.75" x14ac:dyDescent="0.2">
      <c r="A457" s="5"/>
      <c r="B457" s="5"/>
      <c r="C457" s="5"/>
      <c r="D457" s="5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2.75" x14ac:dyDescent="0.2">
      <c r="A458" s="5"/>
      <c r="B458" s="5"/>
      <c r="C458" s="5"/>
      <c r="D458" s="5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2.75" x14ac:dyDescent="0.2">
      <c r="A459" s="5"/>
      <c r="B459" s="5"/>
      <c r="C459" s="5"/>
      <c r="D459" s="5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2.75" x14ac:dyDescent="0.2">
      <c r="A460" s="5"/>
      <c r="B460" s="5"/>
      <c r="C460" s="5"/>
      <c r="D460" s="5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2.75" x14ac:dyDescent="0.2">
      <c r="A461" s="5"/>
      <c r="B461" s="5"/>
      <c r="C461" s="5"/>
      <c r="D461" s="5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ht="12.75" x14ac:dyDescent="0.2">
      <c r="A462" s="5"/>
      <c r="B462" s="5"/>
      <c r="C462" s="5"/>
      <c r="D462" s="5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ht="12.75" x14ac:dyDescent="0.2">
      <c r="A463" s="5"/>
      <c r="B463" s="5"/>
      <c r="C463" s="5"/>
      <c r="D463" s="5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ht="12.75" x14ac:dyDescent="0.2">
      <c r="A464" s="5"/>
      <c r="B464" s="5"/>
      <c r="C464" s="5"/>
      <c r="D464" s="5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ht="12.75" x14ac:dyDescent="0.2">
      <c r="A465" s="5"/>
      <c r="B465" s="5"/>
      <c r="C465" s="5"/>
      <c r="D465" s="5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2.75" x14ac:dyDescent="0.2">
      <c r="A466" s="5"/>
      <c r="B466" s="5"/>
      <c r="C466" s="5"/>
      <c r="D466" s="5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ht="12.75" x14ac:dyDescent="0.2">
      <c r="A467" s="5"/>
      <c r="B467" s="5"/>
      <c r="C467" s="5"/>
      <c r="D467" s="5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ht="12.75" x14ac:dyDescent="0.2">
      <c r="A468" s="5"/>
      <c r="B468" s="5"/>
      <c r="C468" s="5"/>
      <c r="D468" s="5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ht="12.75" x14ac:dyDescent="0.2">
      <c r="A469" s="5"/>
      <c r="B469" s="5"/>
      <c r="C469" s="5"/>
      <c r="D469" s="5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ht="12.75" x14ac:dyDescent="0.2">
      <c r="A470" s="5"/>
      <c r="B470" s="5"/>
      <c r="C470" s="5"/>
      <c r="D470" s="5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ht="12.75" x14ac:dyDescent="0.2">
      <c r="A471" s="5"/>
      <c r="B471" s="5"/>
      <c r="C471" s="5"/>
      <c r="D471" s="5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ht="12.75" x14ac:dyDescent="0.2">
      <c r="A472" s="5"/>
      <c r="B472" s="5"/>
      <c r="C472" s="5"/>
      <c r="D472" s="5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ht="12.75" x14ac:dyDescent="0.2">
      <c r="A473" s="5"/>
      <c r="B473" s="5"/>
      <c r="C473" s="5"/>
      <c r="D473" s="5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ht="12.75" x14ac:dyDescent="0.2">
      <c r="A474" s="5"/>
      <c r="B474" s="5"/>
      <c r="C474" s="5"/>
      <c r="D474" s="5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ht="12.75" x14ac:dyDescent="0.2">
      <c r="A475" s="5"/>
      <c r="B475" s="5"/>
      <c r="C475" s="5"/>
      <c r="D475" s="5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ht="12.75" x14ac:dyDescent="0.2">
      <c r="A476" s="5"/>
      <c r="B476" s="5"/>
      <c r="C476" s="5"/>
      <c r="D476" s="5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ht="12.75" x14ac:dyDescent="0.2">
      <c r="A477" s="5"/>
      <c r="B477" s="5"/>
      <c r="C477" s="5"/>
      <c r="D477" s="5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ht="12.75" x14ac:dyDescent="0.2">
      <c r="A478" s="5"/>
      <c r="B478" s="5"/>
      <c r="C478" s="5"/>
      <c r="D478" s="5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ht="12.75" x14ac:dyDescent="0.2">
      <c r="A479" s="5"/>
      <c r="B479" s="5"/>
      <c r="C479" s="5"/>
      <c r="D479" s="5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ht="12.75" x14ac:dyDescent="0.2">
      <c r="A480" s="5"/>
      <c r="B480" s="5"/>
      <c r="C480" s="5"/>
      <c r="D480" s="5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ht="12.75" x14ac:dyDescent="0.2">
      <c r="A481" s="5"/>
      <c r="B481" s="5"/>
      <c r="C481" s="5"/>
      <c r="D481" s="5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ht="12.75" x14ac:dyDescent="0.2">
      <c r="A482" s="5"/>
      <c r="B482" s="5"/>
      <c r="C482" s="5"/>
      <c r="D482" s="5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ht="12.75" x14ac:dyDescent="0.2">
      <c r="A483" s="5"/>
      <c r="B483" s="5"/>
      <c r="C483" s="5"/>
      <c r="D483" s="5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ht="12.75" x14ac:dyDescent="0.2">
      <c r="A484" s="5"/>
      <c r="B484" s="5"/>
      <c r="C484" s="5"/>
      <c r="D484" s="5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ht="12.75" x14ac:dyDescent="0.2">
      <c r="A485" s="5"/>
      <c r="B485" s="5"/>
      <c r="C485" s="5"/>
      <c r="D485" s="5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ht="12.75" x14ac:dyDescent="0.2">
      <c r="A486" s="5"/>
      <c r="B486" s="5"/>
      <c r="C486" s="5"/>
      <c r="D486" s="5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ht="12.75" x14ac:dyDescent="0.2">
      <c r="A487" s="5"/>
      <c r="B487" s="5"/>
      <c r="C487" s="5"/>
      <c r="D487" s="5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ht="12.75" x14ac:dyDescent="0.2">
      <c r="A488" s="5"/>
      <c r="B488" s="5"/>
      <c r="C488" s="5"/>
      <c r="D488" s="5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ht="12.75" x14ac:dyDescent="0.2">
      <c r="A489" s="5"/>
      <c r="B489" s="5"/>
      <c r="C489" s="5"/>
      <c r="D489" s="5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ht="12.75" x14ac:dyDescent="0.2">
      <c r="A490" s="5"/>
      <c r="B490" s="5"/>
      <c r="C490" s="5"/>
      <c r="D490" s="5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ht="12.75" x14ac:dyDescent="0.2">
      <c r="A491" s="5"/>
      <c r="B491" s="5"/>
      <c r="C491" s="5"/>
      <c r="D491" s="5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ht="12.75" x14ac:dyDescent="0.2">
      <c r="A492" s="5"/>
      <c r="B492" s="5"/>
      <c r="C492" s="5"/>
      <c r="D492" s="5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ht="12.75" x14ac:dyDescent="0.2">
      <c r="A493" s="5"/>
      <c r="B493" s="5"/>
      <c r="C493" s="5"/>
      <c r="D493" s="5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ht="12.75" x14ac:dyDescent="0.2">
      <c r="A494" s="5"/>
      <c r="B494" s="5"/>
      <c r="C494" s="5"/>
      <c r="D494" s="5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ht="12.75" x14ac:dyDescent="0.2">
      <c r="A495" s="5"/>
      <c r="B495" s="5"/>
      <c r="C495" s="5"/>
      <c r="D495" s="5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ht="12.75" x14ac:dyDescent="0.2">
      <c r="A496" s="5"/>
      <c r="B496" s="5"/>
      <c r="C496" s="5"/>
      <c r="D496" s="5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ht="12.75" x14ac:dyDescent="0.2">
      <c r="A497" s="5"/>
      <c r="B497" s="5"/>
      <c r="C497" s="5"/>
      <c r="D497" s="5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ht="12.75" x14ac:dyDescent="0.2">
      <c r="A498" s="5"/>
      <c r="B498" s="5"/>
      <c r="C498" s="5"/>
      <c r="D498" s="5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ht="12.75" x14ac:dyDescent="0.2">
      <c r="A499" s="5"/>
      <c r="B499" s="5"/>
      <c r="C499" s="5"/>
      <c r="D499" s="5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ht="12.75" x14ac:dyDescent="0.2">
      <c r="A500" s="5"/>
      <c r="B500" s="5"/>
      <c r="C500" s="5"/>
      <c r="D500" s="5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ht="12.75" x14ac:dyDescent="0.2">
      <c r="A501" s="5"/>
      <c r="B501" s="5"/>
      <c r="C501" s="5"/>
      <c r="D501" s="5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ht="12.75" x14ac:dyDescent="0.2">
      <c r="A502" s="5"/>
      <c r="B502" s="5"/>
      <c r="C502" s="5"/>
      <c r="D502" s="5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ht="12.75" x14ac:dyDescent="0.2">
      <c r="A503" s="5"/>
      <c r="B503" s="5"/>
      <c r="C503" s="5"/>
      <c r="D503" s="5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ht="12.75" x14ac:dyDescent="0.2">
      <c r="A504" s="5"/>
      <c r="B504" s="5"/>
      <c r="C504" s="5"/>
      <c r="D504" s="5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ht="12.75" x14ac:dyDescent="0.2">
      <c r="A505" s="5"/>
      <c r="B505" s="5"/>
      <c r="C505" s="5"/>
      <c r="D505" s="5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ht="12.75" x14ac:dyDescent="0.2">
      <c r="A506" s="5"/>
      <c r="B506" s="5"/>
      <c r="C506" s="5"/>
      <c r="D506" s="5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ht="12.75" x14ac:dyDescent="0.2">
      <c r="A507" s="5"/>
      <c r="B507" s="5"/>
      <c r="C507" s="5"/>
      <c r="D507" s="5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ht="12.75" x14ac:dyDescent="0.2">
      <c r="A508" s="5"/>
      <c r="B508" s="5"/>
      <c r="C508" s="5"/>
      <c r="D508" s="5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ht="12.75" x14ac:dyDescent="0.2">
      <c r="A509" s="5"/>
      <c r="B509" s="5"/>
      <c r="C509" s="5"/>
      <c r="D509" s="5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ht="12.75" x14ac:dyDescent="0.2">
      <c r="A510" s="5"/>
      <c r="B510" s="5"/>
      <c r="C510" s="5"/>
      <c r="D510" s="5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ht="12.75" x14ac:dyDescent="0.2">
      <c r="A511" s="5"/>
      <c r="B511" s="5"/>
      <c r="C511" s="5"/>
      <c r="D511" s="5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ht="12.75" x14ac:dyDescent="0.2">
      <c r="A512" s="5"/>
      <c r="B512" s="5"/>
      <c r="C512" s="5"/>
      <c r="D512" s="5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ht="12.75" x14ac:dyDescent="0.2">
      <c r="A513" s="5"/>
      <c r="B513" s="5"/>
      <c r="C513" s="5"/>
      <c r="D513" s="5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ht="12.75" x14ac:dyDescent="0.2">
      <c r="A514" s="5"/>
      <c r="B514" s="5"/>
      <c r="C514" s="5"/>
      <c r="D514" s="5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ht="12.75" x14ac:dyDescent="0.2">
      <c r="A515" s="5"/>
      <c r="B515" s="5"/>
      <c r="C515" s="5"/>
      <c r="D515" s="5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ht="12.75" x14ac:dyDescent="0.2">
      <c r="A516" s="5"/>
      <c r="B516" s="5"/>
      <c r="C516" s="5"/>
      <c r="D516" s="5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ht="12.75" x14ac:dyDescent="0.2">
      <c r="A517" s="5"/>
      <c r="B517" s="5"/>
      <c r="C517" s="5"/>
      <c r="D517" s="5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ht="12.75" x14ac:dyDescent="0.2">
      <c r="A518" s="5"/>
      <c r="B518" s="5"/>
      <c r="C518" s="5"/>
      <c r="D518" s="5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ht="12.75" x14ac:dyDescent="0.2">
      <c r="A519" s="5"/>
      <c r="B519" s="5"/>
      <c r="C519" s="5"/>
      <c r="D519" s="5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ht="12.75" x14ac:dyDescent="0.2">
      <c r="A520" s="5"/>
      <c r="B520" s="5"/>
      <c r="C520" s="5"/>
      <c r="D520" s="5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ht="12.75" x14ac:dyDescent="0.2">
      <c r="A521" s="5"/>
      <c r="B521" s="5"/>
      <c r="C521" s="5"/>
      <c r="D521" s="5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ht="12.75" x14ac:dyDescent="0.2">
      <c r="A522" s="5"/>
      <c r="B522" s="5"/>
      <c r="C522" s="5"/>
      <c r="D522" s="5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ht="12.75" x14ac:dyDescent="0.2">
      <c r="A523" s="5"/>
      <c r="B523" s="5"/>
      <c r="C523" s="5"/>
      <c r="D523" s="5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ht="12.75" x14ac:dyDescent="0.2">
      <c r="A524" s="5"/>
      <c r="B524" s="5"/>
      <c r="C524" s="5"/>
      <c r="D524" s="5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ht="12.75" x14ac:dyDescent="0.2">
      <c r="A525" s="5"/>
      <c r="B525" s="5"/>
      <c r="C525" s="5"/>
      <c r="D525" s="5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12.75" x14ac:dyDescent="0.2">
      <c r="A526" s="5"/>
      <c r="B526" s="5"/>
      <c r="C526" s="5"/>
      <c r="D526" s="5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ht="12.75" x14ac:dyDescent="0.2">
      <c r="A527" s="5"/>
      <c r="B527" s="5"/>
      <c r="C527" s="5"/>
      <c r="D527" s="5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ht="12.75" x14ac:dyDescent="0.2">
      <c r="A528" s="5"/>
      <c r="B528" s="5"/>
      <c r="C528" s="5"/>
      <c r="D528" s="5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ht="12.75" x14ac:dyDescent="0.2">
      <c r="A529" s="5"/>
      <c r="B529" s="5"/>
      <c r="C529" s="5"/>
      <c r="D529" s="5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ht="12.75" x14ac:dyDescent="0.2">
      <c r="A530" s="5"/>
      <c r="B530" s="5"/>
      <c r="C530" s="5"/>
      <c r="D530" s="5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ht="12.75" x14ac:dyDescent="0.2">
      <c r="A531" s="5"/>
      <c r="B531" s="5"/>
      <c r="C531" s="5"/>
      <c r="D531" s="5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ht="12.75" x14ac:dyDescent="0.2">
      <c r="A532" s="5"/>
      <c r="B532" s="5"/>
      <c r="C532" s="5"/>
      <c r="D532" s="5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ht="12.75" x14ac:dyDescent="0.2">
      <c r="A533" s="5"/>
      <c r="B533" s="5"/>
      <c r="C533" s="5"/>
      <c r="D533" s="5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ht="12.75" x14ac:dyDescent="0.2">
      <c r="A534" s="5"/>
      <c r="B534" s="5"/>
      <c r="C534" s="5"/>
      <c r="D534" s="5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ht="12.75" x14ac:dyDescent="0.2">
      <c r="A535" s="5"/>
      <c r="B535" s="5"/>
      <c r="C535" s="5"/>
      <c r="D535" s="5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ht="12.75" x14ac:dyDescent="0.2">
      <c r="A536" s="5"/>
      <c r="B536" s="5"/>
      <c r="C536" s="5"/>
      <c r="D536" s="5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ht="12.75" x14ac:dyDescent="0.2">
      <c r="A537" s="5"/>
      <c r="B537" s="5"/>
      <c r="C537" s="5"/>
      <c r="D537" s="5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ht="12.75" x14ac:dyDescent="0.2">
      <c r="A538" s="5"/>
      <c r="B538" s="5"/>
      <c r="C538" s="5"/>
      <c r="D538" s="5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12.75" x14ac:dyDescent="0.2">
      <c r="A539" s="5"/>
      <c r="B539" s="5"/>
      <c r="C539" s="5"/>
      <c r="D539" s="5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ht="12.75" x14ac:dyDescent="0.2">
      <c r="A540" s="5"/>
      <c r="B540" s="5"/>
      <c r="C540" s="5"/>
      <c r="D540" s="5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ht="12.75" x14ac:dyDescent="0.2">
      <c r="A541" s="5"/>
      <c r="B541" s="5"/>
      <c r="C541" s="5"/>
      <c r="D541" s="5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ht="12.75" x14ac:dyDescent="0.2">
      <c r="A542" s="5"/>
      <c r="B542" s="5"/>
      <c r="C542" s="5"/>
      <c r="D542" s="5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ht="12.75" x14ac:dyDescent="0.2">
      <c r="A543" s="5"/>
      <c r="B543" s="5"/>
      <c r="C543" s="5"/>
      <c r="D543" s="5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ht="12.75" x14ac:dyDescent="0.2">
      <c r="A544" s="5"/>
      <c r="B544" s="5"/>
      <c r="C544" s="5"/>
      <c r="D544" s="5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ht="12.75" x14ac:dyDescent="0.2">
      <c r="A545" s="5"/>
      <c r="B545" s="5"/>
      <c r="C545" s="5"/>
      <c r="D545" s="5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ht="12.75" x14ac:dyDescent="0.2">
      <c r="A546" s="5"/>
      <c r="B546" s="5"/>
      <c r="C546" s="5"/>
      <c r="D546" s="5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ht="12.75" x14ac:dyDescent="0.2">
      <c r="A547" s="5"/>
      <c r="B547" s="5"/>
      <c r="C547" s="5"/>
      <c r="D547" s="5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ht="12.75" x14ac:dyDescent="0.2">
      <c r="A548" s="5"/>
      <c r="B548" s="5"/>
      <c r="C548" s="5"/>
      <c r="D548" s="5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ht="12.75" x14ac:dyDescent="0.2">
      <c r="A549" s="5"/>
      <c r="B549" s="5"/>
      <c r="C549" s="5"/>
      <c r="D549" s="5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ht="12.75" x14ac:dyDescent="0.2">
      <c r="A550" s="5"/>
      <c r="B550" s="5"/>
      <c r="C550" s="5"/>
      <c r="D550" s="5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ht="12.75" x14ac:dyDescent="0.2">
      <c r="A551" s="5"/>
      <c r="B551" s="5"/>
      <c r="C551" s="5"/>
      <c r="D551" s="5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ht="12.75" x14ac:dyDescent="0.2">
      <c r="A552" s="5"/>
      <c r="B552" s="5"/>
      <c r="C552" s="5"/>
      <c r="D552" s="5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ht="12.75" x14ac:dyDescent="0.2">
      <c r="A553" s="5"/>
      <c r="B553" s="5"/>
      <c r="C553" s="5"/>
      <c r="D553" s="5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ht="12.75" x14ac:dyDescent="0.2">
      <c r="A554" s="5"/>
      <c r="B554" s="5"/>
      <c r="C554" s="5"/>
      <c r="D554" s="5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12.75" x14ac:dyDescent="0.2">
      <c r="A555" s="5"/>
      <c r="B555" s="5"/>
      <c r="C555" s="5"/>
      <c r="D555" s="5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ht="12.75" x14ac:dyDescent="0.2">
      <c r="A556" s="5"/>
      <c r="B556" s="5"/>
      <c r="C556" s="5"/>
      <c r="D556" s="5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ht="12.75" x14ac:dyDescent="0.2">
      <c r="A557" s="5"/>
      <c r="B557" s="5"/>
      <c r="C557" s="5"/>
      <c r="D557" s="5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ht="12.75" x14ac:dyDescent="0.2">
      <c r="A558" s="5"/>
      <c r="B558" s="5"/>
      <c r="C558" s="5"/>
      <c r="D558" s="5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ht="12.75" x14ac:dyDescent="0.2">
      <c r="A559" s="5"/>
      <c r="B559" s="5"/>
      <c r="C559" s="5"/>
      <c r="D559" s="5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ht="12.75" x14ac:dyDescent="0.2">
      <c r="A560" s="5"/>
      <c r="B560" s="5"/>
      <c r="C560" s="5"/>
      <c r="D560" s="5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ht="12.75" x14ac:dyDescent="0.2">
      <c r="A561" s="5"/>
      <c r="B561" s="5"/>
      <c r="C561" s="5"/>
      <c r="D561" s="5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ht="12.75" x14ac:dyDescent="0.2">
      <c r="A562" s="5"/>
      <c r="B562" s="5"/>
      <c r="C562" s="5"/>
      <c r="D562" s="5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ht="12.75" x14ac:dyDescent="0.2">
      <c r="A563" s="5"/>
      <c r="B563" s="5"/>
      <c r="C563" s="5"/>
      <c r="D563" s="5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12.75" x14ac:dyDescent="0.2">
      <c r="A564" s="5"/>
      <c r="B564" s="5"/>
      <c r="C564" s="5"/>
      <c r="D564" s="5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ht="12.75" x14ac:dyDescent="0.2">
      <c r="A565" s="5"/>
      <c r="B565" s="5"/>
      <c r="C565" s="5"/>
      <c r="D565" s="5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ht="12.75" x14ac:dyDescent="0.2">
      <c r="A566" s="5"/>
      <c r="B566" s="5"/>
      <c r="C566" s="5"/>
      <c r="D566" s="5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ht="12.75" x14ac:dyDescent="0.2">
      <c r="A567" s="5"/>
      <c r="B567" s="5"/>
      <c r="C567" s="5"/>
      <c r="D567" s="5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ht="12.75" x14ac:dyDescent="0.2">
      <c r="A568" s="5"/>
      <c r="B568" s="5"/>
      <c r="C568" s="5"/>
      <c r="D568" s="5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ht="12.75" x14ac:dyDescent="0.2">
      <c r="A569" s="5"/>
      <c r="B569" s="5"/>
      <c r="C569" s="5"/>
      <c r="D569" s="5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ht="12.75" x14ac:dyDescent="0.2">
      <c r="A570" s="5"/>
      <c r="B570" s="5"/>
      <c r="C570" s="5"/>
      <c r="D570" s="5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ht="12.75" x14ac:dyDescent="0.2">
      <c r="A571" s="5"/>
      <c r="B571" s="5"/>
      <c r="C571" s="5"/>
      <c r="D571" s="5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12.75" x14ac:dyDescent="0.2">
      <c r="A572" s="5"/>
      <c r="B572" s="5"/>
      <c r="C572" s="5"/>
      <c r="D572" s="5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2.75" x14ac:dyDescent="0.2">
      <c r="A573" s="5"/>
      <c r="B573" s="5"/>
      <c r="C573" s="5"/>
      <c r="D573" s="5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ht="12.75" x14ac:dyDescent="0.2">
      <c r="A574" s="5"/>
      <c r="B574" s="5"/>
      <c r="C574" s="5"/>
      <c r="D574" s="5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ht="12.75" x14ac:dyDescent="0.2">
      <c r="A575" s="5"/>
      <c r="B575" s="5"/>
      <c r="C575" s="5"/>
      <c r="D575" s="5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ht="12.75" x14ac:dyDescent="0.2">
      <c r="A576" s="5"/>
      <c r="B576" s="5"/>
      <c r="C576" s="5"/>
      <c r="D576" s="5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ht="12.75" x14ac:dyDescent="0.2">
      <c r="A577" s="5"/>
      <c r="B577" s="5"/>
      <c r="C577" s="5"/>
      <c r="D577" s="5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ht="12.75" x14ac:dyDescent="0.2">
      <c r="A578" s="5"/>
      <c r="B578" s="5"/>
      <c r="C578" s="5"/>
      <c r="D578" s="5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ht="12.75" x14ac:dyDescent="0.2">
      <c r="A579" s="5"/>
      <c r="B579" s="5"/>
      <c r="C579" s="5"/>
      <c r="D579" s="5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ht="12.75" x14ac:dyDescent="0.2">
      <c r="A580" s="5"/>
      <c r="B580" s="5"/>
      <c r="C580" s="5"/>
      <c r="D580" s="5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ht="12.75" x14ac:dyDescent="0.2">
      <c r="A581" s="5"/>
      <c r="B581" s="5"/>
      <c r="C581" s="5"/>
      <c r="D581" s="5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ht="12.75" x14ac:dyDescent="0.2">
      <c r="A582" s="5"/>
      <c r="B582" s="5"/>
      <c r="C582" s="5"/>
      <c r="D582" s="5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ht="12.75" x14ac:dyDescent="0.2">
      <c r="A583" s="5"/>
      <c r="B583" s="5"/>
      <c r="C583" s="5"/>
      <c r="D583" s="5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ht="12.75" x14ac:dyDescent="0.2">
      <c r="A584" s="5"/>
      <c r="B584" s="5"/>
      <c r="C584" s="5"/>
      <c r="D584" s="5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ht="12.75" x14ac:dyDescent="0.2">
      <c r="A585" s="5"/>
      <c r="B585" s="5"/>
      <c r="C585" s="5"/>
      <c r="D585" s="5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12.75" x14ac:dyDescent="0.2">
      <c r="A586" s="5"/>
      <c r="B586" s="5"/>
      <c r="C586" s="5"/>
      <c r="D586" s="5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ht="12.75" x14ac:dyDescent="0.2">
      <c r="A587" s="5"/>
      <c r="B587" s="5"/>
      <c r="C587" s="5"/>
      <c r="D587" s="5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ht="12.75" x14ac:dyDescent="0.2">
      <c r="A588" s="5"/>
      <c r="B588" s="5"/>
      <c r="C588" s="5"/>
      <c r="D588" s="5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ht="12.75" x14ac:dyDescent="0.2">
      <c r="A589" s="5"/>
      <c r="B589" s="5"/>
      <c r="C589" s="5"/>
      <c r="D589" s="5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ht="12.75" x14ac:dyDescent="0.2">
      <c r="A590" s="5"/>
      <c r="B590" s="5"/>
      <c r="C590" s="5"/>
      <c r="D590" s="5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ht="12.75" x14ac:dyDescent="0.2">
      <c r="A591" s="5"/>
      <c r="B591" s="5"/>
      <c r="C591" s="5"/>
      <c r="D591" s="5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ht="12.75" x14ac:dyDescent="0.2">
      <c r="A592" s="5"/>
      <c r="B592" s="5"/>
      <c r="C592" s="5"/>
      <c r="D592" s="5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ht="12.75" x14ac:dyDescent="0.2">
      <c r="A593" s="5"/>
      <c r="B593" s="5"/>
      <c r="C593" s="5"/>
      <c r="D593" s="5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ht="12.75" x14ac:dyDescent="0.2">
      <c r="A594" s="5"/>
      <c r="B594" s="5"/>
      <c r="C594" s="5"/>
      <c r="D594" s="5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ht="12.75" x14ac:dyDescent="0.2">
      <c r="A595" s="5"/>
      <c r="B595" s="5"/>
      <c r="C595" s="5"/>
      <c r="D595" s="5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ht="12.75" x14ac:dyDescent="0.2">
      <c r="A596" s="5"/>
      <c r="B596" s="5"/>
      <c r="C596" s="5"/>
      <c r="D596" s="5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ht="12.75" x14ac:dyDescent="0.2">
      <c r="A597" s="5"/>
      <c r="B597" s="5"/>
      <c r="C597" s="5"/>
      <c r="D597" s="5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ht="12.75" x14ac:dyDescent="0.2">
      <c r="A598" s="5"/>
      <c r="B598" s="5"/>
      <c r="C598" s="5"/>
      <c r="D598" s="5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ht="12.75" x14ac:dyDescent="0.2">
      <c r="A599" s="5"/>
      <c r="B599" s="5"/>
      <c r="C599" s="5"/>
      <c r="D599" s="5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ht="12.75" x14ac:dyDescent="0.2">
      <c r="A600" s="5"/>
      <c r="B600" s="5"/>
      <c r="C600" s="5"/>
      <c r="D600" s="5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ht="12.75" x14ac:dyDescent="0.2">
      <c r="A601" s="5"/>
      <c r="B601" s="5"/>
      <c r="C601" s="5"/>
      <c r="D601" s="5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ht="12.75" x14ac:dyDescent="0.2">
      <c r="A602" s="5"/>
      <c r="B602" s="5"/>
      <c r="C602" s="5"/>
      <c r="D602" s="5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ht="12.75" x14ac:dyDescent="0.2">
      <c r="A603" s="5"/>
      <c r="B603" s="5"/>
      <c r="C603" s="5"/>
      <c r="D603" s="5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ht="12.75" x14ac:dyDescent="0.2">
      <c r="A604" s="5"/>
      <c r="B604" s="5"/>
      <c r="C604" s="5"/>
      <c r="D604" s="5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ht="12.75" x14ac:dyDescent="0.2">
      <c r="A605" s="5"/>
      <c r="B605" s="5"/>
      <c r="C605" s="5"/>
      <c r="D605" s="5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ht="12.75" x14ac:dyDescent="0.2">
      <c r="A606" s="5"/>
      <c r="B606" s="5"/>
      <c r="C606" s="5"/>
      <c r="D606" s="5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ht="12.75" x14ac:dyDescent="0.2">
      <c r="A607" s="5"/>
      <c r="B607" s="5"/>
      <c r="C607" s="5"/>
      <c r="D607" s="5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ht="12.75" x14ac:dyDescent="0.2">
      <c r="A608" s="5"/>
      <c r="B608" s="5"/>
      <c r="C608" s="5"/>
      <c r="D608" s="5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ht="12.75" x14ac:dyDescent="0.2">
      <c r="A609" s="5"/>
      <c r="B609" s="5"/>
      <c r="C609" s="5"/>
      <c r="D609" s="5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12.75" x14ac:dyDescent="0.2">
      <c r="A610" s="5"/>
      <c r="B610" s="5"/>
      <c r="C610" s="5"/>
      <c r="D610" s="5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ht="12.75" x14ac:dyDescent="0.2">
      <c r="A611" s="5"/>
      <c r="B611" s="5"/>
      <c r="C611" s="5"/>
      <c r="D611" s="5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ht="12.75" x14ac:dyDescent="0.2">
      <c r="A612" s="5"/>
      <c r="B612" s="5"/>
      <c r="C612" s="5"/>
      <c r="D612" s="5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ht="12.75" x14ac:dyDescent="0.2">
      <c r="A613" s="5"/>
      <c r="B613" s="5"/>
      <c r="C613" s="5"/>
      <c r="D613" s="5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ht="12.75" x14ac:dyDescent="0.2">
      <c r="A614" s="5"/>
      <c r="B614" s="5"/>
      <c r="C614" s="5"/>
      <c r="D614" s="5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ht="12.75" x14ac:dyDescent="0.2">
      <c r="A615" s="5"/>
      <c r="B615" s="5"/>
      <c r="C615" s="5"/>
      <c r="D615" s="5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ht="12.75" x14ac:dyDescent="0.2">
      <c r="A616" s="5"/>
      <c r="B616" s="5"/>
      <c r="C616" s="5"/>
      <c r="D616" s="5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ht="12.75" x14ac:dyDescent="0.2">
      <c r="A617" s="5"/>
      <c r="B617" s="5"/>
      <c r="C617" s="5"/>
      <c r="D617" s="5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2.75" x14ac:dyDescent="0.2">
      <c r="A618" s="5"/>
      <c r="B618" s="5"/>
      <c r="C618" s="5"/>
      <c r="D618" s="5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ht="12.75" x14ac:dyDescent="0.2">
      <c r="A619" s="5"/>
      <c r="B619" s="5"/>
      <c r="C619" s="5"/>
      <c r="D619" s="5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12.75" x14ac:dyDescent="0.2">
      <c r="A620" s="5"/>
      <c r="B620" s="5"/>
      <c r="C620" s="5"/>
      <c r="D620" s="5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ht="12.75" x14ac:dyDescent="0.2">
      <c r="A621" s="5"/>
      <c r="B621" s="5"/>
      <c r="C621" s="5"/>
      <c r="D621" s="5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ht="12.75" x14ac:dyDescent="0.2">
      <c r="A622" s="5"/>
      <c r="B622" s="5"/>
      <c r="C622" s="5"/>
      <c r="D622" s="5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ht="12.75" x14ac:dyDescent="0.2">
      <c r="A623" s="5"/>
      <c r="B623" s="5"/>
      <c r="C623" s="5"/>
      <c r="D623" s="5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ht="12.75" x14ac:dyDescent="0.2">
      <c r="A624" s="5"/>
      <c r="B624" s="5"/>
      <c r="C624" s="5"/>
      <c r="D624" s="5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ht="12.75" x14ac:dyDescent="0.2">
      <c r="A625" s="5"/>
      <c r="B625" s="5"/>
      <c r="C625" s="5"/>
      <c r="D625" s="5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12.75" x14ac:dyDescent="0.2">
      <c r="A626" s="5"/>
      <c r="B626" s="5"/>
      <c r="C626" s="5"/>
      <c r="D626" s="5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ht="12.75" x14ac:dyDescent="0.2">
      <c r="A627" s="5"/>
      <c r="B627" s="5"/>
      <c r="C627" s="5"/>
      <c r="D627" s="5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ht="12.75" x14ac:dyDescent="0.2">
      <c r="A628" s="5"/>
      <c r="B628" s="5"/>
      <c r="C628" s="5"/>
      <c r="D628" s="5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12.75" x14ac:dyDescent="0.2">
      <c r="A629" s="5"/>
      <c r="B629" s="5"/>
      <c r="C629" s="5"/>
      <c r="D629" s="5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ht="12.75" x14ac:dyDescent="0.2">
      <c r="A630" s="5"/>
      <c r="B630" s="5"/>
      <c r="C630" s="5"/>
      <c r="D630" s="5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12.75" x14ac:dyDescent="0.2">
      <c r="A631" s="5"/>
      <c r="B631" s="5"/>
      <c r="C631" s="5"/>
      <c r="D631" s="5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ht="12.75" x14ac:dyDescent="0.2">
      <c r="A632" s="5"/>
      <c r="B632" s="5"/>
      <c r="C632" s="5"/>
      <c r="D632" s="5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ht="12.75" x14ac:dyDescent="0.2">
      <c r="A633" s="5"/>
      <c r="B633" s="5"/>
      <c r="C633" s="5"/>
      <c r="D633" s="5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ht="12.75" x14ac:dyDescent="0.2">
      <c r="A634" s="5"/>
      <c r="B634" s="5"/>
      <c r="C634" s="5"/>
      <c r="D634" s="5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ht="12.75" x14ac:dyDescent="0.2">
      <c r="A635" s="5"/>
      <c r="B635" s="5"/>
      <c r="C635" s="5"/>
      <c r="D635" s="5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ht="12.75" x14ac:dyDescent="0.2">
      <c r="A636" s="5"/>
      <c r="B636" s="5"/>
      <c r="C636" s="5"/>
      <c r="D636" s="5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ht="12.75" x14ac:dyDescent="0.2">
      <c r="A637" s="5"/>
      <c r="B637" s="5"/>
      <c r="C637" s="5"/>
      <c r="D637" s="5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ht="12.75" x14ac:dyDescent="0.2">
      <c r="A638" s="5"/>
      <c r="B638" s="5"/>
      <c r="C638" s="5"/>
      <c r="D638" s="5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ht="12.75" x14ac:dyDescent="0.2">
      <c r="A639" s="5"/>
      <c r="B639" s="5"/>
      <c r="C639" s="5"/>
      <c r="D639" s="5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ht="12.75" x14ac:dyDescent="0.2">
      <c r="A640" s="5"/>
      <c r="B640" s="5"/>
      <c r="C640" s="5"/>
      <c r="D640" s="5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ht="12.75" x14ac:dyDescent="0.2">
      <c r="A641" s="5"/>
      <c r="B641" s="5"/>
      <c r="C641" s="5"/>
      <c r="D641" s="5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ht="12.75" x14ac:dyDescent="0.2">
      <c r="A642" s="5"/>
      <c r="B642" s="5"/>
      <c r="C642" s="5"/>
      <c r="D642" s="5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ht="12.75" x14ac:dyDescent="0.2">
      <c r="A643" s="5"/>
      <c r="B643" s="5"/>
      <c r="C643" s="5"/>
      <c r="D643" s="5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ht="12.75" x14ac:dyDescent="0.2">
      <c r="A644" s="5"/>
      <c r="B644" s="5"/>
      <c r="C644" s="5"/>
      <c r="D644" s="5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ht="12.75" x14ac:dyDescent="0.2">
      <c r="A645" s="5"/>
      <c r="B645" s="5"/>
      <c r="C645" s="5"/>
      <c r="D645" s="5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ht="12.75" x14ac:dyDescent="0.2">
      <c r="A646" s="5"/>
      <c r="B646" s="5"/>
      <c r="C646" s="5"/>
      <c r="D646" s="5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ht="12.75" x14ac:dyDescent="0.2">
      <c r="A647" s="5"/>
      <c r="B647" s="5"/>
      <c r="C647" s="5"/>
      <c r="D647" s="5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ht="12.75" x14ac:dyDescent="0.2">
      <c r="A648" s="5"/>
      <c r="B648" s="5"/>
      <c r="C648" s="5"/>
      <c r="D648" s="5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ht="12.75" x14ac:dyDescent="0.2">
      <c r="A649" s="5"/>
      <c r="B649" s="5"/>
      <c r="C649" s="5"/>
      <c r="D649" s="5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ht="12.75" x14ac:dyDescent="0.2">
      <c r="A650" s="5"/>
      <c r="B650" s="5"/>
      <c r="C650" s="5"/>
      <c r="D650" s="5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ht="12.75" x14ac:dyDescent="0.2">
      <c r="A651" s="5"/>
      <c r="B651" s="5"/>
      <c r="C651" s="5"/>
      <c r="D651" s="5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ht="12.75" x14ac:dyDescent="0.2">
      <c r="A652" s="5"/>
      <c r="B652" s="5"/>
      <c r="C652" s="5"/>
      <c r="D652" s="5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ht="12.75" x14ac:dyDescent="0.2">
      <c r="A653" s="5"/>
      <c r="B653" s="5"/>
      <c r="C653" s="5"/>
      <c r="D653" s="5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ht="12.75" x14ac:dyDescent="0.2">
      <c r="A654" s="5"/>
      <c r="B654" s="5"/>
      <c r="C654" s="5"/>
      <c r="D654" s="5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ht="12.75" x14ac:dyDescent="0.2">
      <c r="A655" s="5"/>
      <c r="B655" s="5"/>
      <c r="C655" s="5"/>
      <c r="D655" s="5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ht="12.75" x14ac:dyDescent="0.2">
      <c r="A656" s="5"/>
      <c r="B656" s="5"/>
      <c r="C656" s="5"/>
      <c r="D656" s="5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ht="12.75" x14ac:dyDescent="0.2">
      <c r="A657" s="5"/>
      <c r="B657" s="5"/>
      <c r="C657" s="5"/>
      <c r="D657" s="5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ht="12.75" x14ac:dyDescent="0.2">
      <c r="A658" s="5"/>
      <c r="B658" s="5"/>
      <c r="C658" s="5"/>
      <c r="D658" s="5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ht="12.75" x14ac:dyDescent="0.2">
      <c r="A659" s="5"/>
      <c r="B659" s="5"/>
      <c r="C659" s="5"/>
      <c r="D659" s="5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ht="12.75" x14ac:dyDescent="0.2">
      <c r="A660" s="5"/>
      <c r="B660" s="5"/>
      <c r="C660" s="5"/>
      <c r="D660" s="5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ht="12.75" x14ac:dyDescent="0.2">
      <c r="A661" s="5"/>
      <c r="B661" s="5"/>
      <c r="C661" s="5"/>
      <c r="D661" s="5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ht="12.75" x14ac:dyDescent="0.2">
      <c r="A662" s="5"/>
      <c r="B662" s="5"/>
      <c r="C662" s="5"/>
      <c r="D662" s="5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ht="12.75" x14ac:dyDescent="0.2">
      <c r="A663" s="5"/>
      <c r="B663" s="5"/>
      <c r="C663" s="5"/>
      <c r="D663" s="5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ht="12.75" x14ac:dyDescent="0.2">
      <c r="A664" s="5"/>
      <c r="B664" s="5"/>
      <c r="C664" s="5"/>
      <c r="D664" s="5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ht="12.75" x14ac:dyDescent="0.2">
      <c r="A665" s="5"/>
      <c r="B665" s="5"/>
      <c r="C665" s="5"/>
      <c r="D665" s="5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ht="12.75" x14ac:dyDescent="0.2">
      <c r="A666" s="5"/>
      <c r="B666" s="5"/>
      <c r="C666" s="5"/>
      <c r="D666" s="5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ht="12.75" x14ac:dyDescent="0.2">
      <c r="A667" s="5"/>
      <c r="B667" s="5"/>
      <c r="C667" s="5"/>
      <c r="D667" s="5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ht="12.75" x14ac:dyDescent="0.2">
      <c r="A668" s="5"/>
      <c r="B668" s="5"/>
      <c r="C668" s="5"/>
      <c r="D668" s="5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ht="12.75" x14ac:dyDescent="0.2">
      <c r="A669" s="5"/>
      <c r="B669" s="5"/>
      <c r="C669" s="5"/>
      <c r="D669" s="5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ht="12.75" x14ac:dyDescent="0.2">
      <c r="A670" s="5"/>
      <c r="B670" s="5"/>
      <c r="C670" s="5"/>
      <c r="D670" s="5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ht="12.75" x14ac:dyDescent="0.2">
      <c r="A671" s="5"/>
      <c r="B671" s="5"/>
      <c r="C671" s="5"/>
      <c r="D671" s="5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ht="12.75" x14ac:dyDescent="0.2">
      <c r="A672" s="5"/>
      <c r="B672" s="5"/>
      <c r="C672" s="5"/>
      <c r="D672" s="5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ht="12.75" x14ac:dyDescent="0.2">
      <c r="A673" s="5"/>
      <c r="B673" s="5"/>
      <c r="C673" s="5"/>
      <c r="D673" s="5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ht="12.75" x14ac:dyDescent="0.2">
      <c r="A674" s="5"/>
      <c r="B674" s="5"/>
      <c r="C674" s="5"/>
      <c r="D674" s="5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ht="12.75" x14ac:dyDescent="0.2">
      <c r="A675" s="5"/>
      <c r="B675" s="5"/>
      <c r="C675" s="5"/>
      <c r="D675" s="5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ht="12.75" x14ac:dyDescent="0.2">
      <c r="A676" s="5"/>
      <c r="B676" s="5"/>
      <c r="C676" s="5"/>
      <c r="D676" s="5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ht="12.75" x14ac:dyDescent="0.2">
      <c r="A677" s="5"/>
      <c r="B677" s="5"/>
      <c r="C677" s="5"/>
      <c r="D677" s="5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12.75" x14ac:dyDescent="0.2">
      <c r="A678" s="5"/>
      <c r="B678" s="5"/>
      <c r="C678" s="5"/>
      <c r="D678" s="5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ht="12.75" x14ac:dyDescent="0.2">
      <c r="A679" s="5"/>
      <c r="B679" s="5"/>
      <c r="C679" s="5"/>
      <c r="D679" s="5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ht="12.75" x14ac:dyDescent="0.2">
      <c r="A680" s="5"/>
      <c r="B680" s="5"/>
      <c r="C680" s="5"/>
      <c r="D680" s="5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ht="12.75" x14ac:dyDescent="0.2">
      <c r="A681" s="5"/>
      <c r="B681" s="5"/>
      <c r="C681" s="5"/>
      <c r="D681" s="5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ht="12.75" x14ac:dyDescent="0.2">
      <c r="A682" s="5"/>
      <c r="B682" s="5"/>
      <c r="C682" s="5"/>
      <c r="D682" s="5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ht="12.75" x14ac:dyDescent="0.2">
      <c r="A683" s="5"/>
      <c r="B683" s="5"/>
      <c r="C683" s="5"/>
      <c r="D683" s="5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ht="12.75" x14ac:dyDescent="0.2">
      <c r="A684" s="5"/>
      <c r="B684" s="5"/>
      <c r="C684" s="5"/>
      <c r="D684" s="5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ht="12.75" x14ac:dyDescent="0.2">
      <c r="A685" s="5"/>
      <c r="B685" s="5"/>
      <c r="C685" s="5"/>
      <c r="D685" s="5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ht="12.75" x14ac:dyDescent="0.2">
      <c r="A686" s="5"/>
      <c r="B686" s="5"/>
      <c r="C686" s="5"/>
      <c r="D686" s="5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ht="12.75" x14ac:dyDescent="0.2">
      <c r="A687" s="5"/>
      <c r="B687" s="5"/>
      <c r="C687" s="5"/>
      <c r="D687" s="5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ht="12.75" x14ac:dyDescent="0.2">
      <c r="A688" s="5"/>
      <c r="B688" s="5"/>
      <c r="C688" s="5"/>
      <c r="D688" s="5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ht="12.75" x14ac:dyDescent="0.2">
      <c r="A689" s="5"/>
      <c r="B689" s="5"/>
      <c r="C689" s="5"/>
      <c r="D689" s="5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ht="12.75" x14ac:dyDescent="0.2">
      <c r="A690" s="5"/>
      <c r="B690" s="5"/>
      <c r="C690" s="5"/>
      <c r="D690" s="5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ht="12.75" x14ac:dyDescent="0.2">
      <c r="A691" s="5"/>
      <c r="B691" s="5"/>
      <c r="C691" s="5"/>
      <c r="D691" s="5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ht="12.75" x14ac:dyDescent="0.2">
      <c r="A692" s="5"/>
      <c r="B692" s="5"/>
      <c r="C692" s="5"/>
      <c r="D692" s="5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12.75" x14ac:dyDescent="0.2">
      <c r="A693" s="5"/>
      <c r="B693" s="5"/>
      <c r="C693" s="5"/>
      <c r="D693" s="5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ht="12.75" x14ac:dyDescent="0.2">
      <c r="A694" s="5"/>
      <c r="B694" s="5"/>
      <c r="C694" s="5"/>
      <c r="D694" s="5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ht="12.75" x14ac:dyDescent="0.2">
      <c r="A695" s="5"/>
      <c r="B695" s="5"/>
      <c r="C695" s="5"/>
      <c r="D695" s="5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ht="12.75" x14ac:dyDescent="0.2">
      <c r="A696" s="5"/>
      <c r="B696" s="5"/>
      <c r="C696" s="5"/>
      <c r="D696" s="5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ht="12.75" x14ac:dyDescent="0.2">
      <c r="A697" s="5"/>
      <c r="B697" s="5"/>
      <c r="C697" s="5"/>
      <c r="D697" s="5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ht="12.75" x14ac:dyDescent="0.2">
      <c r="A698" s="5"/>
      <c r="B698" s="5"/>
      <c r="C698" s="5"/>
      <c r="D698" s="5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ht="12.75" x14ac:dyDescent="0.2">
      <c r="A699" s="5"/>
      <c r="B699" s="5"/>
      <c r="C699" s="5"/>
      <c r="D699" s="5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ht="12.75" x14ac:dyDescent="0.2">
      <c r="A700" s="5"/>
      <c r="B700" s="5"/>
      <c r="C700" s="5"/>
      <c r="D700" s="5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ht="12.75" x14ac:dyDescent="0.2">
      <c r="A701" s="5"/>
      <c r="B701" s="5"/>
      <c r="C701" s="5"/>
      <c r="D701" s="5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ht="12.75" x14ac:dyDescent="0.2">
      <c r="A702" s="5"/>
      <c r="B702" s="5"/>
      <c r="C702" s="5"/>
      <c r="D702" s="5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2.75" x14ac:dyDescent="0.2">
      <c r="A703" s="5"/>
      <c r="B703" s="5"/>
      <c r="C703" s="5"/>
      <c r="D703" s="5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ht="12.75" x14ac:dyDescent="0.2">
      <c r="A704" s="5"/>
      <c r="B704" s="5"/>
      <c r="C704" s="5"/>
      <c r="D704" s="5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ht="12.75" x14ac:dyDescent="0.2">
      <c r="A705" s="5"/>
      <c r="B705" s="5"/>
      <c r="C705" s="5"/>
      <c r="D705" s="5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ht="12.75" x14ac:dyDescent="0.2">
      <c r="A706" s="5"/>
      <c r="B706" s="5"/>
      <c r="C706" s="5"/>
      <c r="D706" s="5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ht="12.75" x14ac:dyDescent="0.2">
      <c r="A707" s="5"/>
      <c r="B707" s="5"/>
      <c r="C707" s="5"/>
      <c r="D707" s="5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ht="12.75" x14ac:dyDescent="0.2">
      <c r="A708" s="5"/>
      <c r="B708" s="5"/>
      <c r="C708" s="5"/>
      <c r="D708" s="5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ht="12.75" x14ac:dyDescent="0.2">
      <c r="A709" s="5"/>
      <c r="B709" s="5"/>
      <c r="C709" s="5"/>
      <c r="D709" s="5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ht="12.75" x14ac:dyDescent="0.2">
      <c r="A710" s="5"/>
      <c r="B710" s="5"/>
      <c r="C710" s="5"/>
      <c r="D710" s="5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ht="12.75" x14ac:dyDescent="0.2">
      <c r="A711" s="5"/>
      <c r="B711" s="5"/>
      <c r="C711" s="5"/>
      <c r="D711" s="5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ht="12.75" x14ac:dyDescent="0.2">
      <c r="A712" s="5"/>
      <c r="B712" s="5"/>
      <c r="C712" s="5"/>
      <c r="D712" s="5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ht="12.75" x14ac:dyDescent="0.2">
      <c r="A713" s="5"/>
      <c r="B713" s="5"/>
      <c r="C713" s="5"/>
      <c r="D713" s="5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ht="12.75" x14ac:dyDescent="0.2">
      <c r="A714" s="5"/>
      <c r="B714" s="5"/>
      <c r="C714" s="5"/>
      <c r="D714" s="5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ht="12.75" x14ac:dyDescent="0.2">
      <c r="A715" s="5"/>
      <c r="B715" s="5"/>
      <c r="C715" s="5"/>
      <c r="D715" s="5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12.75" x14ac:dyDescent="0.2">
      <c r="A716" s="5"/>
      <c r="B716" s="5"/>
      <c r="C716" s="5"/>
      <c r="D716" s="5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ht="12.75" x14ac:dyDescent="0.2">
      <c r="A717" s="5"/>
      <c r="B717" s="5"/>
      <c r="C717" s="5"/>
      <c r="D717" s="5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ht="12.75" x14ac:dyDescent="0.2">
      <c r="A718" s="5"/>
      <c r="B718" s="5"/>
      <c r="C718" s="5"/>
      <c r="D718" s="5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ht="12.75" x14ac:dyDescent="0.2">
      <c r="A719" s="5"/>
      <c r="B719" s="5"/>
      <c r="C719" s="5"/>
      <c r="D719" s="5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ht="12.75" x14ac:dyDescent="0.2">
      <c r="A720" s="5"/>
      <c r="B720" s="5"/>
      <c r="C720" s="5"/>
      <c r="D720" s="5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2.75" x14ac:dyDescent="0.2">
      <c r="A721" s="5"/>
      <c r="B721" s="5"/>
      <c r="C721" s="5"/>
      <c r="D721" s="5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ht="12.75" x14ac:dyDescent="0.2">
      <c r="A722" s="5"/>
      <c r="B722" s="5"/>
      <c r="C722" s="5"/>
      <c r="D722" s="5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ht="12.75" x14ac:dyDescent="0.2">
      <c r="A723" s="5"/>
      <c r="B723" s="5"/>
      <c r="C723" s="5"/>
      <c r="D723" s="5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ht="12.75" x14ac:dyDescent="0.2">
      <c r="A724" s="5"/>
      <c r="B724" s="5"/>
      <c r="C724" s="5"/>
      <c r="D724" s="5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ht="12.75" x14ac:dyDescent="0.2">
      <c r="A725" s="5"/>
      <c r="B725" s="5"/>
      <c r="C725" s="5"/>
      <c r="D725" s="5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ht="12.75" x14ac:dyDescent="0.2">
      <c r="A726" s="5"/>
      <c r="B726" s="5"/>
      <c r="C726" s="5"/>
      <c r="D726" s="5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ht="12.75" x14ac:dyDescent="0.2">
      <c r="A727" s="5"/>
      <c r="B727" s="5"/>
      <c r="C727" s="5"/>
      <c r="D727" s="5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ht="12.75" x14ac:dyDescent="0.2">
      <c r="A728" s="5"/>
      <c r="B728" s="5"/>
      <c r="C728" s="5"/>
      <c r="D728" s="5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ht="12.75" x14ac:dyDescent="0.2">
      <c r="A729" s="5"/>
      <c r="B729" s="5"/>
      <c r="C729" s="5"/>
      <c r="D729" s="5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ht="12.75" x14ac:dyDescent="0.2">
      <c r="A730" s="5"/>
      <c r="B730" s="5"/>
      <c r="C730" s="5"/>
      <c r="D730" s="5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ht="12.75" x14ac:dyDescent="0.2">
      <c r="A731" s="5"/>
      <c r="B731" s="5"/>
      <c r="C731" s="5"/>
      <c r="D731" s="5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2.75" x14ac:dyDescent="0.2">
      <c r="A732" s="5"/>
      <c r="B732" s="5"/>
      <c r="C732" s="5"/>
      <c r="D732" s="5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ht="12.75" x14ac:dyDescent="0.2">
      <c r="A733" s="5"/>
      <c r="B733" s="5"/>
      <c r="C733" s="5"/>
      <c r="D733" s="5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ht="12.75" x14ac:dyDescent="0.2">
      <c r="A734" s="5"/>
      <c r="B734" s="5"/>
      <c r="C734" s="5"/>
      <c r="D734" s="5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ht="12.75" x14ac:dyDescent="0.2">
      <c r="A735" s="5"/>
      <c r="B735" s="5"/>
      <c r="C735" s="5"/>
      <c r="D735" s="5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ht="12.75" x14ac:dyDescent="0.2">
      <c r="A736" s="5"/>
      <c r="B736" s="5"/>
      <c r="C736" s="5"/>
      <c r="D736" s="5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ht="12.75" x14ac:dyDescent="0.2">
      <c r="A737" s="5"/>
      <c r="B737" s="5"/>
      <c r="C737" s="5"/>
      <c r="D737" s="5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ht="12.75" x14ac:dyDescent="0.2">
      <c r="A738" s="5"/>
      <c r="B738" s="5"/>
      <c r="C738" s="5"/>
      <c r="D738" s="5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ht="12.75" x14ac:dyDescent="0.2">
      <c r="A739" s="5"/>
      <c r="B739" s="5"/>
      <c r="C739" s="5"/>
      <c r="D739" s="5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ht="12.75" x14ac:dyDescent="0.2">
      <c r="A740" s="5"/>
      <c r="B740" s="5"/>
      <c r="C740" s="5"/>
      <c r="D740" s="5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ht="12.75" x14ac:dyDescent="0.2">
      <c r="A741" s="5"/>
      <c r="B741" s="5"/>
      <c r="C741" s="5"/>
      <c r="D741" s="5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ht="12.75" x14ac:dyDescent="0.2">
      <c r="A742" s="5"/>
      <c r="B742" s="5"/>
      <c r="C742" s="5"/>
      <c r="D742" s="5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ht="12.75" x14ac:dyDescent="0.2">
      <c r="A743" s="5"/>
      <c r="B743" s="5"/>
      <c r="C743" s="5"/>
      <c r="D743" s="5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ht="12.75" x14ac:dyDescent="0.2">
      <c r="A744" s="5"/>
      <c r="B744" s="5"/>
      <c r="C744" s="5"/>
      <c r="D744" s="5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ht="12.75" x14ac:dyDescent="0.2">
      <c r="A745" s="5"/>
      <c r="B745" s="5"/>
      <c r="C745" s="5"/>
      <c r="D745" s="5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ht="12.75" x14ac:dyDescent="0.2">
      <c r="A746" s="5"/>
      <c r="B746" s="5"/>
      <c r="C746" s="5"/>
      <c r="D746" s="5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ht="12.75" x14ac:dyDescent="0.2">
      <c r="A747" s="5"/>
      <c r="B747" s="5"/>
      <c r="C747" s="5"/>
      <c r="D747" s="5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ht="12.75" x14ac:dyDescent="0.2">
      <c r="A748" s="5"/>
      <c r="B748" s="5"/>
      <c r="C748" s="5"/>
      <c r="D748" s="5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ht="12.75" x14ac:dyDescent="0.2">
      <c r="A749" s="5"/>
      <c r="B749" s="5"/>
      <c r="C749" s="5"/>
      <c r="D749" s="5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ht="12.75" x14ac:dyDescent="0.2">
      <c r="A750" s="5"/>
      <c r="B750" s="5"/>
      <c r="C750" s="5"/>
      <c r="D750" s="5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ht="12.75" x14ac:dyDescent="0.2">
      <c r="A751" s="5"/>
      <c r="B751" s="5"/>
      <c r="C751" s="5"/>
      <c r="D751" s="5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ht="12.75" x14ac:dyDescent="0.2">
      <c r="A752" s="5"/>
      <c r="B752" s="5"/>
      <c r="C752" s="5"/>
      <c r="D752" s="5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ht="12.75" x14ac:dyDescent="0.2">
      <c r="A753" s="5"/>
      <c r="B753" s="5"/>
      <c r="C753" s="5"/>
      <c r="D753" s="5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ht="12.75" x14ac:dyDescent="0.2">
      <c r="A754" s="5"/>
      <c r="B754" s="5"/>
      <c r="C754" s="5"/>
      <c r="D754" s="5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ht="12.75" x14ac:dyDescent="0.2">
      <c r="A755" s="5"/>
      <c r="B755" s="5"/>
      <c r="C755" s="5"/>
      <c r="D755" s="5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ht="12.75" x14ac:dyDescent="0.2">
      <c r="A756" s="5"/>
      <c r="B756" s="5"/>
      <c r="C756" s="5"/>
      <c r="D756" s="5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ht="12.75" x14ac:dyDescent="0.2">
      <c r="A757" s="5"/>
      <c r="B757" s="5"/>
      <c r="C757" s="5"/>
      <c r="D757" s="5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ht="12.75" x14ac:dyDescent="0.2">
      <c r="A758" s="5"/>
      <c r="B758" s="5"/>
      <c r="C758" s="5"/>
      <c r="D758" s="5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ht="12.75" x14ac:dyDescent="0.2">
      <c r="A759" s="5"/>
      <c r="B759" s="5"/>
      <c r="C759" s="5"/>
      <c r="D759" s="5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ht="12.75" x14ac:dyDescent="0.2">
      <c r="A760" s="5"/>
      <c r="B760" s="5"/>
      <c r="C760" s="5"/>
      <c r="D760" s="5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ht="12.75" x14ac:dyDescent="0.2">
      <c r="A761" s="5"/>
      <c r="B761" s="5"/>
      <c r="C761" s="5"/>
      <c r="D761" s="5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ht="12.75" x14ac:dyDescent="0.2">
      <c r="A762" s="5"/>
      <c r="B762" s="5"/>
      <c r="C762" s="5"/>
      <c r="D762" s="5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ht="12.75" x14ac:dyDescent="0.2">
      <c r="A763" s="5"/>
      <c r="B763" s="5"/>
      <c r="C763" s="5"/>
      <c r="D763" s="5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ht="12.75" x14ac:dyDescent="0.2">
      <c r="A764" s="5"/>
      <c r="B764" s="5"/>
      <c r="C764" s="5"/>
      <c r="D764" s="5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ht="12.75" x14ac:dyDescent="0.2">
      <c r="A765" s="5"/>
      <c r="B765" s="5"/>
      <c r="C765" s="5"/>
      <c r="D765" s="5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ht="12.75" x14ac:dyDescent="0.2">
      <c r="A766" s="5"/>
      <c r="B766" s="5"/>
      <c r="C766" s="5"/>
      <c r="D766" s="5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ht="12.75" x14ac:dyDescent="0.2">
      <c r="A767" s="5"/>
      <c r="B767" s="5"/>
      <c r="C767" s="5"/>
      <c r="D767" s="5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ht="12.75" x14ac:dyDescent="0.2">
      <c r="A768" s="5"/>
      <c r="B768" s="5"/>
      <c r="C768" s="5"/>
      <c r="D768" s="5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ht="12.75" x14ac:dyDescent="0.2">
      <c r="A769" s="5"/>
      <c r="B769" s="5"/>
      <c r="C769" s="5"/>
      <c r="D769" s="5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ht="12.75" x14ac:dyDescent="0.2">
      <c r="A770" s="5"/>
      <c r="B770" s="5"/>
      <c r="C770" s="5"/>
      <c r="D770" s="5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 ht="12.75" x14ac:dyDescent="0.2">
      <c r="A771" s="5"/>
      <c r="B771" s="5"/>
      <c r="C771" s="5"/>
      <c r="D771" s="5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 ht="12.75" x14ac:dyDescent="0.2">
      <c r="A772" s="5"/>
      <c r="B772" s="5"/>
      <c r="C772" s="5"/>
      <c r="D772" s="5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 ht="12.75" x14ac:dyDescent="0.2">
      <c r="A773" s="5"/>
      <c r="B773" s="5"/>
      <c r="C773" s="5"/>
      <c r="D773" s="5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ht="12.75" x14ac:dyDescent="0.2">
      <c r="A774" s="5"/>
      <c r="B774" s="5"/>
      <c r="C774" s="5"/>
      <c r="D774" s="5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 ht="12.75" x14ac:dyDescent="0.2">
      <c r="A775" s="5"/>
      <c r="B775" s="5"/>
      <c r="C775" s="5"/>
      <c r="D775" s="5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 ht="12.75" x14ac:dyDescent="0.2">
      <c r="A776" s="5"/>
      <c r="B776" s="5"/>
      <c r="C776" s="5"/>
      <c r="D776" s="5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ht="12.75" x14ac:dyDescent="0.2">
      <c r="A777" s="5"/>
      <c r="B777" s="5"/>
      <c r="C777" s="5"/>
      <c r="D777" s="5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ht="12.75" x14ac:dyDescent="0.2">
      <c r="A778" s="5"/>
      <c r="B778" s="5"/>
      <c r="C778" s="5"/>
      <c r="D778" s="5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ht="12.75" x14ac:dyDescent="0.2">
      <c r="A779" s="5"/>
      <c r="B779" s="5"/>
      <c r="C779" s="5"/>
      <c r="D779" s="5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 ht="12.75" x14ac:dyDescent="0.2">
      <c r="A780" s="5"/>
      <c r="B780" s="5"/>
      <c r="C780" s="5"/>
      <c r="D780" s="5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ht="12.75" x14ac:dyDescent="0.2">
      <c r="A781" s="5"/>
      <c r="B781" s="5"/>
      <c r="C781" s="5"/>
      <c r="D781" s="5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ht="12.75" x14ac:dyDescent="0.2">
      <c r="A782" s="5"/>
      <c r="B782" s="5"/>
      <c r="C782" s="5"/>
      <c r="D782" s="5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ht="12.75" x14ac:dyDescent="0.2">
      <c r="A783" s="5"/>
      <c r="B783" s="5"/>
      <c r="C783" s="5"/>
      <c r="D783" s="5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ht="12.75" x14ac:dyDescent="0.2">
      <c r="A784" s="5"/>
      <c r="B784" s="5"/>
      <c r="C784" s="5"/>
      <c r="D784" s="5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 ht="12.75" x14ac:dyDescent="0.2">
      <c r="A785" s="5"/>
      <c r="B785" s="5"/>
      <c r="C785" s="5"/>
      <c r="D785" s="5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 ht="12.75" x14ac:dyDescent="0.2">
      <c r="A786" s="5"/>
      <c r="B786" s="5"/>
      <c r="C786" s="5"/>
      <c r="D786" s="5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 ht="12.75" x14ac:dyDescent="0.2">
      <c r="A787" s="5"/>
      <c r="B787" s="5"/>
      <c r="C787" s="5"/>
      <c r="D787" s="5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 ht="12.75" x14ac:dyDescent="0.2">
      <c r="A788" s="5"/>
      <c r="B788" s="5"/>
      <c r="C788" s="5"/>
      <c r="D788" s="5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ht="12.75" x14ac:dyDescent="0.2">
      <c r="A789" s="5"/>
      <c r="B789" s="5"/>
      <c r="C789" s="5"/>
      <c r="D789" s="5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 ht="12.75" x14ac:dyDescent="0.2">
      <c r="A790" s="5"/>
      <c r="B790" s="5"/>
      <c r="C790" s="5"/>
      <c r="D790" s="5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 ht="12.75" x14ac:dyDescent="0.2">
      <c r="A791" s="5"/>
      <c r="B791" s="5"/>
      <c r="C791" s="5"/>
      <c r="D791" s="5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ht="12.75" x14ac:dyDescent="0.2">
      <c r="A792" s="5"/>
      <c r="B792" s="5"/>
      <c r="C792" s="5"/>
      <c r="D792" s="5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ht="12.75" x14ac:dyDescent="0.2">
      <c r="A793" s="5"/>
      <c r="B793" s="5"/>
      <c r="C793" s="5"/>
      <c r="D793" s="5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ht="12.75" x14ac:dyDescent="0.2">
      <c r="A794" s="5"/>
      <c r="B794" s="5"/>
      <c r="C794" s="5"/>
      <c r="D794" s="5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ht="12.75" x14ac:dyDescent="0.2">
      <c r="A795" s="5"/>
      <c r="B795" s="5"/>
      <c r="C795" s="5"/>
      <c r="D795" s="5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 ht="12.75" x14ac:dyDescent="0.2">
      <c r="A796" s="5"/>
      <c r="B796" s="5"/>
      <c r="C796" s="5"/>
      <c r="D796" s="5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ht="12.75" x14ac:dyDescent="0.2">
      <c r="A797" s="5"/>
      <c r="B797" s="5"/>
      <c r="C797" s="5"/>
      <c r="D797" s="5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 ht="12.75" x14ac:dyDescent="0.2">
      <c r="A798" s="5"/>
      <c r="B798" s="5"/>
      <c r="C798" s="5"/>
      <c r="D798" s="5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ht="12.75" x14ac:dyDescent="0.2">
      <c r="A799" s="5"/>
      <c r="B799" s="5"/>
      <c r="C799" s="5"/>
      <c r="D799" s="5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ht="12.75" x14ac:dyDescent="0.2">
      <c r="A800" s="5"/>
      <c r="B800" s="5"/>
      <c r="C800" s="5"/>
      <c r="D800" s="5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 ht="12.75" x14ac:dyDescent="0.2">
      <c r="A801" s="5"/>
      <c r="B801" s="5"/>
      <c r="C801" s="5"/>
      <c r="D801" s="5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 ht="12.75" x14ac:dyDescent="0.2">
      <c r="A802" s="5"/>
      <c r="B802" s="5"/>
      <c r="C802" s="5"/>
      <c r="D802" s="5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 ht="12.75" x14ac:dyDescent="0.2">
      <c r="A803" s="5"/>
      <c r="B803" s="5"/>
      <c r="C803" s="5"/>
      <c r="D803" s="5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ht="12.75" x14ac:dyDescent="0.2">
      <c r="A804" s="5"/>
      <c r="B804" s="5"/>
      <c r="C804" s="5"/>
      <c r="D804" s="5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ht="12.75" x14ac:dyDescent="0.2">
      <c r="A805" s="5"/>
      <c r="B805" s="5"/>
      <c r="C805" s="5"/>
      <c r="D805" s="5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ht="12.75" x14ac:dyDescent="0.2">
      <c r="A806" s="5"/>
      <c r="B806" s="5"/>
      <c r="C806" s="5"/>
      <c r="D806" s="5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ht="12.75" x14ac:dyDescent="0.2">
      <c r="A807" s="5"/>
      <c r="B807" s="5"/>
      <c r="C807" s="5"/>
      <c r="D807" s="5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12.75" x14ac:dyDescent="0.2">
      <c r="A808" s="5"/>
      <c r="B808" s="5"/>
      <c r="C808" s="5"/>
      <c r="D808" s="5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ht="12.75" x14ac:dyDescent="0.2">
      <c r="A809" s="5"/>
      <c r="B809" s="5"/>
      <c r="C809" s="5"/>
      <c r="D809" s="5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 ht="12.75" x14ac:dyDescent="0.2">
      <c r="A810" s="5"/>
      <c r="B810" s="5"/>
      <c r="C810" s="5"/>
      <c r="D810" s="5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 ht="12.75" x14ac:dyDescent="0.2">
      <c r="A811" s="5"/>
      <c r="B811" s="5"/>
      <c r="C811" s="5"/>
      <c r="D811" s="5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ht="12.75" x14ac:dyDescent="0.2">
      <c r="A812" s="5"/>
      <c r="B812" s="5"/>
      <c r="C812" s="5"/>
      <c r="D812" s="5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 ht="12.75" x14ac:dyDescent="0.2">
      <c r="A813" s="5"/>
      <c r="B813" s="5"/>
      <c r="C813" s="5"/>
      <c r="D813" s="5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ht="12.75" x14ac:dyDescent="0.2">
      <c r="A814" s="5"/>
      <c r="B814" s="5"/>
      <c r="C814" s="5"/>
      <c r="D814" s="5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ht="12.75" x14ac:dyDescent="0.2">
      <c r="A815" s="5"/>
      <c r="B815" s="5"/>
      <c r="C815" s="5"/>
      <c r="D815" s="5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 ht="12.75" x14ac:dyDescent="0.2">
      <c r="A816" s="5"/>
      <c r="B816" s="5"/>
      <c r="C816" s="5"/>
      <c r="D816" s="5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ht="12.75" x14ac:dyDescent="0.2">
      <c r="A817" s="5"/>
      <c r="B817" s="5"/>
      <c r="C817" s="5"/>
      <c r="D817" s="5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 ht="12.75" x14ac:dyDescent="0.2">
      <c r="A818" s="5"/>
      <c r="B818" s="5"/>
      <c r="C818" s="5"/>
      <c r="D818" s="5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ht="12.75" x14ac:dyDescent="0.2">
      <c r="A819" s="5"/>
      <c r="B819" s="5"/>
      <c r="C819" s="5"/>
      <c r="D819" s="5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ht="12.75" x14ac:dyDescent="0.2">
      <c r="A820" s="5"/>
      <c r="B820" s="5"/>
      <c r="C820" s="5"/>
      <c r="D820" s="5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ht="12.75" x14ac:dyDescent="0.2">
      <c r="A821" s="5"/>
      <c r="B821" s="5"/>
      <c r="C821" s="5"/>
      <c r="D821" s="5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ht="12.75" x14ac:dyDescent="0.2">
      <c r="A822" s="5"/>
      <c r="B822" s="5"/>
      <c r="C822" s="5"/>
      <c r="D822" s="5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ht="12.75" x14ac:dyDescent="0.2">
      <c r="A823" s="5"/>
      <c r="B823" s="5"/>
      <c r="C823" s="5"/>
      <c r="D823" s="5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ht="12.75" x14ac:dyDescent="0.2">
      <c r="A824" s="5"/>
      <c r="B824" s="5"/>
      <c r="C824" s="5"/>
      <c r="D824" s="5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ht="12.75" x14ac:dyDescent="0.2">
      <c r="A825" s="5"/>
      <c r="B825" s="5"/>
      <c r="C825" s="5"/>
      <c r="D825" s="5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ht="12.75" x14ac:dyDescent="0.2">
      <c r="A826" s="5"/>
      <c r="B826" s="5"/>
      <c r="C826" s="5"/>
      <c r="D826" s="5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ht="12.75" x14ac:dyDescent="0.2">
      <c r="A827" s="5"/>
      <c r="B827" s="5"/>
      <c r="C827" s="5"/>
      <c r="D827" s="5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ht="12.75" x14ac:dyDescent="0.2">
      <c r="A828" s="5"/>
      <c r="B828" s="5"/>
      <c r="C828" s="5"/>
      <c r="D828" s="5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ht="12.75" x14ac:dyDescent="0.2">
      <c r="A829" s="5"/>
      <c r="B829" s="5"/>
      <c r="C829" s="5"/>
      <c r="D829" s="5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ht="12.75" x14ac:dyDescent="0.2">
      <c r="A830" s="5"/>
      <c r="B830" s="5"/>
      <c r="C830" s="5"/>
      <c r="D830" s="5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 ht="12.75" x14ac:dyDescent="0.2">
      <c r="A831" s="5"/>
      <c r="B831" s="5"/>
      <c r="C831" s="5"/>
      <c r="D831" s="5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ht="12.75" x14ac:dyDescent="0.2">
      <c r="A832" s="5"/>
      <c r="B832" s="5"/>
      <c r="C832" s="5"/>
      <c r="D832" s="5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 ht="12.75" x14ac:dyDescent="0.2">
      <c r="A833" s="5"/>
      <c r="B833" s="5"/>
      <c r="C833" s="5"/>
      <c r="D833" s="5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 ht="12.75" x14ac:dyDescent="0.2">
      <c r="A834" s="5"/>
      <c r="B834" s="5"/>
      <c r="C834" s="5"/>
      <c r="D834" s="5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ht="12.75" x14ac:dyDescent="0.2">
      <c r="A835" s="5"/>
      <c r="B835" s="5"/>
      <c r="C835" s="5"/>
      <c r="D835" s="5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ht="12.75" x14ac:dyDescent="0.2">
      <c r="A836" s="5"/>
      <c r="B836" s="5"/>
      <c r="C836" s="5"/>
      <c r="D836" s="5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ht="12.75" x14ac:dyDescent="0.2">
      <c r="A837" s="5"/>
      <c r="B837" s="5"/>
      <c r="C837" s="5"/>
      <c r="D837" s="5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 ht="12.75" x14ac:dyDescent="0.2">
      <c r="A838" s="5"/>
      <c r="B838" s="5"/>
      <c r="C838" s="5"/>
      <c r="D838" s="5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 ht="12.75" x14ac:dyDescent="0.2">
      <c r="A839" s="5"/>
      <c r="B839" s="5"/>
      <c r="C839" s="5"/>
      <c r="D839" s="5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 ht="12.75" x14ac:dyDescent="0.2">
      <c r="A840" s="5"/>
      <c r="B840" s="5"/>
      <c r="C840" s="5"/>
      <c r="D840" s="5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ht="12.75" x14ac:dyDescent="0.2">
      <c r="A841" s="5"/>
      <c r="B841" s="5"/>
      <c r="C841" s="5"/>
      <c r="D841" s="5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 ht="12.75" x14ac:dyDescent="0.2">
      <c r="A842" s="5"/>
      <c r="B842" s="5"/>
      <c r="C842" s="5"/>
      <c r="D842" s="5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 ht="12.75" x14ac:dyDescent="0.2">
      <c r="A843" s="5"/>
      <c r="B843" s="5"/>
      <c r="C843" s="5"/>
      <c r="D843" s="5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ht="12.75" x14ac:dyDescent="0.2">
      <c r="A844" s="5"/>
      <c r="B844" s="5"/>
      <c r="C844" s="5"/>
      <c r="D844" s="5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 ht="12.75" x14ac:dyDescent="0.2">
      <c r="A845" s="5"/>
      <c r="B845" s="5"/>
      <c r="C845" s="5"/>
      <c r="D845" s="5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 ht="12.75" x14ac:dyDescent="0.2">
      <c r="A846" s="5"/>
      <c r="B846" s="5"/>
      <c r="C846" s="5"/>
      <c r="D846" s="5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 ht="12.75" x14ac:dyDescent="0.2">
      <c r="A847" s="5"/>
      <c r="B847" s="5"/>
      <c r="C847" s="5"/>
      <c r="D847" s="5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 ht="12.75" x14ac:dyDescent="0.2">
      <c r="A848" s="5"/>
      <c r="B848" s="5"/>
      <c r="C848" s="5"/>
      <c r="D848" s="5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 ht="12.75" x14ac:dyDescent="0.2">
      <c r="A849" s="5"/>
      <c r="B849" s="5"/>
      <c r="C849" s="5"/>
      <c r="D849" s="5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 ht="12.75" x14ac:dyDescent="0.2">
      <c r="A850" s="5"/>
      <c r="B850" s="5"/>
      <c r="C850" s="5"/>
      <c r="D850" s="5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12.75" x14ac:dyDescent="0.2">
      <c r="A851" s="5"/>
      <c r="B851" s="5"/>
      <c r="C851" s="5"/>
      <c r="D851" s="5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 ht="12.75" x14ac:dyDescent="0.2">
      <c r="A852" s="5"/>
      <c r="B852" s="5"/>
      <c r="C852" s="5"/>
      <c r="D852" s="5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 ht="12.75" x14ac:dyDescent="0.2">
      <c r="A853" s="5"/>
      <c r="B853" s="5"/>
      <c r="C853" s="5"/>
      <c r="D853" s="5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ht="12.75" x14ac:dyDescent="0.2">
      <c r="A854" s="5"/>
      <c r="B854" s="5"/>
      <c r="C854" s="5"/>
      <c r="D854" s="5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ht="12.75" x14ac:dyDescent="0.2">
      <c r="A855" s="5"/>
      <c r="B855" s="5"/>
      <c r="C855" s="5"/>
      <c r="D855" s="5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 ht="12.75" x14ac:dyDescent="0.2">
      <c r="A856" s="5"/>
      <c r="B856" s="5"/>
      <c r="C856" s="5"/>
      <c r="D856" s="5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ht="12.75" x14ac:dyDescent="0.2">
      <c r="A857" s="5"/>
      <c r="B857" s="5"/>
      <c r="C857" s="5"/>
      <c r="D857" s="5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 ht="12.75" x14ac:dyDescent="0.2">
      <c r="A858" s="5"/>
      <c r="B858" s="5"/>
      <c r="C858" s="5"/>
      <c r="D858" s="5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ht="12.75" x14ac:dyDescent="0.2">
      <c r="A859" s="5"/>
      <c r="B859" s="5"/>
      <c r="C859" s="5"/>
      <c r="D859" s="5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 ht="12.75" x14ac:dyDescent="0.2">
      <c r="A860" s="5"/>
      <c r="B860" s="5"/>
      <c r="C860" s="5"/>
      <c r="D860" s="5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 ht="12.75" x14ac:dyDescent="0.2">
      <c r="A861" s="5"/>
      <c r="B861" s="5"/>
      <c r="C861" s="5"/>
      <c r="D861" s="5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ht="12.75" x14ac:dyDescent="0.2">
      <c r="A862" s="5"/>
      <c r="B862" s="5"/>
      <c r="C862" s="5"/>
      <c r="D862" s="5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ht="12.75" x14ac:dyDescent="0.2">
      <c r="A863" s="5"/>
      <c r="B863" s="5"/>
      <c r="C863" s="5"/>
      <c r="D863" s="5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 ht="12.75" x14ac:dyDescent="0.2">
      <c r="A864" s="5"/>
      <c r="B864" s="5"/>
      <c r="C864" s="5"/>
      <c r="D864" s="5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ht="12.75" x14ac:dyDescent="0.2">
      <c r="A865" s="5"/>
      <c r="B865" s="5"/>
      <c r="C865" s="5"/>
      <c r="D865" s="5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ht="12.75" x14ac:dyDescent="0.2">
      <c r="A866" s="5"/>
      <c r="B866" s="5"/>
      <c r="C866" s="5"/>
      <c r="D866" s="5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ht="12.75" x14ac:dyDescent="0.2">
      <c r="A867" s="5"/>
      <c r="B867" s="5"/>
      <c r="C867" s="5"/>
      <c r="D867" s="5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ht="12.75" x14ac:dyDescent="0.2">
      <c r="A868" s="5"/>
      <c r="B868" s="5"/>
      <c r="C868" s="5"/>
      <c r="D868" s="5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 ht="12.75" x14ac:dyDescent="0.2">
      <c r="A869" s="5"/>
      <c r="B869" s="5"/>
      <c r="C869" s="5"/>
      <c r="D869" s="5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ht="12.75" x14ac:dyDescent="0.2">
      <c r="A870" s="5"/>
      <c r="B870" s="5"/>
      <c r="C870" s="5"/>
      <c r="D870" s="5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 ht="12.75" x14ac:dyDescent="0.2">
      <c r="A871" s="5"/>
      <c r="B871" s="5"/>
      <c r="C871" s="5"/>
      <c r="D871" s="5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ht="12.75" x14ac:dyDescent="0.2">
      <c r="A872" s="5"/>
      <c r="B872" s="5"/>
      <c r="C872" s="5"/>
      <c r="D872" s="5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ht="12.75" x14ac:dyDescent="0.2">
      <c r="A873" s="5"/>
      <c r="B873" s="5"/>
      <c r="C873" s="5"/>
      <c r="D873" s="5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 ht="12.75" x14ac:dyDescent="0.2">
      <c r="A874" s="5"/>
      <c r="B874" s="5"/>
      <c r="C874" s="5"/>
      <c r="D874" s="5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ht="12.75" x14ac:dyDescent="0.2">
      <c r="A875" s="5"/>
      <c r="B875" s="5"/>
      <c r="C875" s="5"/>
      <c r="D875" s="5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ht="12.75" x14ac:dyDescent="0.2">
      <c r="A876" s="5"/>
      <c r="B876" s="5"/>
      <c r="C876" s="5"/>
      <c r="D876" s="5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 ht="12.75" x14ac:dyDescent="0.2">
      <c r="A877" s="5"/>
      <c r="B877" s="5"/>
      <c r="C877" s="5"/>
      <c r="D877" s="5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 ht="12.75" x14ac:dyDescent="0.2">
      <c r="A878" s="5"/>
      <c r="B878" s="5"/>
      <c r="C878" s="5"/>
      <c r="D878" s="5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 ht="12.75" x14ac:dyDescent="0.2">
      <c r="A879" s="5"/>
      <c r="B879" s="5"/>
      <c r="C879" s="5"/>
      <c r="D879" s="5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ht="12.75" x14ac:dyDescent="0.2">
      <c r="A880" s="5"/>
      <c r="B880" s="5"/>
      <c r="C880" s="5"/>
      <c r="D880" s="5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ht="12.75" x14ac:dyDescent="0.2">
      <c r="A881" s="5"/>
      <c r="B881" s="5"/>
      <c r="C881" s="5"/>
      <c r="D881" s="5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ht="12.75" x14ac:dyDescent="0.2">
      <c r="A882" s="5"/>
      <c r="B882" s="5"/>
      <c r="C882" s="5"/>
      <c r="D882" s="5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 ht="12.75" x14ac:dyDescent="0.2">
      <c r="A883" s="5"/>
      <c r="B883" s="5"/>
      <c r="C883" s="5"/>
      <c r="D883" s="5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ht="12.75" x14ac:dyDescent="0.2">
      <c r="A884" s="5"/>
      <c r="B884" s="5"/>
      <c r="C884" s="5"/>
      <c r="D884" s="5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ht="12.75" x14ac:dyDescent="0.2">
      <c r="A885" s="5"/>
      <c r="B885" s="5"/>
      <c r="C885" s="5"/>
      <c r="D885" s="5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ht="12.75" x14ac:dyDescent="0.2">
      <c r="A886" s="5"/>
      <c r="B886" s="5"/>
      <c r="C886" s="5"/>
      <c r="D886" s="5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 ht="12.75" x14ac:dyDescent="0.2">
      <c r="A887" s="5"/>
      <c r="B887" s="5"/>
      <c r="C887" s="5"/>
      <c r="D887" s="5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 ht="12.75" x14ac:dyDescent="0.2">
      <c r="A888" s="5"/>
      <c r="B888" s="5"/>
      <c r="C888" s="5"/>
      <c r="D888" s="5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 ht="12.75" x14ac:dyDescent="0.2">
      <c r="A889" s="5"/>
      <c r="B889" s="5"/>
      <c r="C889" s="5"/>
      <c r="D889" s="5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12.75" x14ac:dyDescent="0.2">
      <c r="A890" s="5"/>
      <c r="B890" s="5"/>
      <c r="C890" s="5"/>
      <c r="D890" s="5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 ht="12.75" x14ac:dyDescent="0.2">
      <c r="A891" s="5"/>
      <c r="B891" s="5"/>
      <c r="C891" s="5"/>
      <c r="D891" s="5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ht="12.75" x14ac:dyDescent="0.2">
      <c r="A892" s="5"/>
      <c r="B892" s="5"/>
      <c r="C892" s="5"/>
      <c r="D892" s="5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ht="12.75" x14ac:dyDescent="0.2">
      <c r="A893" s="5"/>
      <c r="B893" s="5"/>
      <c r="C893" s="5"/>
      <c r="D893" s="5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ht="12.75" x14ac:dyDescent="0.2">
      <c r="A894" s="5"/>
      <c r="B894" s="5"/>
      <c r="C894" s="5"/>
      <c r="D894" s="5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ht="12.75" x14ac:dyDescent="0.2">
      <c r="A895" s="5"/>
      <c r="B895" s="5"/>
      <c r="C895" s="5"/>
      <c r="D895" s="5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ht="12.75" x14ac:dyDescent="0.2">
      <c r="A896" s="5"/>
      <c r="B896" s="5"/>
      <c r="C896" s="5"/>
      <c r="D896" s="5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ht="12.75" x14ac:dyDescent="0.2">
      <c r="A897" s="5"/>
      <c r="B897" s="5"/>
      <c r="C897" s="5"/>
      <c r="D897" s="5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ht="12.75" x14ac:dyDescent="0.2">
      <c r="A898" s="5"/>
      <c r="B898" s="5"/>
      <c r="C898" s="5"/>
      <c r="D898" s="5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ht="12.75" x14ac:dyDescent="0.2">
      <c r="A899" s="5"/>
      <c r="B899" s="5"/>
      <c r="C899" s="5"/>
      <c r="D899" s="5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ht="12.75" x14ac:dyDescent="0.2">
      <c r="A900" s="5"/>
      <c r="B900" s="5"/>
      <c r="C900" s="5"/>
      <c r="D900" s="5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ht="12.75" x14ac:dyDescent="0.2">
      <c r="A901" s="5"/>
      <c r="B901" s="5"/>
      <c r="C901" s="5"/>
      <c r="D901" s="5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 ht="12.75" x14ac:dyDescent="0.2">
      <c r="A902" s="5"/>
      <c r="B902" s="5"/>
      <c r="C902" s="5"/>
      <c r="D902" s="5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ht="12.75" x14ac:dyDescent="0.2">
      <c r="A903" s="5"/>
      <c r="B903" s="5"/>
      <c r="C903" s="5"/>
      <c r="D903" s="5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ht="12.75" x14ac:dyDescent="0.2">
      <c r="A904" s="5"/>
      <c r="B904" s="5"/>
      <c r="C904" s="5"/>
      <c r="D904" s="5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ht="12.75" x14ac:dyDescent="0.2">
      <c r="A905" s="5"/>
      <c r="B905" s="5"/>
      <c r="C905" s="5"/>
      <c r="D905" s="5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 ht="12.75" x14ac:dyDescent="0.2">
      <c r="A906" s="5"/>
      <c r="B906" s="5"/>
      <c r="C906" s="5"/>
      <c r="D906" s="5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 ht="12.75" x14ac:dyDescent="0.2">
      <c r="A907" s="5"/>
      <c r="B907" s="5"/>
      <c r="C907" s="5"/>
      <c r="D907" s="5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ht="12.75" x14ac:dyDescent="0.2">
      <c r="A908" s="5"/>
      <c r="B908" s="5"/>
      <c r="C908" s="5"/>
      <c r="D908" s="5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ht="12.75" x14ac:dyDescent="0.2">
      <c r="A909" s="5"/>
      <c r="B909" s="5"/>
      <c r="C909" s="5"/>
      <c r="D909" s="5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ht="12.75" x14ac:dyDescent="0.2">
      <c r="A910" s="5"/>
      <c r="B910" s="5"/>
      <c r="C910" s="5"/>
      <c r="D910" s="5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ht="12.75" x14ac:dyDescent="0.2">
      <c r="A911" s="5"/>
      <c r="B911" s="5"/>
      <c r="C911" s="5"/>
      <c r="D911" s="5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 ht="12.75" x14ac:dyDescent="0.2">
      <c r="A912" s="5"/>
      <c r="B912" s="5"/>
      <c r="C912" s="5"/>
      <c r="D912" s="5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 ht="12.75" x14ac:dyDescent="0.2">
      <c r="A913" s="5"/>
      <c r="B913" s="5"/>
      <c r="C913" s="5"/>
      <c r="D913" s="5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 ht="12.75" x14ac:dyDescent="0.2">
      <c r="A914" s="5"/>
      <c r="B914" s="5"/>
      <c r="C914" s="5"/>
      <c r="D914" s="5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ht="12.75" x14ac:dyDescent="0.2">
      <c r="A915" s="5"/>
      <c r="B915" s="5"/>
      <c r="C915" s="5"/>
      <c r="D915" s="5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ht="12.75" x14ac:dyDescent="0.2">
      <c r="A916" s="5"/>
      <c r="B916" s="5"/>
      <c r="C916" s="5"/>
      <c r="D916" s="5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ht="12.75" x14ac:dyDescent="0.2">
      <c r="A917" s="5"/>
      <c r="B917" s="5"/>
      <c r="C917" s="5"/>
      <c r="D917" s="5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ht="12.75" x14ac:dyDescent="0.2">
      <c r="A918" s="5"/>
      <c r="B918" s="5"/>
      <c r="C918" s="5"/>
      <c r="D918" s="5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 ht="12.75" x14ac:dyDescent="0.2">
      <c r="A919" s="5"/>
      <c r="B919" s="5"/>
      <c r="C919" s="5"/>
      <c r="D919" s="5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ht="12.75" x14ac:dyDescent="0.2">
      <c r="A920" s="5"/>
      <c r="B920" s="5"/>
      <c r="C920" s="5"/>
      <c r="D920" s="5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 ht="12.75" x14ac:dyDescent="0.2">
      <c r="A921" s="5"/>
      <c r="B921" s="5"/>
      <c r="C921" s="5"/>
      <c r="D921" s="5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ht="12.75" x14ac:dyDescent="0.2">
      <c r="A922" s="5"/>
      <c r="B922" s="5"/>
      <c r="C922" s="5"/>
      <c r="D922" s="5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 ht="12.75" x14ac:dyDescent="0.2">
      <c r="A923" s="5"/>
      <c r="B923" s="5"/>
      <c r="C923" s="5"/>
      <c r="D923" s="5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ht="12.75" x14ac:dyDescent="0.2">
      <c r="A924" s="5"/>
      <c r="B924" s="5"/>
      <c r="C924" s="5"/>
      <c r="D924" s="5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ht="12.75" x14ac:dyDescent="0.2">
      <c r="A925" s="5"/>
      <c r="B925" s="5"/>
      <c r="C925" s="5"/>
      <c r="D925" s="5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 ht="12.75" x14ac:dyDescent="0.2">
      <c r="A926" s="5"/>
      <c r="B926" s="5"/>
      <c r="C926" s="5"/>
      <c r="D926" s="5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ht="12.75" x14ac:dyDescent="0.2">
      <c r="A927" s="5"/>
      <c r="B927" s="5"/>
      <c r="C927" s="5"/>
      <c r="D927" s="5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ht="12.75" x14ac:dyDescent="0.2">
      <c r="A928" s="5"/>
      <c r="B928" s="5"/>
      <c r="C928" s="5"/>
      <c r="D928" s="5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ht="12.75" x14ac:dyDescent="0.2">
      <c r="A929" s="5"/>
      <c r="B929" s="5"/>
      <c r="C929" s="5"/>
      <c r="D929" s="5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 ht="12.75" x14ac:dyDescent="0.2">
      <c r="A930" s="5"/>
      <c r="B930" s="5"/>
      <c r="C930" s="5"/>
      <c r="D930" s="5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 ht="12.75" x14ac:dyDescent="0.2">
      <c r="A931" s="5"/>
      <c r="B931" s="5"/>
      <c r="C931" s="5"/>
      <c r="D931" s="5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ht="12.75" x14ac:dyDescent="0.2">
      <c r="A932" s="5"/>
      <c r="B932" s="5"/>
      <c r="C932" s="5"/>
      <c r="D932" s="5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 ht="12.75" x14ac:dyDescent="0.2">
      <c r="A933" s="5"/>
      <c r="B933" s="5"/>
      <c r="C933" s="5"/>
      <c r="D933" s="5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ht="12.75" x14ac:dyDescent="0.2">
      <c r="A934" s="5"/>
      <c r="B934" s="5"/>
      <c r="C934" s="5"/>
      <c r="D934" s="5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ht="12.75" x14ac:dyDescent="0.2">
      <c r="A935" s="5"/>
      <c r="B935" s="5"/>
      <c r="C935" s="5"/>
      <c r="D935" s="5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ht="12.75" x14ac:dyDescent="0.2">
      <c r="A936" s="5"/>
      <c r="B936" s="5"/>
      <c r="C936" s="5"/>
      <c r="D936" s="5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 ht="12.75" x14ac:dyDescent="0.2">
      <c r="A937" s="5"/>
      <c r="B937" s="5"/>
      <c r="C937" s="5"/>
      <c r="D937" s="5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 ht="12.75" x14ac:dyDescent="0.2">
      <c r="A938" s="5"/>
      <c r="B938" s="5"/>
      <c r="C938" s="5"/>
      <c r="D938" s="5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ht="12.75" x14ac:dyDescent="0.2">
      <c r="A939" s="5"/>
      <c r="B939" s="5"/>
      <c r="C939" s="5"/>
      <c r="D939" s="5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ht="12.75" x14ac:dyDescent="0.2">
      <c r="A940" s="5"/>
      <c r="B940" s="5"/>
      <c r="C940" s="5"/>
      <c r="D940" s="5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 ht="12.75" x14ac:dyDescent="0.2">
      <c r="A941" s="5"/>
      <c r="B941" s="5"/>
      <c r="C941" s="5"/>
      <c r="D941" s="5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 ht="12.75" x14ac:dyDescent="0.2">
      <c r="A942" s="5"/>
      <c r="B942" s="5"/>
      <c r="C942" s="5"/>
      <c r="D942" s="5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ht="12.75" x14ac:dyDescent="0.2">
      <c r="A943" s="5"/>
      <c r="B943" s="5"/>
      <c r="C943" s="5"/>
      <c r="D943" s="5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 ht="12.75" x14ac:dyDescent="0.2">
      <c r="A944" s="5"/>
      <c r="B944" s="5"/>
      <c r="C944" s="5"/>
      <c r="D944" s="5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 ht="12.75" x14ac:dyDescent="0.2">
      <c r="A945" s="5"/>
      <c r="B945" s="5"/>
      <c r="C945" s="5"/>
      <c r="D945" s="5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 ht="12.75" x14ac:dyDescent="0.2">
      <c r="A946" s="5"/>
      <c r="B946" s="5"/>
      <c r="C946" s="5"/>
      <c r="D946" s="5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 ht="12.75" x14ac:dyDescent="0.2">
      <c r="A947" s="5"/>
      <c r="B947" s="5"/>
      <c r="C947" s="5"/>
      <c r="D947" s="5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 ht="12.75" x14ac:dyDescent="0.2">
      <c r="A948" s="5"/>
      <c r="B948" s="5"/>
      <c r="C948" s="5"/>
      <c r="D948" s="5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 ht="12.75" x14ac:dyDescent="0.2">
      <c r="A949" s="5"/>
      <c r="B949" s="5"/>
      <c r="C949" s="5"/>
      <c r="D949" s="5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 ht="12.75" x14ac:dyDescent="0.2">
      <c r="A950" s="5"/>
      <c r="B950" s="5"/>
      <c r="C950" s="5"/>
      <c r="D950" s="5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 ht="12.75" x14ac:dyDescent="0.2">
      <c r="A951" s="5"/>
      <c r="B951" s="5"/>
      <c r="C951" s="5"/>
      <c r="D951" s="5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 ht="12.75" x14ac:dyDescent="0.2">
      <c r="A952" s="5"/>
      <c r="B952" s="5"/>
      <c r="C952" s="5"/>
      <c r="D952" s="5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 ht="12.75" x14ac:dyDescent="0.2">
      <c r="A953" s="5"/>
      <c r="B953" s="5"/>
      <c r="C953" s="5"/>
      <c r="D953" s="5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 ht="12.75" x14ac:dyDescent="0.2">
      <c r="A954" s="5"/>
      <c r="B954" s="5"/>
      <c r="C954" s="5"/>
      <c r="D954" s="5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 ht="12.75" x14ac:dyDescent="0.2">
      <c r="A955" s="5"/>
      <c r="B955" s="5"/>
      <c r="C955" s="5"/>
      <c r="D955" s="5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 ht="12.75" x14ac:dyDescent="0.2">
      <c r="A956" s="5"/>
      <c r="B956" s="5"/>
      <c r="C956" s="5"/>
      <c r="D956" s="5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 ht="12.75" x14ac:dyDescent="0.2">
      <c r="A957" s="5"/>
      <c r="B957" s="5"/>
      <c r="C957" s="5"/>
      <c r="D957" s="5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 ht="12.75" x14ac:dyDescent="0.2">
      <c r="A958" s="5"/>
      <c r="B958" s="5"/>
      <c r="C958" s="5"/>
      <c r="D958" s="5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 ht="12.75" x14ac:dyDescent="0.2">
      <c r="A959" s="5"/>
      <c r="B959" s="5"/>
      <c r="C959" s="5"/>
      <c r="D959" s="5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 ht="12.75" x14ac:dyDescent="0.2">
      <c r="A960" s="5"/>
      <c r="B960" s="5"/>
      <c r="C960" s="5"/>
      <c r="D960" s="5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 ht="12.75" x14ac:dyDescent="0.2">
      <c r="A961" s="5"/>
      <c r="B961" s="5"/>
      <c r="C961" s="5"/>
      <c r="D961" s="5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 ht="12.75" x14ac:dyDescent="0.2">
      <c r="A962" s="5"/>
      <c r="B962" s="5"/>
      <c r="C962" s="5"/>
      <c r="D962" s="5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 ht="12.75" x14ac:dyDescent="0.2">
      <c r="A963" s="5"/>
      <c r="B963" s="5"/>
      <c r="C963" s="5"/>
      <c r="D963" s="5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 ht="12.75" x14ac:dyDescent="0.2">
      <c r="A964" s="5"/>
      <c r="B964" s="5"/>
      <c r="C964" s="5"/>
      <c r="D964" s="5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 ht="12.75" x14ac:dyDescent="0.2">
      <c r="A965" s="5"/>
      <c r="B965" s="5"/>
      <c r="C965" s="5"/>
      <c r="D965" s="5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 ht="12.75" x14ac:dyDescent="0.2">
      <c r="A966" s="5"/>
      <c r="B966" s="5"/>
      <c r="C966" s="5"/>
      <c r="D966" s="5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 ht="12.75" x14ac:dyDescent="0.2">
      <c r="A967" s="5"/>
      <c r="B967" s="5"/>
      <c r="C967" s="5"/>
      <c r="D967" s="5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 ht="12.75" x14ac:dyDescent="0.2">
      <c r="A968" s="5"/>
      <c r="B968" s="5"/>
      <c r="C968" s="5"/>
      <c r="D968" s="5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 ht="12.75" x14ac:dyDescent="0.2">
      <c r="A969" s="5"/>
      <c r="B969" s="5"/>
      <c r="C969" s="5"/>
      <c r="D969" s="5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 ht="12.75" x14ac:dyDescent="0.2">
      <c r="A970" s="5"/>
      <c r="B970" s="5"/>
      <c r="C970" s="5"/>
      <c r="D970" s="5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 ht="12.75" x14ac:dyDescent="0.2">
      <c r="A971" s="5"/>
      <c r="B971" s="5"/>
      <c r="C971" s="5"/>
      <c r="D971" s="5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 ht="12.75" x14ac:dyDescent="0.2">
      <c r="A972" s="5"/>
      <c r="B972" s="5"/>
      <c r="C972" s="5"/>
      <c r="D972" s="5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 ht="12.75" x14ac:dyDescent="0.2">
      <c r="A973" s="5"/>
      <c r="B973" s="5"/>
      <c r="C973" s="5"/>
      <c r="D973" s="5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 ht="12.75" x14ac:dyDescent="0.2">
      <c r="A974" s="5"/>
      <c r="B974" s="5"/>
      <c r="C974" s="5"/>
      <c r="D974" s="5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 ht="12.75" x14ac:dyDescent="0.2">
      <c r="A975" s="5"/>
      <c r="B975" s="5"/>
      <c r="C975" s="5"/>
      <c r="D975" s="5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 ht="12.75" x14ac:dyDescent="0.2">
      <c r="A976" s="5"/>
      <c r="B976" s="5"/>
      <c r="C976" s="5"/>
      <c r="D976" s="5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1:19" ht="12.75" x14ac:dyDescent="0.2">
      <c r="A977" s="5"/>
      <c r="B977" s="5"/>
      <c r="C977" s="5"/>
      <c r="D977" s="5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1:19" ht="12.75" x14ac:dyDescent="0.2">
      <c r="A978" s="5"/>
      <c r="B978" s="5"/>
      <c r="C978" s="5"/>
      <c r="D978" s="5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1:19" ht="12.75" x14ac:dyDescent="0.2">
      <c r="A979" s="5"/>
      <c r="B979" s="5"/>
      <c r="C979" s="5"/>
      <c r="D979" s="5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1:19" ht="12.75" x14ac:dyDescent="0.2">
      <c r="A980" s="5"/>
      <c r="B980" s="5"/>
      <c r="C980" s="5"/>
      <c r="D980" s="5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1:19" ht="12.75" x14ac:dyDescent="0.2">
      <c r="A981" s="5"/>
      <c r="B981" s="5"/>
      <c r="C981" s="5"/>
      <c r="D981" s="5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1:19" ht="12.75" x14ac:dyDescent="0.2">
      <c r="A982" s="5"/>
      <c r="B982" s="5"/>
      <c r="C982" s="5"/>
      <c r="D982" s="5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1:19" ht="12.75" x14ac:dyDescent="0.2">
      <c r="A983" s="5"/>
      <c r="B983" s="5"/>
      <c r="C983" s="5"/>
      <c r="D983" s="5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 ht="12.75" x14ac:dyDescent="0.2">
      <c r="A984" s="5"/>
      <c r="B984" s="5"/>
      <c r="C984" s="5"/>
      <c r="D984" s="5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1:19" ht="12.75" x14ac:dyDescent="0.2">
      <c r="A985" s="5"/>
      <c r="B985" s="5"/>
      <c r="C985" s="5"/>
      <c r="D985" s="5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1:19" ht="12.75" x14ac:dyDescent="0.2">
      <c r="A986" s="5"/>
      <c r="B986" s="5"/>
      <c r="C986" s="5"/>
      <c r="D986" s="5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1:19" ht="12.75" x14ac:dyDescent="0.2">
      <c r="A987" s="5"/>
      <c r="B987" s="5"/>
      <c r="C987" s="5"/>
      <c r="D987" s="5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1:19" ht="12.75" x14ac:dyDescent="0.2">
      <c r="A988" s="5"/>
      <c r="B988" s="5"/>
      <c r="C988" s="5"/>
      <c r="D988" s="5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1:19" ht="12.75" x14ac:dyDescent="0.2">
      <c r="A989" s="5"/>
      <c r="B989" s="5"/>
      <c r="C989" s="5"/>
      <c r="D989" s="5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1:19" ht="12.75" x14ac:dyDescent="0.2">
      <c r="A990" s="5"/>
      <c r="B990" s="5"/>
      <c r="C990" s="5"/>
      <c r="D990" s="5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1:19" ht="12.75" x14ac:dyDescent="0.2">
      <c r="A991" s="5"/>
      <c r="B991" s="5"/>
      <c r="C991" s="5"/>
      <c r="D991" s="5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spans="1:19" ht="12.75" x14ac:dyDescent="0.2">
      <c r="A992" s="5"/>
      <c r="B992" s="5"/>
      <c r="C992" s="5"/>
      <c r="D992" s="5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spans="1:19" ht="12.75" x14ac:dyDescent="0.2">
      <c r="A993" s="5"/>
      <c r="B993" s="5"/>
      <c r="C993" s="5"/>
      <c r="D993" s="5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 spans="1:19" ht="12.75" x14ac:dyDescent="0.2">
      <c r="A994" s="5"/>
      <c r="B994" s="5"/>
      <c r="C994" s="5"/>
      <c r="D994" s="5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 spans="1:19" ht="12.75" x14ac:dyDescent="0.2">
      <c r="A995" s="5"/>
      <c r="B995" s="5"/>
      <c r="C995" s="5"/>
      <c r="D995" s="5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 spans="1:19" ht="12.75" x14ac:dyDescent="0.2">
      <c r="A996" s="5"/>
      <c r="B996" s="5"/>
      <c r="C996" s="5"/>
      <c r="D996" s="5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 spans="1:19" ht="12.75" x14ac:dyDescent="0.2">
      <c r="A997" s="5"/>
      <c r="B997" s="5"/>
      <c r="C997" s="5"/>
      <c r="D997" s="5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 spans="1:19" ht="12.75" x14ac:dyDescent="0.2">
      <c r="A998" s="5"/>
      <c r="B998" s="5"/>
      <c r="C998" s="5"/>
      <c r="D998" s="5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 spans="1:19" ht="12.75" x14ac:dyDescent="0.2">
      <c r="A999" s="5"/>
      <c r="B999" s="5"/>
      <c r="C999" s="5"/>
      <c r="D999" s="5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 spans="1:19" ht="12.75" x14ac:dyDescent="0.2">
      <c r="A1000" s="5"/>
      <c r="B1000" s="5"/>
      <c r="C1000" s="5"/>
      <c r="D1000" s="5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 spans="1:19" ht="12.75" x14ac:dyDescent="0.2">
      <c r="A1001" s="5"/>
      <c r="B1001" s="5"/>
      <c r="C1001" s="5"/>
      <c r="D1001" s="5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 spans="1:19" ht="12.75" x14ac:dyDescent="0.2">
      <c r="A1002" s="5"/>
      <c r="B1002" s="5"/>
      <c r="C1002" s="5"/>
      <c r="D1002" s="5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 spans="1:19" ht="12.75" x14ac:dyDescent="0.2">
      <c r="A1003" s="5"/>
      <c r="B1003" s="5"/>
      <c r="C1003" s="5"/>
      <c r="D1003" s="5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 spans="1:19" ht="12.75" x14ac:dyDescent="0.2">
      <c r="A1004" s="5"/>
      <c r="B1004" s="5"/>
      <c r="C1004" s="5"/>
      <c r="D1004" s="5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 spans="1:19" ht="12.75" x14ac:dyDescent="0.2">
      <c r="A1005" s="5"/>
      <c r="B1005" s="5"/>
      <c r="C1005" s="5"/>
      <c r="D1005" s="5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  <row r="1006" spans="1:19" ht="12.75" x14ac:dyDescent="0.2">
      <c r="A1006" s="5"/>
      <c r="B1006" s="5"/>
      <c r="C1006" s="5"/>
      <c r="D1006" s="5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</row>
    <row r="1007" spans="1:19" ht="12.75" x14ac:dyDescent="0.2">
      <c r="A1007" s="5"/>
      <c r="B1007" s="5"/>
      <c r="C1007" s="5"/>
      <c r="D1007" s="5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</row>
    <row r="1008" spans="1:19" ht="12.75" x14ac:dyDescent="0.2">
      <c r="A1008" s="5"/>
      <c r="B1008" s="5"/>
      <c r="C1008" s="5"/>
      <c r="D1008" s="5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</row>
    <row r="1009" spans="1:19" ht="12.75" x14ac:dyDescent="0.2">
      <c r="A1009" s="5"/>
      <c r="B1009" s="5"/>
      <c r="C1009" s="5"/>
      <c r="D1009" s="5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</row>
    <row r="1010" spans="1:19" ht="12.75" x14ac:dyDescent="0.2">
      <c r="A1010" s="5"/>
      <c r="B1010" s="5"/>
      <c r="C1010" s="5"/>
      <c r="D1010" s="5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</row>
    <row r="1011" spans="1:19" ht="12.75" x14ac:dyDescent="0.2">
      <c r="A1011" s="5"/>
      <c r="B1011" s="5"/>
      <c r="C1011" s="5"/>
      <c r="D1011" s="5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</row>
    <row r="1012" spans="1:19" ht="12.75" x14ac:dyDescent="0.2">
      <c r="A1012" s="5"/>
      <c r="B1012" s="5"/>
      <c r="C1012" s="5"/>
      <c r="D1012" s="5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</row>
    <row r="1013" spans="1:19" ht="12.75" x14ac:dyDescent="0.2">
      <c r="A1013" s="5"/>
      <c r="B1013" s="5"/>
      <c r="C1013" s="5"/>
      <c r="D1013" s="5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</row>
    <row r="1014" spans="1:19" ht="12.75" x14ac:dyDescent="0.2">
      <c r="A1014" s="5"/>
      <c r="B1014" s="5"/>
      <c r="C1014" s="5"/>
      <c r="D1014" s="5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</row>
    <row r="1015" spans="1:19" ht="12.75" x14ac:dyDescent="0.2">
      <c r="A1015" s="5"/>
      <c r="B1015" s="5"/>
      <c r="C1015" s="5"/>
      <c r="D1015" s="5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</row>
    <row r="1016" spans="1:19" ht="12.75" x14ac:dyDescent="0.2">
      <c r="A1016" s="5"/>
      <c r="B1016" s="5"/>
      <c r="C1016" s="5"/>
      <c r="D1016" s="5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</row>
    <row r="1017" spans="1:19" ht="12.75" x14ac:dyDescent="0.2">
      <c r="A1017" s="5"/>
      <c r="B1017" s="5"/>
      <c r="C1017" s="5"/>
      <c r="D1017" s="5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</row>
    <row r="1018" spans="1:19" ht="12.75" x14ac:dyDescent="0.2">
      <c r="A1018" s="5"/>
      <c r="B1018" s="5"/>
      <c r="C1018" s="5"/>
      <c r="D1018" s="5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</row>
    <row r="1019" spans="1:19" ht="12.75" x14ac:dyDescent="0.2">
      <c r="A1019" s="5"/>
      <c r="B1019" s="5"/>
      <c r="C1019" s="5"/>
      <c r="D1019" s="5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</row>
    <row r="1020" spans="1:19" ht="12.75" x14ac:dyDescent="0.2">
      <c r="A1020" s="5"/>
      <c r="B1020" s="5"/>
      <c r="C1020" s="5"/>
      <c r="D1020" s="5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</row>
    <row r="1021" spans="1:19" ht="12.75" x14ac:dyDescent="0.2">
      <c r="A1021" s="5"/>
      <c r="B1021" s="5"/>
      <c r="C1021" s="5"/>
      <c r="D1021" s="5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</row>
    <row r="1022" spans="1:19" ht="12.75" x14ac:dyDescent="0.2">
      <c r="A1022" s="5"/>
      <c r="B1022" s="5"/>
      <c r="C1022" s="5"/>
      <c r="D1022" s="5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</row>
    <row r="1023" spans="1:19" ht="12.75" x14ac:dyDescent="0.2">
      <c r="A1023" s="5"/>
      <c r="B1023" s="5"/>
      <c r="C1023" s="5"/>
      <c r="D1023" s="5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</row>
    <row r="1024" spans="1:19" ht="12.75" x14ac:dyDescent="0.2">
      <c r="A1024" s="5"/>
      <c r="B1024" s="5"/>
      <c r="C1024" s="5"/>
      <c r="D1024" s="5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</row>
    <row r="1025" spans="1:19" ht="12.75" x14ac:dyDescent="0.2">
      <c r="A1025" s="5"/>
      <c r="B1025" s="5"/>
      <c r="C1025" s="5"/>
      <c r="D1025" s="5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</row>
    <row r="1026" spans="1:19" ht="12.75" x14ac:dyDescent="0.2">
      <c r="A1026" s="5"/>
      <c r="B1026" s="5"/>
      <c r="C1026" s="5"/>
      <c r="D1026" s="5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</row>
    <row r="1027" spans="1:19" ht="12.75" x14ac:dyDescent="0.2">
      <c r="A1027" s="5"/>
      <c r="B1027" s="5"/>
      <c r="C1027" s="5"/>
      <c r="D1027" s="5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</row>
    <row r="1028" spans="1:19" ht="12.75" x14ac:dyDescent="0.2">
      <c r="A1028" s="5"/>
      <c r="B1028" s="5"/>
      <c r="C1028" s="5"/>
      <c r="D1028" s="5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</row>
    <row r="1029" spans="1:19" ht="12.75" x14ac:dyDescent="0.2">
      <c r="A1029" s="5"/>
      <c r="B1029" s="5"/>
      <c r="C1029" s="5"/>
      <c r="D1029" s="5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</row>
    <row r="1030" spans="1:19" ht="12.75" x14ac:dyDescent="0.2">
      <c r="A1030" s="5"/>
      <c r="B1030" s="5"/>
      <c r="C1030" s="5"/>
      <c r="D1030" s="5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</row>
    <row r="1031" spans="1:19" ht="12.75" x14ac:dyDescent="0.2">
      <c r="A1031" s="5"/>
      <c r="B1031" s="5"/>
      <c r="C1031" s="5"/>
      <c r="D1031" s="5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</row>
    <row r="1032" spans="1:19" ht="12.75" x14ac:dyDescent="0.2">
      <c r="A1032" s="5"/>
      <c r="B1032" s="5"/>
      <c r="C1032" s="5"/>
      <c r="D1032" s="5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</row>
    <row r="1033" spans="1:19" ht="12.75" x14ac:dyDescent="0.2">
      <c r="A1033" s="5"/>
      <c r="B1033" s="5"/>
      <c r="C1033" s="5"/>
      <c r="D1033" s="5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</row>
    <row r="1034" spans="1:19" ht="12.75" x14ac:dyDescent="0.2">
      <c r="A1034" s="5"/>
      <c r="B1034" s="5"/>
      <c r="C1034" s="5"/>
      <c r="D1034" s="5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</row>
    <row r="1035" spans="1:19" ht="12.75" x14ac:dyDescent="0.2">
      <c r="A1035" s="5"/>
      <c r="B1035" s="5"/>
      <c r="C1035" s="5"/>
      <c r="D1035" s="5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</row>
    <row r="1036" spans="1:19" ht="12.75" x14ac:dyDescent="0.2">
      <c r="A1036" s="5"/>
      <c r="B1036" s="5"/>
      <c r="C1036" s="5"/>
      <c r="D1036" s="5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</row>
    <row r="1037" spans="1:19" ht="12.75" x14ac:dyDescent="0.2">
      <c r="A1037" s="5"/>
      <c r="B1037" s="5"/>
      <c r="C1037" s="5"/>
      <c r="D1037" s="5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</row>
    <row r="1038" spans="1:19" ht="12.75" x14ac:dyDescent="0.2">
      <c r="A1038" s="5"/>
      <c r="B1038" s="5"/>
      <c r="C1038" s="5"/>
      <c r="D1038" s="5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</row>
    <row r="1039" spans="1:19" ht="12.75" x14ac:dyDescent="0.2">
      <c r="A1039" s="5"/>
      <c r="B1039" s="5"/>
      <c r="C1039" s="5"/>
      <c r="D1039" s="5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</row>
    <row r="1040" spans="1:19" ht="12.75" x14ac:dyDescent="0.2">
      <c r="A1040" s="5"/>
      <c r="B1040" s="5"/>
      <c r="C1040" s="5"/>
      <c r="D1040" s="5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</row>
    <row r="1041" spans="1:19" ht="12.75" x14ac:dyDescent="0.2">
      <c r="A1041" s="5"/>
      <c r="B1041" s="5"/>
      <c r="C1041" s="5"/>
      <c r="D1041" s="5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</row>
    <row r="1042" spans="1:19" ht="12.75" x14ac:dyDescent="0.2">
      <c r="A1042" s="5"/>
      <c r="B1042" s="5"/>
      <c r="C1042" s="5"/>
      <c r="D1042" s="5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</row>
    <row r="1043" spans="1:19" ht="12.75" x14ac:dyDescent="0.2">
      <c r="A1043" s="5"/>
      <c r="B1043" s="5"/>
      <c r="C1043" s="5"/>
      <c r="D1043" s="5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</row>
    <row r="1044" spans="1:19" ht="12.75" x14ac:dyDescent="0.2">
      <c r="A1044" s="5"/>
      <c r="B1044" s="5"/>
      <c r="C1044" s="5"/>
      <c r="D1044" s="5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</row>
    <row r="1045" spans="1:19" ht="12.75" x14ac:dyDescent="0.2">
      <c r="A1045" s="5"/>
      <c r="B1045" s="5"/>
      <c r="C1045" s="5"/>
      <c r="D1045" s="5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</row>
    <row r="1046" spans="1:19" ht="12.75" x14ac:dyDescent="0.2">
      <c r="A1046" s="5"/>
      <c r="B1046" s="5"/>
      <c r="C1046" s="5"/>
      <c r="D1046" s="5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</row>
    <row r="1047" spans="1:19" ht="12.75" x14ac:dyDescent="0.2">
      <c r="A1047" s="5"/>
      <c r="B1047" s="5"/>
      <c r="C1047" s="5"/>
      <c r="D1047" s="5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</row>
    <row r="1048" spans="1:19" ht="12.75" x14ac:dyDescent="0.2">
      <c r="A1048" s="5"/>
      <c r="B1048" s="5"/>
      <c r="C1048" s="5"/>
      <c r="D1048" s="5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</row>
    <row r="1049" spans="1:19" ht="12.75" x14ac:dyDescent="0.2">
      <c r="A1049" s="5"/>
      <c r="B1049" s="5"/>
      <c r="C1049" s="5"/>
      <c r="D1049" s="5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</row>
    <row r="1050" spans="1:19" ht="12.75" x14ac:dyDescent="0.2">
      <c r="A1050" s="5"/>
      <c r="B1050" s="5"/>
      <c r="C1050" s="5"/>
      <c r="D1050" s="5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</row>
    <row r="1051" spans="1:19" ht="12.75" x14ac:dyDescent="0.2">
      <c r="A1051" s="5"/>
      <c r="B1051" s="5"/>
      <c r="C1051" s="5"/>
      <c r="D1051" s="5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</row>
    <row r="1052" spans="1:19" ht="12.75" x14ac:dyDescent="0.2">
      <c r="A1052" s="5"/>
      <c r="B1052" s="5"/>
      <c r="C1052" s="5"/>
      <c r="D1052" s="5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</row>
    <row r="1053" spans="1:19" ht="12.75" x14ac:dyDescent="0.2">
      <c r="A1053" s="5"/>
      <c r="B1053" s="5"/>
      <c r="C1053" s="5"/>
      <c r="D1053" s="5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</row>
    <row r="1054" spans="1:19" ht="12.75" x14ac:dyDescent="0.2">
      <c r="A1054" s="5"/>
      <c r="B1054" s="5"/>
      <c r="C1054" s="5"/>
      <c r="D1054" s="5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</row>
    <row r="1055" spans="1:19" ht="15.75" customHeight="1" x14ac:dyDescent="0.2">
      <c r="A1055" s="5"/>
      <c r="B1055" s="5"/>
      <c r="C1055" s="5"/>
      <c r="D1055" s="5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</sheetData>
  <mergeCells count="2">
    <mergeCell ref="A1:P5"/>
    <mergeCell ref="R38:T38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5A20-076E-4F6C-93D1-FA7D7492B632}">
  <dimension ref="F2:P35"/>
  <sheetViews>
    <sheetView workbookViewId="0">
      <selection activeCell="F3" sqref="F3:J3"/>
    </sheetView>
  </sheetViews>
  <sheetFormatPr baseColWidth="10" defaultColWidth="11.42578125" defaultRowHeight="12.75" x14ac:dyDescent="0.2"/>
  <cols>
    <col min="6" max="7" width="7.85546875" customWidth="1"/>
    <col min="8" max="8" width="11.28515625" bestFit="1" customWidth="1"/>
    <col min="9" max="9" width="12.5703125" bestFit="1" customWidth="1"/>
    <col min="10" max="10" width="13" bestFit="1" customWidth="1"/>
    <col min="16" max="16" width="13" bestFit="1" customWidth="1"/>
  </cols>
  <sheetData>
    <row r="2" spans="6:16" ht="13.5" thickBot="1" x14ac:dyDescent="0.25"/>
    <row r="3" spans="6:16" ht="13.5" thickBot="1" x14ac:dyDescent="0.25">
      <c r="F3" s="214" t="s">
        <v>443</v>
      </c>
      <c r="G3" s="215"/>
      <c r="H3" s="215"/>
      <c r="I3" s="215"/>
      <c r="J3" s="216"/>
      <c r="L3" s="214" t="s">
        <v>143</v>
      </c>
      <c r="M3" s="215"/>
      <c r="N3" s="215"/>
      <c r="O3" s="215"/>
      <c r="P3" s="216"/>
    </row>
    <row r="4" spans="6:16" x14ac:dyDescent="0.2">
      <c r="F4" s="43"/>
      <c r="J4" s="44"/>
      <c r="L4" s="43"/>
      <c r="P4" s="44"/>
    </row>
    <row r="5" spans="6:16" x14ac:dyDescent="0.2">
      <c r="F5" s="211" t="s">
        <v>444</v>
      </c>
      <c r="G5" s="212"/>
      <c r="H5" s="212"/>
      <c r="I5" s="212"/>
      <c r="J5" s="213"/>
      <c r="L5" s="211" t="s">
        <v>444</v>
      </c>
      <c r="M5" s="212"/>
      <c r="N5" s="212"/>
      <c r="O5" s="212"/>
      <c r="P5" s="213"/>
    </row>
    <row r="6" spans="6:16" x14ac:dyDescent="0.2">
      <c r="F6" s="211" t="s">
        <v>445</v>
      </c>
      <c r="G6" s="212"/>
      <c r="H6" s="212"/>
      <c r="I6" s="212"/>
      <c r="J6" s="213"/>
      <c r="L6" s="211" t="s">
        <v>446</v>
      </c>
      <c r="M6" s="212"/>
      <c r="N6" s="212"/>
      <c r="O6" s="212"/>
      <c r="P6" s="213"/>
    </row>
    <row r="7" spans="6:16" x14ac:dyDescent="0.2">
      <c r="F7" s="45" t="s">
        <v>447</v>
      </c>
      <c r="G7" s="46" t="s">
        <v>448</v>
      </c>
      <c r="H7" s="46" t="s">
        <v>26</v>
      </c>
      <c r="I7" s="46" t="s">
        <v>449</v>
      </c>
      <c r="J7" s="47" t="s">
        <v>450</v>
      </c>
      <c r="L7" s="45" t="s">
        <v>447</v>
      </c>
      <c r="M7" s="46" t="s">
        <v>448</v>
      </c>
      <c r="N7" s="46" t="s">
        <v>26</v>
      </c>
      <c r="O7" s="46" t="s">
        <v>449</v>
      </c>
      <c r="P7" s="47" t="s">
        <v>450</v>
      </c>
    </row>
    <row r="8" spans="6:16" x14ac:dyDescent="0.2">
      <c r="F8" s="48">
        <v>74.5</v>
      </c>
      <c r="G8" s="49">
        <v>90</v>
      </c>
      <c r="H8" s="49">
        <f>+F8*G8</f>
        <v>6705</v>
      </c>
      <c r="I8" s="49">
        <v>1400</v>
      </c>
      <c r="J8" s="50">
        <f>+H8+I8</f>
        <v>8105</v>
      </c>
      <c r="L8" s="48">
        <v>55.74</v>
      </c>
      <c r="M8" s="49">
        <v>90</v>
      </c>
      <c r="N8" s="49">
        <f>+L8*M8</f>
        <v>5016.6000000000004</v>
      </c>
      <c r="O8" s="49">
        <v>1800</v>
      </c>
      <c r="P8" s="50">
        <f>+N8+O8</f>
        <v>6816.6</v>
      </c>
    </row>
    <row r="9" spans="6:16" x14ac:dyDescent="0.2">
      <c r="F9" s="43"/>
      <c r="J9" s="44"/>
      <c r="L9" s="43"/>
      <c r="P9" s="44"/>
    </row>
    <row r="10" spans="6:16" x14ac:dyDescent="0.2">
      <c r="F10" s="211" t="s">
        <v>451</v>
      </c>
      <c r="G10" s="212"/>
      <c r="H10" s="212"/>
      <c r="I10" s="212"/>
      <c r="J10" s="213"/>
      <c r="L10" s="211" t="s">
        <v>451</v>
      </c>
      <c r="M10" s="212"/>
      <c r="N10" s="212"/>
      <c r="O10" s="212"/>
      <c r="P10" s="213"/>
    </row>
    <row r="11" spans="6:16" x14ac:dyDescent="0.2">
      <c r="F11" s="211" t="s">
        <v>452</v>
      </c>
      <c r="G11" s="212"/>
      <c r="H11" s="212"/>
      <c r="I11" s="212"/>
      <c r="J11" s="213"/>
      <c r="L11" s="211" t="s">
        <v>453</v>
      </c>
      <c r="M11" s="212"/>
      <c r="N11" s="212"/>
      <c r="O11" s="212"/>
      <c r="P11" s="213"/>
    </row>
    <row r="12" spans="6:16" x14ac:dyDescent="0.2">
      <c r="F12" s="45" t="s">
        <v>447</v>
      </c>
      <c r="G12" s="46" t="s">
        <v>448</v>
      </c>
      <c r="H12" s="46" t="s">
        <v>26</v>
      </c>
      <c r="I12" s="46" t="s">
        <v>449</v>
      </c>
      <c r="J12" s="47" t="s">
        <v>450</v>
      </c>
      <c r="L12" s="45" t="s">
        <v>447</v>
      </c>
      <c r="M12" s="46" t="s">
        <v>448</v>
      </c>
      <c r="N12" s="46" t="s">
        <v>26</v>
      </c>
      <c r="O12" s="46" t="s">
        <v>449</v>
      </c>
      <c r="P12" s="47" t="s">
        <v>450</v>
      </c>
    </row>
    <row r="13" spans="6:16" x14ac:dyDescent="0.2">
      <c r="F13" s="48">
        <v>135.75</v>
      </c>
      <c r="G13" s="49">
        <v>90</v>
      </c>
      <c r="H13" s="49">
        <f>+F13*G13</f>
        <v>12217.5</v>
      </c>
      <c r="I13" s="49">
        <v>1400</v>
      </c>
      <c r="J13" s="50">
        <f>+H13+I13</f>
        <v>13617.5</v>
      </c>
      <c r="L13" s="48">
        <v>104.75</v>
      </c>
      <c r="M13" s="49">
        <v>90</v>
      </c>
      <c r="N13" s="49">
        <f>+L13*M13</f>
        <v>9427.5</v>
      </c>
      <c r="O13" s="49">
        <v>1800</v>
      </c>
      <c r="P13" s="50">
        <f>+N13+O13</f>
        <v>11227.5</v>
      </c>
    </row>
    <row r="14" spans="6:16" x14ac:dyDescent="0.2">
      <c r="F14" s="43"/>
      <c r="J14" s="44"/>
      <c r="L14" s="43"/>
      <c r="P14" s="44"/>
    </row>
    <row r="15" spans="6:16" x14ac:dyDescent="0.2">
      <c r="F15" s="211" t="s">
        <v>454</v>
      </c>
      <c r="G15" s="212"/>
      <c r="H15" s="212"/>
      <c r="I15" s="212"/>
      <c r="J15" s="213"/>
      <c r="L15" s="211" t="s">
        <v>454</v>
      </c>
      <c r="M15" s="212"/>
      <c r="N15" s="212"/>
      <c r="O15" s="212"/>
      <c r="P15" s="213"/>
    </row>
    <row r="16" spans="6:16" x14ac:dyDescent="0.2">
      <c r="F16" s="211" t="s">
        <v>446</v>
      </c>
      <c r="G16" s="212"/>
      <c r="H16" s="212"/>
      <c r="I16" s="212"/>
      <c r="J16" s="213"/>
      <c r="L16" s="211" t="s">
        <v>446</v>
      </c>
      <c r="M16" s="212"/>
      <c r="N16" s="212"/>
      <c r="O16" s="212"/>
      <c r="P16" s="213"/>
    </row>
    <row r="17" spans="6:16" x14ac:dyDescent="0.2">
      <c r="F17" s="45" t="s">
        <v>447</v>
      </c>
      <c r="G17" s="46" t="s">
        <v>448</v>
      </c>
      <c r="H17" s="46" t="s">
        <v>26</v>
      </c>
      <c r="I17" s="46" t="s">
        <v>449</v>
      </c>
      <c r="J17" s="47" t="s">
        <v>450</v>
      </c>
      <c r="L17" s="45" t="s">
        <v>447</v>
      </c>
      <c r="M17" s="46" t="s">
        <v>448</v>
      </c>
      <c r="N17" s="46" t="s">
        <v>26</v>
      </c>
      <c r="O17" s="46" t="s">
        <v>449</v>
      </c>
      <c r="P17" s="47" t="s">
        <v>450</v>
      </c>
    </row>
    <row r="18" spans="6:16" x14ac:dyDescent="0.2">
      <c r="F18" s="48">
        <v>62</v>
      </c>
      <c r="G18" s="49">
        <v>90</v>
      </c>
      <c r="H18" s="49">
        <f>+F18*G18</f>
        <v>5580</v>
      </c>
      <c r="I18" s="49">
        <v>1400</v>
      </c>
      <c r="J18" s="50">
        <f>+H18+I18</f>
        <v>6980</v>
      </c>
      <c r="L18" s="48">
        <v>61.86</v>
      </c>
      <c r="M18" s="49">
        <v>90</v>
      </c>
      <c r="N18" s="49">
        <f>+L18*M18</f>
        <v>5567.4</v>
      </c>
      <c r="O18" s="49">
        <v>1800</v>
      </c>
      <c r="P18" s="50">
        <f>+N18+O18</f>
        <v>7367.4</v>
      </c>
    </row>
    <row r="19" spans="6:16" x14ac:dyDescent="0.2">
      <c r="F19" s="43"/>
      <c r="J19" s="44"/>
      <c r="L19" s="43"/>
      <c r="P19" s="44"/>
    </row>
    <row r="20" spans="6:16" x14ac:dyDescent="0.2">
      <c r="F20" s="211" t="s">
        <v>455</v>
      </c>
      <c r="G20" s="212"/>
      <c r="H20" s="212"/>
      <c r="I20" s="212"/>
      <c r="J20" s="213"/>
      <c r="L20" s="211" t="s">
        <v>455</v>
      </c>
      <c r="M20" s="212"/>
      <c r="N20" s="212"/>
      <c r="O20" s="212"/>
      <c r="P20" s="213"/>
    </row>
    <row r="21" spans="6:16" x14ac:dyDescent="0.2">
      <c r="F21" s="211" t="s">
        <v>456</v>
      </c>
      <c r="G21" s="212"/>
      <c r="H21" s="212"/>
      <c r="I21" s="212"/>
      <c r="J21" s="213"/>
      <c r="L21" s="211" t="s">
        <v>457</v>
      </c>
      <c r="M21" s="212"/>
      <c r="N21" s="212"/>
      <c r="O21" s="212"/>
      <c r="P21" s="213"/>
    </row>
    <row r="22" spans="6:16" x14ac:dyDescent="0.2">
      <c r="F22" s="45" t="s">
        <v>447</v>
      </c>
      <c r="G22" s="46" t="s">
        <v>448</v>
      </c>
      <c r="H22" s="46" t="s">
        <v>26</v>
      </c>
      <c r="I22" s="46" t="s">
        <v>449</v>
      </c>
      <c r="J22" s="47" t="s">
        <v>450</v>
      </c>
      <c r="L22" s="45" t="s">
        <v>447</v>
      </c>
      <c r="M22" s="46" t="s">
        <v>448</v>
      </c>
      <c r="N22" s="46" t="s">
        <v>26</v>
      </c>
      <c r="O22" s="46" t="s">
        <v>449</v>
      </c>
      <c r="P22" s="47" t="s">
        <v>450</v>
      </c>
    </row>
    <row r="23" spans="6:16" x14ac:dyDescent="0.2">
      <c r="F23" s="48">
        <v>152.25</v>
      </c>
      <c r="G23" s="49">
        <v>90</v>
      </c>
      <c r="H23" s="49">
        <f>+F23*G23</f>
        <v>13702.5</v>
      </c>
      <c r="I23" s="49">
        <v>1400</v>
      </c>
      <c r="J23" s="50">
        <f>+H23+I23</f>
        <v>15102.5</v>
      </c>
      <c r="L23" s="48">
        <v>0</v>
      </c>
      <c r="M23" s="49">
        <v>90</v>
      </c>
      <c r="N23" s="49">
        <f>+L23*M23</f>
        <v>0</v>
      </c>
      <c r="O23" s="49">
        <v>0</v>
      </c>
      <c r="P23" s="50">
        <f>+N23+O23</f>
        <v>0</v>
      </c>
    </row>
    <row r="24" spans="6:16" x14ac:dyDescent="0.2">
      <c r="F24" s="43"/>
      <c r="J24" s="44"/>
      <c r="L24" s="43"/>
      <c r="P24" s="44"/>
    </row>
    <row r="25" spans="6:16" x14ac:dyDescent="0.2">
      <c r="F25" s="211" t="s">
        <v>455</v>
      </c>
      <c r="G25" s="212"/>
      <c r="H25" s="212"/>
      <c r="I25" s="212"/>
      <c r="J25" s="213"/>
      <c r="L25" s="211" t="s">
        <v>455</v>
      </c>
      <c r="M25" s="212"/>
      <c r="N25" s="212"/>
      <c r="O25" s="212"/>
      <c r="P25" s="213"/>
    </row>
    <row r="26" spans="6:16" x14ac:dyDescent="0.2">
      <c r="F26" s="211" t="s">
        <v>458</v>
      </c>
      <c r="G26" s="212"/>
      <c r="H26" s="212"/>
      <c r="I26" s="212"/>
      <c r="J26" s="213"/>
      <c r="L26" s="211" t="s">
        <v>459</v>
      </c>
      <c r="M26" s="212"/>
      <c r="N26" s="212"/>
      <c r="O26" s="212"/>
      <c r="P26" s="213"/>
    </row>
    <row r="27" spans="6:16" x14ac:dyDescent="0.2">
      <c r="F27" s="45" t="s">
        <v>447</v>
      </c>
      <c r="G27" s="46" t="s">
        <v>448</v>
      </c>
      <c r="H27" s="46" t="s">
        <v>26</v>
      </c>
      <c r="I27" s="46" t="s">
        <v>449</v>
      </c>
      <c r="J27" s="47" t="s">
        <v>450</v>
      </c>
      <c r="L27" s="45" t="s">
        <v>447</v>
      </c>
      <c r="M27" s="46" t="s">
        <v>448</v>
      </c>
      <c r="N27" s="46" t="s">
        <v>26</v>
      </c>
      <c r="O27" s="46" t="s">
        <v>449</v>
      </c>
      <c r="P27" s="47" t="s">
        <v>450</v>
      </c>
    </row>
    <row r="28" spans="6:16" x14ac:dyDescent="0.2">
      <c r="F28" s="48">
        <v>20</v>
      </c>
      <c r="G28" s="49">
        <v>90</v>
      </c>
      <c r="H28" s="49">
        <f>+F28*G28</f>
        <v>1800</v>
      </c>
      <c r="I28" s="49">
        <v>1400</v>
      </c>
      <c r="J28" s="50">
        <f>+H28+I28</f>
        <v>3200</v>
      </c>
      <c r="L28" s="48">
        <f>110+30</f>
        <v>140</v>
      </c>
      <c r="M28" s="49">
        <v>90</v>
      </c>
      <c r="N28" s="49">
        <f>+L28*M28</f>
        <v>12600</v>
      </c>
      <c r="O28" s="49">
        <v>1800</v>
      </c>
      <c r="P28" s="50">
        <f>+N28+O28</f>
        <v>14400</v>
      </c>
    </row>
    <row r="29" spans="6:16" x14ac:dyDescent="0.2">
      <c r="F29" s="43"/>
      <c r="J29" s="44"/>
      <c r="L29" s="43"/>
      <c r="P29" s="44"/>
    </row>
    <row r="30" spans="6:16" ht="13.5" thickBot="1" x14ac:dyDescent="0.25">
      <c r="F30" s="51"/>
      <c r="G30" s="52"/>
      <c r="H30" s="52"/>
      <c r="I30" s="52"/>
      <c r="J30" s="53">
        <f>+J28+J23+J18+J13+J8</f>
        <v>47005</v>
      </c>
      <c r="L30" s="51"/>
      <c r="M30" s="52"/>
      <c r="N30" s="52"/>
      <c r="O30" s="52"/>
      <c r="P30" s="53">
        <f>+P28+P23+P18+P13+P8</f>
        <v>39811.5</v>
      </c>
    </row>
    <row r="32" spans="6:16" x14ac:dyDescent="0.2">
      <c r="I32" s="54" t="s">
        <v>450</v>
      </c>
      <c r="J32" s="55">
        <f>+J30+P30</f>
        <v>86816.5</v>
      </c>
    </row>
    <row r="33" spans="9:11" x14ac:dyDescent="0.2">
      <c r="I33" s="54" t="s">
        <v>460</v>
      </c>
      <c r="J33" s="56">
        <v>3000</v>
      </c>
    </row>
    <row r="34" spans="9:11" x14ac:dyDescent="0.2">
      <c r="I34" s="54" t="s">
        <v>460</v>
      </c>
      <c r="J34" s="56">
        <v>350</v>
      </c>
      <c r="K34" s="18"/>
    </row>
    <row r="35" spans="9:11" x14ac:dyDescent="0.2">
      <c r="J35" s="55">
        <f>+J32-J33-J34</f>
        <v>83466.5</v>
      </c>
    </row>
  </sheetData>
  <mergeCells count="22">
    <mergeCell ref="L20:P20"/>
    <mergeCell ref="L21:P21"/>
    <mergeCell ref="L25:P25"/>
    <mergeCell ref="L26:P26"/>
    <mergeCell ref="F3:J3"/>
    <mergeCell ref="L3:P3"/>
    <mergeCell ref="F20:J20"/>
    <mergeCell ref="F21:J21"/>
    <mergeCell ref="F25:J25"/>
    <mergeCell ref="F26:J26"/>
    <mergeCell ref="L5:P5"/>
    <mergeCell ref="L6:P6"/>
    <mergeCell ref="L10:P10"/>
    <mergeCell ref="L11:P11"/>
    <mergeCell ref="L15:P15"/>
    <mergeCell ref="L16:P16"/>
    <mergeCell ref="F16:J16"/>
    <mergeCell ref="F5:J5"/>
    <mergeCell ref="F6:J6"/>
    <mergeCell ref="F10:J10"/>
    <mergeCell ref="F11:J11"/>
    <mergeCell ref="F15:J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2DB5-CAEA-4F9C-A1BB-CC16198A5596}">
  <dimension ref="B1:Q16"/>
  <sheetViews>
    <sheetView workbookViewId="0">
      <selection activeCell="K2" sqref="K2:K15"/>
    </sheetView>
  </sheetViews>
  <sheetFormatPr baseColWidth="10" defaultColWidth="11.42578125" defaultRowHeight="12.75" x14ac:dyDescent="0.2"/>
  <cols>
    <col min="1" max="1" width="2.85546875" customWidth="1"/>
    <col min="2" max="2" width="9.28515625" bestFit="1" customWidth="1"/>
    <col min="3" max="3" width="10.42578125" bestFit="1" customWidth="1"/>
    <col min="4" max="4" width="20.28515625" bestFit="1" customWidth="1"/>
    <col min="5" max="5" width="13.42578125" bestFit="1" customWidth="1"/>
    <col min="6" max="6" width="12.85546875" bestFit="1" customWidth="1"/>
    <col min="7" max="7" width="18.140625" bestFit="1" customWidth="1"/>
    <col min="8" max="8" width="12.42578125" bestFit="1" customWidth="1"/>
    <col min="9" max="9" width="16.140625" bestFit="1" customWidth="1"/>
    <col min="10" max="10" width="11.5703125" bestFit="1" customWidth="1"/>
    <col min="11" max="11" width="17" bestFit="1" customWidth="1"/>
    <col min="12" max="12" width="27.28515625" bestFit="1" customWidth="1"/>
    <col min="13" max="13" width="12.7109375" bestFit="1" customWidth="1"/>
    <col min="14" max="14" width="16.85546875" bestFit="1" customWidth="1"/>
    <col min="15" max="15" width="21" bestFit="1" customWidth="1"/>
    <col min="16" max="16" width="28.140625" bestFit="1" customWidth="1"/>
    <col min="17" max="17" width="12.42578125" bestFit="1" customWidth="1"/>
  </cols>
  <sheetData>
    <row r="1" spans="2:17" ht="13.5" x14ac:dyDescent="0.25">
      <c r="B1" s="112" t="s">
        <v>461</v>
      </c>
      <c r="C1" s="113" t="s">
        <v>462</v>
      </c>
      <c r="D1" s="113" t="s">
        <v>463</v>
      </c>
      <c r="E1" s="114" t="s">
        <v>464</v>
      </c>
      <c r="F1" s="114" t="s">
        <v>465</v>
      </c>
      <c r="G1" s="115" t="s">
        <v>466</v>
      </c>
      <c r="H1" s="114" t="s">
        <v>467</v>
      </c>
      <c r="I1" s="113" t="s">
        <v>468</v>
      </c>
      <c r="J1" s="114" t="s">
        <v>469</v>
      </c>
      <c r="K1" s="114" t="s">
        <v>23</v>
      </c>
      <c r="L1" s="113" t="s">
        <v>470</v>
      </c>
      <c r="M1" s="114" t="s">
        <v>471</v>
      </c>
      <c r="N1" s="114" t="s">
        <v>472</v>
      </c>
      <c r="O1" s="114" t="s">
        <v>473</v>
      </c>
      <c r="P1" s="116" t="s">
        <v>474</v>
      </c>
      <c r="Q1" s="117" t="s">
        <v>475</v>
      </c>
    </row>
    <row r="2" spans="2:17" ht="13.5" x14ac:dyDescent="0.2">
      <c r="B2" s="106" t="s">
        <v>476</v>
      </c>
      <c r="C2" s="104" t="s">
        <v>254</v>
      </c>
      <c r="D2" s="105">
        <v>46098</v>
      </c>
      <c r="E2" s="104" t="s">
        <v>477</v>
      </c>
      <c r="F2" s="104" t="s">
        <v>478</v>
      </c>
      <c r="G2" s="104" t="s">
        <v>479</v>
      </c>
      <c r="H2" s="104">
        <v>1</v>
      </c>
      <c r="I2" s="104" t="s">
        <v>480</v>
      </c>
      <c r="J2" s="104" t="s">
        <v>481</v>
      </c>
      <c r="K2" s="104" t="s">
        <v>252</v>
      </c>
      <c r="L2" s="104" t="s">
        <v>482</v>
      </c>
      <c r="M2" s="104" t="s">
        <v>483</v>
      </c>
      <c r="N2" s="104">
        <v>15270</v>
      </c>
      <c r="O2" s="104">
        <v>300</v>
      </c>
      <c r="P2" s="104">
        <v>300</v>
      </c>
      <c r="Q2" s="107">
        <v>50.9</v>
      </c>
    </row>
    <row r="3" spans="2:17" ht="13.5" x14ac:dyDescent="0.2">
      <c r="B3" s="106" t="s">
        <v>476</v>
      </c>
      <c r="C3" s="104" t="s">
        <v>260</v>
      </c>
      <c r="D3" s="105">
        <v>46100</v>
      </c>
      <c r="E3" s="104" t="s">
        <v>477</v>
      </c>
      <c r="F3" s="104" t="s">
        <v>478</v>
      </c>
      <c r="G3" s="104" t="s">
        <v>479</v>
      </c>
      <c r="H3" s="104">
        <v>1</v>
      </c>
      <c r="I3" s="104" t="s">
        <v>480</v>
      </c>
      <c r="J3" s="104" t="s">
        <v>484</v>
      </c>
      <c r="K3" s="104" t="s">
        <v>252</v>
      </c>
      <c r="L3" s="104" t="s">
        <v>482</v>
      </c>
      <c r="M3" s="104" t="s">
        <v>483</v>
      </c>
      <c r="N3" s="104">
        <v>12800</v>
      </c>
      <c r="O3" s="104">
        <v>272</v>
      </c>
      <c r="P3" s="104">
        <v>272</v>
      </c>
      <c r="Q3" s="107">
        <v>47.06</v>
      </c>
    </row>
    <row r="4" spans="2:17" ht="13.5" x14ac:dyDescent="0.2">
      <c r="B4" s="106" t="s">
        <v>476</v>
      </c>
      <c r="C4" s="104" t="s">
        <v>299</v>
      </c>
      <c r="D4" s="105">
        <v>46108</v>
      </c>
      <c r="E4" s="104" t="s">
        <v>477</v>
      </c>
      <c r="F4" s="104" t="s">
        <v>478</v>
      </c>
      <c r="G4" s="104" t="s">
        <v>479</v>
      </c>
      <c r="H4" s="104">
        <v>3</v>
      </c>
      <c r="I4" s="104" t="s">
        <v>485</v>
      </c>
      <c r="J4" s="104" t="s">
        <v>486</v>
      </c>
      <c r="K4" s="104" t="s">
        <v>487</v>
      </c>
      <c r="L4" s="104" t="s">
        <v>482</v>
      </c>
      <c r="M4" s="104" t="s">
        <v>483</v>
      </c>
      <c r="N4" s="104">
        <v>8480</v>
      </c>
      <c r="O4" s="104">
        <v>167</v>
      </c>
      <c r="P4" s="104">
        <v>167</v>
      </c>
      <c r="Q4" s="107">
        <v>50.78</v>
      </c>
    </row>
    <row r="5" spans="2:17" ht="13.5" x14ac:dyDescent="0.2">
      <c r="B5" s="106" t="s">
        <v>476</v>
      </c>
      <c r="C5" s="104" t="s">
        <v>488</v>
      </c>
      <c r="D5" s="105">
        <v>46100</v>
      </c>
      <c r="E5" s="104" t="s">
        <v>477</v>
      </c>
      <c r="F5" s="104" t="s">
        <v>489</v>
      </c>
      <c r="G5" s="104">
        <v>405</v>
      </c>
      <c r="H5" s="104" t="s">
        <v>6</v>
      </c>
      <c r="I5" s="104" t="s">
        <v>480</v>
      </c>
      <c r="J5" s="104" t="s">
        <v>490</v>
      </c>
      <c r="K5" s="104" t="s">
        <v>352</v>
      </c>
      <c r="L5" s="104" t="s">
        <v>482</v>
      </c>
      <c r="M5" s="104" t="s">
        <v>483</v>
      </c>
      <c r="N5" s="104">
        <v>12670</v>
      </c>
      <c r="O5" s="104">
        <v>250</v>
      </c>
      <c r="P5" s="104">
        <v>248</v>
      </c>
      <c r="Q5" s="107" t="s">
        <v>491</v>
      </c>
    </row>
    <row r="6" spans="2:17" ht="13.5" x14ac:dyDescent="0.2">
      <c r="B6" s="106" t="s">
        <v>476</v>
      </c>
      <c r="C6" s="104" t="s">
        <v>492</v>
      </c>
      <c r="D6" s="105">
        <v>46104</v>
      </c>
      <c r="E6" s="104" t="s">
        <v>477</v>
      </c>
      <c r="F6" s="104" t="s">
        <v>489</v>
      </c>
      <c r="G6" s="104">
        <v>405</v>
      </c>
      <c r="H6" s="104">
        <v>4</v>
      </c>
      <c r="I6" s="104" t="s">
        <v>493</v>
      </c>
      <c r="J6" s="104" t="s">
        <v>494</v>
      </c>
      <c r="K6" s="104" t="s">
        <v>352</v>
      </c>
      <c r="L6" s="104" t="s">
        <v>482</v>
      </c>
      <c r="M6" s="104" t="s">
        <v>483</v>
      </c>
      <c r="N6" s="104">
        <v>9990</v>
      </c>
      <c r="O6" s="104">
        <v>198</v>
      </c>
      <c r="P6" s="104">
        <v>198</v>
      </c>
      <c r="Q6" s="107" t="s">
        <v>495</v>
      </c>
    </row>
    <row r="7" spans="2:17" ht="13.5" x14ac:dyDescent="0.2">
      <c r="B7" s="106" t="s">
        <v>476</v>
      </c>
      <c r="C7" s="104" t="s">
        <v>496</v>
      </c>
      <c r="D7" s="105">
        <v>46098</v>
      </c>
      <c r="E7" s="104" t="s">
        <v>477</v>
      </c>
      <c r="F7" s="104" t="s">
        <v>489</v>
      </c>
      <c r="G7" s="104">
        <v>405</v>
      </c>
      <c r="H7" s="104">
        <v>4</v>
      </c>
      <c r="I7" s="104" t="s">
        <v>480</v>
      </c>
      <c r="J7" s="104" t="s">
        <v>497</v>
      </c>
      <c r="K7" s="104" t="s">
        <v>252</v>
      </c>
      <c r="L7" s="104" t="s">
        <v>482</v>
      </c>
      <c r="M7" s="104" t="s">
        <v>483</v>
      </c>
      <c r="N7" s="104">
        <v>12720</v>
      </c>
      <c r="O7" s="104">
        <v>250</v>
      </c>
      <c r="P7" s="104">
        <v>250</v>
      </c>
      <c r="Q7" s="107">
        <v>50.88</v>
      </c>
    </row>
    <row r="8" spans="2:17" ht="13.5" x14ac:dyDescent="0.2">
      <c r="B8" s="108" t="s">
        <v>476</v>
      </c>
      <c r="C8" s="109" t="s">
        <v>498</v>
      </c>
      <c r="D8" s="110">
        <v>46098</v>
      </c>
      <c r="E8" s="109" t="s">
        <v>477</v>
      </c>
      <c r="F8" s="109" t="s">
        <v>489</v>
      </c>
      <c r="G8" s="109">
        <v>405</v>
      </c>
      <c r="H8" s="109">
        <v>4</v>
      </c>
      <c r="I8" s="109" t="s">
        <v>480</v>
      </c>
      <c r="J8" s="109" t="s">
        <v>499</v>
      </c>
      <c r="K8" s="109" t="s">
        <v>252</v>
      </c>
      <c r="L8" s="109" t="s">
        <v>482</v>
      </c>
      <c r="M8" s="109" t="s">
        <v>483</v>
      </c>
      <c r="N8" s="109">
        <v>16620</v>
      </c>
      <c r="O8" s="109">
        <v>325</v>
      </c>
      <c r="P8" s="109">
        <v>325</v>
      </c>
      <c r="Q8" s="111">
        <v>51.14</v>
      </c>
    </row>
    <row r="9" spans="2:17" ht="13.5" x14ac:dyDescent="0.2">
      <c r="B9" s="106" t="s">
        <v>476</v>
      </c>
      <c r="C9" s="104" t="s">
        <v>500</v>
      </c>
      <c r="D9" s="105">
        <v>46099</v>
      </c>
      <c r="E9" s="104" t="s">
        <v>477</v>
      </c>
      <c r="F9" s="104" t="s">
        <v>489</v>
      </c>
      <c r="G9" s="104">
        <v>405</v>
      </c>
      <c r="H9" s="104">
        <v>4</v>
      </c>
      <c r="I9" s="104" t="s">
        <v>480</v>
      </c>
      <c r="J9" s="104" t="s">
        <v>484</v>
      </c>
      <c r="K9" s="104" t="s">
        <v>252</v>
      </c>
      <c r="L9" s="104" t="s">
        <v>482</v>
      </c>
      <c r="M9" s="104" t="s">
        <v>483</v>
      </c>
      <c r="N9" s="104">
        <v>12720</v>
      </c>
      <c r="O9" s="104">
        <v>250</v>
      </c>
      <c r="P9" s="104">
        <v>250</v>
      </c>
      <c r="Q9" s="107">
        <v>50.88</v>
      </c>
    </row>
    <row r="10" spans="2:17" ht="13.5" x14ac:dyDescent="0.2">
      <c r="B10" s="106" t="s">
        <v>476</v>
      </c>
      <c r="C10" s="104" t="s">
        <v>501</v>
      </c>
      <c r="D10" s="105">
        <v>46099</v>
      </c>
      <c r="E10" s="104" t="s">
        <v>477</v>
      </c>
      <c r="F10" s="104" t="s">
        <v>489</v>
      </c>
      <c r="G10" s="104">
        <v>405</v>
      </c>
      <c r="H10" s="104">
        <v>4</v>
      </c>
      <c r="I10" s="104" t="s">
        <v>480</v>
      </c>
      <c r="J10" s="104" t="s">
        <v>502</v>
      </c>
      <c r="K10" s="104" t="s">
        <v>252</v>
      </c>
      <c r="L10" s="104" t="s">
        <v>482</v>
      </c>
      <c r="M10" s="104" t="s">
        <v>483</v>
      </c>
      <c r="N10" s="104">
        <v>12960</v>
      </c>
      <c r="O10" s="104">
        <v>250</v>
      </c>
      <c r="P10" s="104">
        <v>250</v>
      </c>
      <c r="Q10" s="107">
        <v>51.84</v>
      </c>
    </row>
    <row r="11" spans="2:17" ht="13.5" x14ac:dyDescent="0.2">
      <c r="B11" s="106" t="s">
        <v>476</v>
      </c>
      <c r="C11" s="104" t="s">
        <v>503</v>
      </c>
      <c r="D11" s="105">
        <v>46099</v>
      </c>
      <c r="E11" s="104" t="s">
        <v>477</v>
      </c>
      <c r="F11" s="104" t="s">
        <v>489</v>
      </c>
      <c r="G11" s="104">
        <v>405</v>
      </c>
      <c r="H11" s="104">
        <v>4</v>
      </c>
      <c r="I11" s="104" t="s">
        <v>480</v>
      </c>
      <c r="J11" s="104" t="s">
        <v>484</v>
      </c>
      <c r="K11" s="104" t="s">
        <v>252</v>
      </c>
      <c r="L11" s="104" t="s">
        <v>482</v>
      </c>
      <c r="M11" s="104" t="s">
        <v>483</v>
      </c>
      <c r="N11" s="104">
        <v>12940</v>
      </c>
      <c r="O11" s="104">
        <v>250</v>
      </c>
      <c r="P11" s="104">
        <v>250</v>
      </c>
      <c r="Q11" s="107">
        <v>51.76</v>
      </c>
    </row>
    <row r="12" spans="2:17" ht="13.5" x14ac:dyDescent="0.2">
      <c r="B12" s="106" t="s">
        <v>476</v>
      </c>
      <c r="C12" s="104" t="s">
        <v>328</v>
      </c>
      <c r="D12" s="105">
        <v>46101</v>
      </c>
      <c r="E12" s="104" t="s">
        <v>477</v>
      </c>
      <c r="F12" s="104" t="s">
        <v>504</v>
      </c>
      <c r="G12" s="104">
        <v>405</v>
      </c>
      <c r="H12" s="104" t="s">
        <v>505</v>
      </c>
      <c r="I12" s="104" t="s">
        <v>480</v>
      </c>
      <c r="J12" s="104" t="s">
        <v>486</v>
      </c>
      <c r="K12" s="104" t="s">
        <v>252</v>
      </c>
      <c r="L12" s="104" t="s">
        <v>482</v>
      </c>
      <c r="M12" s="104" t="s">
        <v>506</v>
      </c>
      <c r="N12" s="104">
        <v>10550</v>
      </c>
      <c r="O12" s="104">
        <v>220</v>
      </c>
      <c r="P12" s="104">
        <v>211</v>
      </c>
      <c r="Q12" s="107">
        <v>50</v>
      </c>
    </row>
    <row r="13" spans="2:17" ht="13.5" x14ac:dyDescent="0.2">
      <c r="B13" s="106" t="s">
        <v>476</v>
      </c>
      <c r="C13" s="104" t="s">
        <v>507</v>
      </c>
      <c r="D13" s="105">
        <v>46102</v>
      </c>
      <c r="E13" s="104" t="s">
        <v>477</v>
      </c>
      <c r="F13" s="104" t="s">
        <v>504</v>
      </c>
      <c r="G13" s="104">
        <v>405</v>
      </c>
      <c r="H13" s="104" t="s">
        <v>505</v>
      </c>
      <c r="I13" s="104" t="s">
        <v>480</v>
      </c>
      <c r="J13" s="104" t="s">
        <v>486</v>
      </c>
      <c r="K13" s="104" t="s">
        <v>252</v>
      </c>
      <c r="L13" s="104" t="s">
        <v>482</v>
      </c>
      <c r="M13" s="104" t="s">
        <v>506</v>
      </c>
      <c r="N13" s="104">
        <v>13500</v>
      </c>
      <c r="O13" s="104">
        <v>270</v>
      </c>
      <c r="P13" s="104">
        <v>270</v>
      </c>
      <c r="Q13" s="107">
        <v>50</v>
      </c>
    </row>
    <row r="14" spans="2:17" ht="13.5" x14ac:dyDescent="0.2">
      <c r="B14" s="106" t="s">
        <v>476</v>
      </c>
      <c r="C14" s="104" t="s">
        <v>508</v>
      </c>
      <c r="D14" s="105">
        <v>46103</v>
      </c>
      <c r="E14" s="104" t="s">
        <v>477</v>
      </c>
      <c r="F14" s="104" t="s">
        <v>504</v>
      </c>
      <c r="G14" s="104">
        <v>405</v>
      </c>
      <c r="H14" s="104" t="s">
        <v>505</v>
      </c>
      <c r="I14" s="104" t="s">
        <v>480</v>
      </c>
      <c r="J14" s="104" t="s">
        <v>494</v>
      </c>
      <c r="K14" s="104" t="s">
        <v>252</v>
      </c>
      <c r="L14" s="104" t="s">
        <v>482</v>
      </c>
      <c r="M14" s="104" t="s">
        <v>506</v>
      </c>
      <c r="N14" s="104">
        <v>5050</v>
      </c>
      <c r="O14" s="104">
        <v>101</v>
      </c>
      <c r="P14" s="104">
        <v>101</v>
      </c>
      <c r="Q14" s="107">
        <v>50</v>
      </c>
    </row>
    <row r="15" spans="2:17" ht="13.5" x14ac:dyDescent="0.2">
      <c r="B15" s="106" t="s">
        <v>476</v>
      </c>
      <c r="C15" s="104" t="s">
        <v>509</v>
      </c>
      <c r="D15" s="105">
        <v>46105</v>
      </c>
      <c r="E15" s="104" t="s">
        <v>477</v>
      </c>
      <c r="F15" s="104" t="s">
        <v>504</v>
      </c>
      <c r="G15" s="104">
        <v>405</v>
      </c>
      <c r="H15" s="104" t="s">
        <v>6</v>
      </c>
      <c r="I15" s="104" t="s">
        <v>480</v>
      </c>
      <c r="J15" s="104" t="s">
        <v>510</v>
      </c>
      <c r="K15" s="104" t="s">
        <v>252</v>
      </c>
      <c r="L15" s="104" t="s">
        <v>482</v>
      </c>
      <c r="M15" s="104" t="s">
        <v>506</v>
      </c>
      <c r="N15" s="104">
        <v>23100</v>
      </c>
      <c r="O15" s="104">
        <v>462</v>
      </c>
      <c r="P15" s="104">
        <v>462</v>
      </c>
      <c r="Q15" s="107">
        <v>50</v>
      </c>
    </row>
    <row r="16" spans="2:17" x14ac:dyDescent="0.2">
      <c r="N16" s="118"/>
      <c r="O16" s="118"/>
      <c r="P16" s="118"/>
      <c r="Q16" s="118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48BD-A894-49F5-BFDA-DD6B2CC2DBA6}">
  <dimension ref="B3:R37"/>
  <sheetViews>
    <sheetView topLeftCell="A22" workbookViewId="0">
      <selection activeCell="H37" sqref="H37"/>
    </sheetView>
  </sheetViews>
  <sheetFormatPr baseColWidth="10" defaultColWidth="11.42578125" defaultRowHeight="12.75" x14ac:dyDescent="0.2"/>
  <cols>
    <col min="6" max="6" width="15.85546875" bestFit="1" customWidth="1"/>
    <col min="12" max="12" width="20.28515625" bestFit="1" customWidth="1"/>
  </cols>
  <sheetData>
    <row r="3" spans="2:18" ht="25.5" x14ac:dyDescent="0.2">
      <c r="B3" s="66" t="s">
        <v>302</v>
      </c>
      <c r="C3" s="66" t="s">
        <v>11</v>
      </c>
      <c r="D3" s="67" t="s">
        <v>13</v>
      </c>
      <c r="E3" s="67" t="s">
        <v>12</v>
      </c>
      <c r="F3" s="68" t="s">
        <v>15</v>
      </c>
      <c r="G3" s="69" t="s">
        <v>207</v>
      </c>
      <c r="H3" s="69" t="s">
        <v>208</v>
      </c>
      <c r="I3" s="70" t="s">
        <v>20</v>
      </c>
      <c r="J3" s="70" t="s">
        <v>21</v>
      </c>
      <c r="K3" s="70" t="s">
        <v>22</v>
      </c>
      <c r="L3" s="70" t="s">
        <v>23</v>
      </c>
      <c r="M3" s="71" t="s">
        <v>24</v>
      </c>
      <c r="N3" s="70" t="s">
        <v>26</v>
      </c>
      <c r="O3" s="70" t="s">
        <v>27</v>
      </c>
      <c r="P3" s="67" t="s">
        <v>28</v>
      </c>
      <c r="Q3" s="72" t="s">
        <v>29</v>
      </c>
      <c r="R3" s="73" t="s">
        <v>209</v>
      </c>
    </row>
    <row r="4" spans="2:18" x14ac:dyDescent="0.2">
      <c r="B4" s="74" t="s">
        <v>341</v>
      </c>
      <c r="C4" s="75" t="s">
        <v>342</v>
      </c>
      <c r="D4" s="76" t="s">
        <v>163</v>
      </c>
      <c r="E4" s="77">
        <v>46083</v>
      </c>
      <c r="F4" s="78">
        <v>30320</v>
      </c>
      <c r="G4" s="76"/>
      <c r="H4" s="76">
        <v>600</v>
      </c>
      <c r="I4" s="76" t="s">
        <v>4</v>
      </c>
      <c r="J4" s="76"/>
      <c r="K4" s="76" t="s">
        <v>143</v>
      </c>
      <c r="L4" s="76" t="s">
        <v>211</v>
      </c>
      <c r="M4" s="76">
        <v>6442611656</v>
      </c>
      <c r="N4" s="79"/>
      <c r="O4" s="79"/>
      <c r="P4" s="79"/>
      <c r="Q4" s="80"/>
      <c r="R4" s="81">
        <v>1928</v>
      </c>
    </row>
    <row r="5" spans="2:18" x14ac:dyDescent="0.2">
      <c r="B5" s="57" t="s">
        <v>343</v>
      </c>
      <c r="C5" s="24" t="s">
        <v>344</v>
      </c>
      <c r="D5" s="9" t="s">
        <v>163</v>
      </c>
      <c r="E5" s="20">
        <v>46083</v>
      </c>
      <c r="F5" s="10">
        <v>25474</v>
      </c>
      <c r="G5" s="9"/>
      <c r="H5" s="9">
        <v>504</v>
      </c>
      <c r="I5" s="9" t="s">
        <v>4</v>
      </c>
      <c r="J5" s="9"/>
      <c r="K5" s="9" t="s">
        <v>143</v>
      </c>
      <c r="L5" s="9" t="s">
        <v>345</v>
      </c>
      <c r="M5" s="9">
        <v>6443607173</v>
      </c>
      <c r="N5" s="11"/>
      <c r="O5" s="11"/>
      <c r="P5" s="11"/>
      <c r="Q5" s="17"/>
      <c r="R5" s="82">
        <v>1928</v>
      </c>
    </row>
    <row r="6" spans="2:18" x14ac:dyDescent="0.2">
      <c r="B6" s="74" t="s">
        <v>346</v>
      </c>
      <c r="C6" s="75" t="s">
        <v>347</v>
      </c>
      <c r="D6" s="76" t="s">
        <v>163</v>
      </c>
      <c r="E6" s="77">
        <v>46084</v>
      </c>
      <c r="F6" s="78">
        <v>30190</v>
      </c>
      <c r="G6" s="76"/>
      <c r="H6" s="76">
        <v>600</v>
      </c>
      <c r="I6" s="76" t="s">
        <v>4</v>
      </c>
      <c r="J6" s="76"/>
      <c r="K6" s="76" t="s">
        <v>143</v>
      </c>
      <c r="L6" s="76" t="s">
        <v>215</v>
      </c>
      <c r="M6" s="76">
        <v>6441681913</v>
      </c>
      <c r="N6" s="79"/>
      <c r="O6" s="79"/>
      <c r="P6" s="79"/>
      <c r="Q6" s="80"/>
      <c r="R6" s="81">
        <v>1928</v>
      </c>
    </row>
    <row r="7" spans="2:18" x14ac:dyDescent="0.2">
      <c r="B7" s="57" t="s">
        <v>348</v>
      </c>
      <c r="C7" s="24" t="s">
        <v>349</v>
      </c>
      <c r="D7" s="9" t="s">
        <v>163</v>
      </c>
      <c r="E7" s="20">
        <v>46084</v>
      </c>
      <c r="F7" s="10">
        <v>30230</v>
      </c>
      <c r="G7" s="9"/>
      <c r="H7" s="9">
        <v>600</v>
      </c>
      <c r="I7" s="9" t="s">
        <v>4</v>
      </c>
      <c r="J7" s="9"/>
      <c r="K7" s="9" t="s">
        <v>143</v>
      </c>
      <c r="L7" s="9" t="s">
        <v>217</v>
      </c>
      <c r="M7" s="9">
        <v>6441895701</v>
      </c>
      <c r="N7" s="11"/>
      <c r="O7" s="11"/>
      <c r="P7" s="11"/>
      <c r="Q7" s="17"/>
      <c r="R7" s="82">
        <v>1928</v>
      </c>
    </row>
    <row r="8" spans="2:18" x14ac:dyDescent="0.2">
      <c r="B8" s="57" t="s">
        <v>353</v>
      </c>
      <c r="C8" s="24" t="s">
        <v>354</v>
      </c>
      <c r="D8" s="9" t="s">
        <v>163</v>
      </c>
      <c r="E8" s="20">
        <v>46085</v>
      </c>
      <c r="F8" s="10">
        <v>29970</v>
      </c>
      <c r="G8" s="9"/>
      <c r="H8" s="9">
        <v>600</v>
      </c>
      <c r="I8" s="9" t="s">
        <v>4</v>
      </c>
      <c r="J8" s="9"/>
      <c r="K8" s="9" t="s">
        <v>143</v>
      </c>
      <c r="L8" s="9" t="s">
        <v>211</v>
      </c>
      <c r="M8" s="9"/>
      <c r="N8" s="11"/>
      <c r="O8" s="11"/>
      <c r="P8" s="11"/>
      <c r="Q8" s="17"/>
      <c r="R8" s="82">
        <v>1928</v>
      </c>
    </row>
    <row r="9" spans="2:18" x14ac:dyDescent="0.2">
      <c r="B9" s="74" t="s">
        <v>355</v>
      </c>
      <c r="C9" s="75" t="s">
        <v>356</v>
      </c>
      <c r="D9" s="76" t="s">
        <v>163</v>
      </c>
      <c r="E9" s="77">
        <v>46085</v>
      </c>
      <c r="F9" s="78">
        <v>30040</v>
      </c>
      <c r="G9" s="76"/>
      <c r="H9" s="76">
        <v>600</v>
      </c>
      <c r="I9" s="76" t="s">
        <v>4</v>
      </c>
      <c r="J9" s="76"/>
      <c r="K9" s="76" t="s">
        <v>143</v>
      </c>
      <c r="L9" s="76" t="s">
        <v>215</v>
      </c>
      <c r="M9" s="76">
        <v>6441681913</v>
      </c>
      <c r="N9" s="79"/>
      <c r="O9" s="79"/>
      <c r="P9" s="79"/>
      <c r="Q9" s="80"/>
      <c r="R9" s="81">
        <v>1928</v>
      </c>
    </row>
    <row r="10" spans="2:18" x14ac:dyDescent="0.2">
      <c r="B10" s="57" t="s">
        <v>357</v>
      </c>
      <c r="C10" s="24" t="s">
        <v>358</v>
      </c>
      <c r="D10" s="9" t="s">
        <v>163</v>
      </c>
      <c r="E10" s="20">
        <v>46085</v>
      </c>
      <c r="F10" s="10">
        <v>30460</v>
      </c>
      <c r="G10" s="9"/>
      <c r="H10" s="9">
        <v>600</v>
      </c>
      <c r="I10" s="9" t="s">
        <v>4</v>
      </c>
      <c r="J10" s="9"/>
      <c r="K10" s="9" t="s">
        <v>143</v>
      </c>
      <c r="L10" s="9" t="s">
        <v>345</v>
      </c>
      <c r="M10" s="9">
        <v>6443607173</v>
      </c>
      <c r="N10" s="11"/>
      <c r="O10" s="11"/>
      <c r="P10" s="11"/>
      <c r="Q10" s="17"/>
      <c r="R10" s="82">
        <v>1928</v>
      </c>
    </row>
    <row r="11" spans="2:18" x14ac:dyDescent="0.2">
      <c r="B11" s="74" t="s">
        <v>359</v>
      </c>
      <c r="C11" s="75" t="s">
        <v>360</v>
      </c>
      <c r="D11" s="76" t="s">
        <v>163</v>
      </c>
      <c r="E11" s="77">
        <v>46086</v>
      </c>
      <c r="F11" s="78">
        <v>29850</v>
      </c>
      <c r="G11" s="76"/>
      <c r="H11" s="76">
        <v>600</v>
      </c>
      <c r="I11" s="76" t="s">
        <v>4</v>
      </c>
      <c r="J11" s="76"/>
      <c r="K11" s="76" t="s">
        <v>143</v>
      </c>
      <c r="L11" s="76" t="s">
        <v>217</v>
      </c>
      <c r="M11" s="76">
        <v>6441895701</v>
      </c>
      <c r="N11" s="79"/>
      <c r="O11" s="79"/>
      <c r="P11" s="79"/>
      <c r="Q11" s="80"/>
      <c r="R11" s="81">
        <v>1928</v>
      </c>
    </row>
    <row r="12" spans="2:18" x14ac:dyDescent="0.2">
      <c r="B12" s="57" t="s">
        <v>361</v>
      </c>
      <c r="C12" s="24" t="s">
        <v>362</v>
      </c>
      <c r="D12" s="9" t="s">
        <v>163</v>
      </c>
      <c r="E12" s="20">
        <v>46086</v>
      </c>
      <c r="F12" s="10">
        <v>30480</v>
      </c>
      <c r="G12" s="9"/>
      <c r="H12" s="9">
        <v>600</v>
      </c>
      <c r="I12" s="9" t="s">
        <v>4</v>
      </c>
      <c r="J12" s="9"/>
      <c r="K12" s="9" t="s">
        <v>143</v>
      </c>
      <c r="L12" s="9" t="s">
        <v>211</v>
      </c>
      <c r="M12" s="9">
        <v>6442611656</v>
      </c>
      <c r="N12" s="11"/>
      <c r="O12" s="11"/>
      <c r="P12" s="11"/>
      <c r="Q12" s="17"/>
      <c r="R12" s="82">
        <v>1928</v>
      </c>
    </row>
    <row r="13" spans="2:18" x14ac:dyDescent="0.2">
      <c r="B13" s="74" t="s">
        <v>363</v>
      </c>
      <c r="C13" s="75" t="s">
        <v>364</v>
      </c>
      <c r="D13" s="76" t="s">
        <v>163</v>
      </c>
      <c r="E13" s="77">
        <v>46086</v>
      </c>
      <c r="F13" s="78">
        <v>30220</v>
      </c>
      <c r="G13" s="76"/>
      <c r="H13" s="76">
        <v>600</v>
      </c>
      <c r="I13" s="76" t="s">
        <v>4</v>
      </c>
      <c r="J13" s="76"/>
      <c r="K13" s="76" t="s">
        <v>143</v>
      </c>
      <c r="L13" s="76" t="s">
        <v>215</v>
      </c>
      <c r="M13" s="76">
        <v>6441681413</v>
      </c>
      <c r="N13" s="79"/>
      <c r="O13" s="79"/>
      <c r="P13" s="79"/>
      <c r="Q13" s="80"/>
      <c r="R13" s="81">
        <v>1928</v>
      </c>
    </row>
    <row r="14" spans="2:18" x14ac:dyDescent="0.2">
      <c r="B14" s="57" t="s">
        <v>365</v>
      </c>
      <c r="C14" s="24" t="s">
        <v>366</v>
      </c>
      <c r="D14" s="9" t="s">
        <v>163</v>
      </c>
      <c r="E14" s="20">
        <v>46087</v>
      </c>
      <c r="F14" s="10">
        <v>30570</v>
      </c>
      <c r="G14" s="9"/>
      <c r="H14" s="9">
        <v>600</v>
      </c>
      <c r="I14" s="9" t="s">
        <v>4</v>
      </c>
      <c r="J14" s="9"/>
      <c r="K14" s="9" t="s">
        <v>143</v>
      </c>
      <c r="L14" s="9" t="s">
        <v>367</v>
      </c>
      <c r="M14" s="9">
        <v>6443607173</v>
      </c>
      <c r="N14" s="11"/>
      <c r="O14" s="11"/>
      <c r="P14" s="11"/>
      <c r="Q14" s="17"/>
      <c r="R14" s="82">
        <v>1928</v>
      </c>
    </row>
    <row r="15" spans="2:18" x14ac:dyDescent="0.2">
      <c r="B15" s="74" t="s">
        <v>368</v>
      </c>
      <c r="C15" s="75" t="s">
        <v>369</v>
      </c>
      <c r="D15" s="76" t="s">
        <v>163</v>
      </c>
      <c r="E15" s="77">
        <v>46087</v>
      </c>
      <c r="F15" s="78">
        <v>30470</v>
      </c>
      <c r="G15" s="76"/>
      <c r="H15" s="76">
        <v>600</v>
      </c>
      <c r="I15" s="76" t="s">
        <v>4</v>
      </c>
      <c r="J15" s="76"/>
      <c r="K15" s="76" t="s">
        <v>143</v>
      </c>
      <c r="L15" s="76" t="s">
        <v>217</v>
      </c>
      <c r="M15" s="76">
        <v>6441895701</v>
      </c>
      <c r="N15" s="79"/>
      <c r="O15" s="79"/>
      <c r="P15" s="79"/>
      <c r="Q15" s="80"/>
      <c r="R15" s="81">
        <v>1928</v>
      </c>
    </row>
    <row r="16" spans="2:18" x14ac:dyDescent="0.2">
      <c r="B16" s="57" t="s">
        <v>370</v>
      </c>
      <c r="C16" s="24" t="s">
        <v>371</v>
      </c>
      <c r="D16" s="9" t="s">
        <v>163</v>
      </c>
      <c r="E16" s="20">
        <v>46087</v>
      </c>
      <c r="F16" s="10">
        <v>30380</v>
      </c>
      <c r="G16" s="9"/>
      <c r="H16" s="9">
        <v>600</v>
      </c>
      <c r="I16" s="9" t="s">
        <v>4</v>
      </c>
      <c r="J16" s="9"/>
      <c r="K16" s="9" t="s">
        <v>143</v>
      </c>
      <c r="L16" s="9" t="s">
        <v>211</v>
      </c>
      <c r="M16" s="9">
        <v>6442611656</v>
      </c>
      <c r="N16" s="11"/>
      <c r="O16" s="11"/>
      <c r="P16" s="11"/>
      <c r="Q16" s="17"/>
      <c r="R16" s="82">
        <v>1928</v>
      </c>
    </row>
    <row r="17" spans="2:18" x14ac:dyDescent="0.2">
      <c r="B17" s="74" t="s">
        <v>372</v>
      </c>
      <c r="C17" s="75" t="s">
        <v>373</v>
      </c>
      <c r="D17" s="76" t="s">
        <v>163</v>
      </c>
      <c r="E17" s="77">
        <v>46088</v>
      </c>
      <c r="F17" s="78">
        <v>30270</v>
      </c>
      <c r="G17" s="76"/>
      <c r="H17" s="76">
        <v>600</v>
      </c>
      <c r="I17" s="76" t="s">
        <v>4</v>
      </c>
      <c r="J17" s="76"/>
      <c r="K17" s="76" t="s">
        <v>143</v>
      </c>
      <c r="L17" s="76" t="s">
        <v>215</v>
      </c>
      <c r="M17" s="76">
        <v>6441681913</v>
      </c>
      <c r="N17" s="79"/>
      <c r="O17" s="79"/>
      <c r="P17" s="79"/>
      <c r="Q17" s="80"/>
      <c r="R17" s="81">
        <v>1928</v>
      </c>
    </row>
    <row r="18" spans="2:18" x14ac:dyDescent="0.2">
      <c r="B18" s="57" t="s">
        <v>374</v>
      </c>
      <c r="C18" s="24" t="s">
        <v>375</v>
      </c>
      <c r="D18" s="9" t="s">
        <v>163</v>
      </c>
      <c r="E18" s="20">
        <v>46088</v>
      </c>
      <c r="F18" s="10">
        <v>30020</v>
      </c>
      <c r="G18" s="9"/>
      <c r="H18" s="9">
        <v>600</v>
      </c>
      <c r="I18" s="9" t="s">
        <v>4</v>
      </c>
      <c r="J18" s="9"/>
      <c r="K18" s="9" t="s">
        <v>143</v>
      </c>
      <c r="L18" s="9" t="s">
        <v>345</v>
      </c>
      <c r="M18" s="9">
        <v>6443607173</v>
      </c>
      <c r="N18" s="11"/>
      <c r="O18" s="11"/>
      <c r="P18" s="11"/>
      <c r="Q18" s="17"/>
      <c r="R18" s="82">
        <v>1928</v>
      </c>
    </row>
    <row r="19" spans="2:18" x14ac:dyDescent="0.2">
      <c r="B19" s="74" t="s">
        <v>376</v>
      </c>
      <c r="C19" s="75" t="s">
        <v>373</v>
      </c>
      <c r="D19" s="76" t="s">
        <v>163</v>
      </c>
      <c r="E19" s="77">
        <v>46088</v>
      </c>
      <c r="F19" s="78">
        <v>30250</v>
      </c>
      <c r="G19" s="76"/>
      <c r="H19" s="76">
        <v>600</v>
      </c>
      <c r="I19" s="76" t="s">
        <v>4</v>
      </c>
      <c r="J19" s="76"/>
      <c r="K19" s="76" t="s">
        <v>143</v>
      </c>
      <c r="L19" s="76" t="s">
        <v>217</v>
      </c>
      <c r="M19" s="76">
        <f>+M15</f>
        <v>6441895701</v>
      </c>
      <c r="N19" s="79"/>
      <c r="O19" s="79"/>
      <c r="P19" s="79"/>
      <c r="Q19" s="80"/>
      <c r="R19" s="81">
        <v>1928</v>
      </c>
    </row>
    <row r="20" spans="2:18" x14ac:dyDescent="0.2">
      <c r="B20" s="57" t="s">
        <v>248</v>
      </c>
      <c r="C20" s="24" t="s">
        <v>304</v>
      </c>
      <c r="D20" s="9" t="s">
        <v>163</v>
      </c>
      <c r="E20" s="20">
        <v>46089</v>
      </c>
      <c r="F20" s="41">
        <f>30330-22050</f>
        <v>8280</v>
      </c>
      <c r="G20" s="9"/>
      <c r="H20" s="9">
        <v>162</v>
      </c>
      <c r="I20" s="9" t="s">
        <v>4</v>
      </c>
      <c r="J20" s="9"/>
      <c r="K20" s="9" t="s">
        <v>143</v>
      </c>
      <c r="L20" s="9" t="s">
        <v>249</v>
      </c>
      <c r="M20" s="9"/>
      <c r="N20" s="11"/>
      <c r="O20" s="11"/>
      <c r="P20" s="11"/>
      <c r="Q20" s="17"/>
      <c r="R20" s="82">
        <v>1928</v>
      </c>
    </row>
    <row r="21" spans="2:18" x14ac:dyDescent="0.2">
      <c r="B21" s="74" t="s">
        <v>377</v>
      </c>
      <c r="C21" s="75" t="s">
        <v>378</v>
      </c>
      <c r="D21" s="76" t="s">
        <v>163</v>
      </c>
      <c r="E21" s="77">
        <v>46089</v>
      </c>
      <c r="F21" s="78">
        <v>30220</v>
      </c>
      <c r="G21" s="76"/>
      <c r="H21" s="76">
        <v>600</v>
      </c>
      <c r="I21" s="76" t="s">
        <v>4</v>
      </c>
      <c r="J21" s="76"/>
      <c r="K21" s="76" t="s">
        <v>143</v>
      </c>
      <c r="L21" s="76" t="s">
        <v>211</v>
      </c>
      <c r="M21" s="76"/>
      <c r="N21" s="79"/>
      <c r="O21" s="79"/>
      <c r="P21" s="79"/>
      <c r="Q21" s="80"/>
      <c r="R21" s="81">
        <v>1928</v>
      </c>
    </row>
    <row r="22" spans="2:18" x14ac:dyDescent="0.2">
      <c r="B22" s="57" t="s">
        <v>379</v>
      </c>
      <c r="C22" s="24" t="s">
        <v>380</v>
      </c>
      <c r="D22" s="9" t="s">
        <v>163</v>
      </c>
      <c r="E22" s="20">
        <v>46089</v>
      </c>
      <c r="F22" s="10">
        <v>13950</v>
      </c>
      <c r="G22" s="9"/>
      <c r="H22" s="9">
        <v>288</v>
      </c>
      <c r="I22" s="9" t="s">
        <v>4</v>
      </c>
      <c r="J22" s="9"/>
      <c r="K22" s="9" t="s">
        <v>143</v>
      </c>
      <c r="L22" s="9" t="s">
        <v>234</v>
      </c>
      <c r="M22" s="9"/>
      <c r="N22" s="11"/>
      <c r="O22" s="11"/>
      <c r="P22" s="11"/>
      <c r="Q22" s="17"/>
      <c r="R22" s="82">
        <v>1928</v>
      </c>
    </row>
    <row r="23" spans="2:18" x14ac:dyDescent="0.2">
      <c r="B23" s="74" t="s">
        <v>381</v>
      </c>
      <c r="C23" s="75" t="s">
        <v>382</v>
      </c>
      <c r="D23" s="76" t="s">
        <v>163</v>
      </c>
      <c r="E23" s="77">
        <v>46090</v>
      </c>
      <c r="F23" s="78">
        <v>30920</v>
      </c>
      <c r="G23" s="76"/>
      <c r="H23" s="76">
        <v>600</v>
      </c>
      <c r="I23" s="76" t="s">
        <v>4</v>
      </c>
      <c r="J23" s="76"/>
      <c r="K23" s="76" t="s">
        <v>143</v>
      </c>
      <c r="L23" s="76" t="s">
        <v>215</v>
      </c>
      <c r="M23" s="76">
        <v>6441681913</v>
      </c>
      <c r="N23" s="79"/>
      <c r="O23" s="79"/>
      <c r="P23" s="79"/>
      <c r="Q23" s="80"/>
      <c r="R23" s="81">
        <v>1928</v>
      </c>
    </row>
    <row r="24" spans="2:18" x14ac:dyDescent="0.2">
      <c r="B24" s="57" t="s">
        <v>383</v>
      </c>
      <c r="C24" s="24" t="s">
        <v>384</v>
      </c>
      <c r="D24" s="9" t="s">
        <v>163</v>
      </c>
      <c r="E24" s="20">
        <v>46090</v>
      </c>
      <c r="F24" s="10">
        <v>30940</v>
      </c>
      <c r="G24" s="9"/>
      <c r="H24" s="9">
        <v>615</v>
      </c>
      <c r="I24" s="9" t="s">
        <v>4</v>
      </c>
      <c r="J24" s="9"/>
      <c r="K24" s="9" t="s">
        <v>143</v>
      </c>
      <c r="L24" s="9" t="s">
        <v>345</v>
      </c>
      <c r="M24" s="9">
        <v>6443607173</v>
      </c>
      <c r="N24" s="11"/>
      <c r="O24" s="11"/>
      <c r="P24" s="11"/>
      <c r="Q24" s="17"/>
      <c r="R24" s="82">
        <v>1928</v>
      </c>
    </row>
    <row r="25" spans="2:18" x14ac:dyDescent="0.2">
      <c r="B25" s="74" t="s">
        <v>385</v>
      </c>
      <c r="C25" s="75" t="s">
        <v>386</v>
      </c>
      <c r="D25" s="76" t="s">
        <v>163</v>
      </c>
      <c r="E25" s="77">
        <v>46091</v>
      </c>
      <c r="F25" s="78">
        <v>31030</v>
      </c>
      <c r="G25" s="76"/>
      <c r="H25" s="76">
        <v>600</v>
      </c>
      <c r="I25" s="76" t="s">
        <v>4</v>
      </c>
      <c r="J25" s="76"/>
      <c r="K25" s="76" t="s">
        <v>143</v>
      </c>
      <c r="L25" s="76" t="s">
        <v>217</v>
      </c>
      <c r="M25" s="76"/>
      <c r="N25" s="79"/>
      <c r="O25" s="79"/>
      <c r="P25" s="79"/>
      <c r="Q25" s="80"/>
      <c r="R25" s="81">
        <v>1928</v>
      </c>
    </row>
    <row r="26" spans="2:18" x14ac:dyDescent="0.2">
      <c r="B26" s="57" t="s">
        <v>387</v>
      </c>
      <c r="C26" s="24" t="s">
        <v>388</v>
      </c>
      <c r="D26" s="9" t="s">
        <v>163</v>
      </c>
      <c r="E26" s="20">
        <v>46091</v>
      </c>
      <c r="F26" s="10">
        <v>31500</v>
      </c>
      <c r="G26" s="9"/>
      <c r="H26" s="9">
        <v>600</v>
      </c>
      <c r="I26" s="9" t="s">
        <v>4</v>
      </c>
      <c r="J26" s="9"/>
      <c r="K26" s="9" t="s">
        <v>143</v>
      </c>
      <c r="L26" s="9" t="s">
        <v>389</v>
      </c>
      <c r="M26" s="9">
        <v>6421502126</v>
      </c>
      <c r="N26" s="11"/>
      <c r="O26" s="11"/>
      <c r="P26" s="11"/>
      <c r="Q26" s="17"/>
      <c r="R26" s="82">
        <v>1928</v>
      </c>
    </row>
    <row r="27" spans="2:18" x14ac:dyDescent="0.2">
      <c r="B27" s="74" t="s">
        <v>390</v>
      </c>
      <c r="C27" s="75" t="s">
        <v>391</v>
      </c>
      <c r="D27" s="76" t="s">
        <v>163</v>
      </c>
      <c r="E27" s="77">
        <v>46091</v>
      </c>
      <c r="F27" s="78">
        <v>30240</v>
      </c>
      <c r="G27" s="76"/>
      <c r="H27" s="76">
        <v>600</v>
      </c>
      <c r="I27" s="76" t="s">
        <v>4</v>
      </c>
      <c r="J27" s="76"/>
      <c r="K27" s="76" t="s">
        <v>143</v>
      </c>
      <c r="L27" s="76" t="s">
        <v>211</v>
      </c>
      <c r="M27" s="76"/>
      <c r="N27" s="79"/>
      <c r="O27" s="79"/>
      <c r="P27" s="79"/>
      <c r="Q27" s="80"/>
      <c r="R27" s="81">
        <v>1928</v>
      </c>
    </row>
    <row r="28" spans="2:18" x14ac:dyDescent="0.2">
      <c r="B28" s="57" t="s">
        <v>392</v>
      </c>
      <c r="C28" s="24" t="s">
        <v>393</v>
      </c>
      <c r="D28" s="9" t="s">
        <v>163</v>
      </c>
      <c r="E28" s="20">
        <v>46091</v>
      </c>
      <c r="F28" s="10">
        <v>30870</v>
      </c>
      <c r="G28" s="9"/>
      <c r="H28" s="9">
        <v>600</v>
      </c>
      <c r="I28" s="9" t="s">
        <v>4</v>
      </c>
      <c r="J28" s="9"/>
      <c r="K28" s="9" t="s">
        <v>143</v>
      </c>
      <c r="L28" s="9" t="s">
        <v>241</v>
      </c>
      <c r="M28" s="9"/>
      <c r="N28" s="11"/>
      <c r="O28" s="11"/>
      <c r="P28" s="11"/>
      <c r="Q28" s="17"/>
      <c r="R28" s="82">
        <v>1928</v>
      </c>
    </row>
    <row r="29" spans="2:18" x14ac:dyDescent="0.2">
      <c r="B29" s="74" t="s">
        <v>394</v>
      </c>
      <c r="C29" s="75" t="s">
        <v>395</v>
      </c>
      <c r="D29" s="76" t="s">
        <v>163</v>
      </c>
      <c r="E29" s="77">
        <v>46091</v>
      </c>
      <c r="F29" s="78">
        <v>30040</v>
      </c>
      <c r="G29" s="76"/>
      <c r="H29" s="76">
        <v>600</v>
      </c>
      <c r="I29" s="76" t="s">
        <v>4</v>
      </c>
      <c r="J29" s="76"/>
      <c r="K29" s="76" t="s">
        <v>143</v>
      </c>
      <c r="L29" s="76" t="s">
        <v>215</v>
      </c>
      <c r="M29" s="76">
        <v>6441681913</v>
      </c>
      <c r="N29" s="79"/>
      <c r="O29" s="79"/>
      <c r="P29" s="79"/>
      <c r="Q29" s="80"/>
      <c r="R29" s="81">
        <v>1928</v>
      </c>
    </row>
    <row r="30" spans="2:18" x14ac:dyDescent="0.2">
      <c r="B30" s="57" t="s">
        <v>396</v>
      </c>
      <c r="C30" s="24" t="s">
        <v>397</v>
      </c>
      <c r="D30" s="9" t="s">
        <v>163</v>
      </c>
      <c r="E30" s="20">
        <v>46091</v>
      </c>
      <c r="F30" s="10">
        <v>28040</v>
      </c>
      <c r="G30" s="9"/>
      <c r="H30" s="9">
        <v>556</v>
      </c>
      <c r="I30" s="9" t="s">
        <v>4</v>
      </c>
      <c r="J30" s="9"/>
      <c r="K30" s="9" t="s">
        <v>143</v>
      </c>
      <c r="L30" s="9" t="s">
        <v>345</v>
      </c>
      <c r="M30" s="9"/>
      <c r="N30" s="11"/>
      <c r="O30" s="11"/>
      <c r="P30" s="11"/>
      <c r="Q30" s="17"/>
      <c r="R30" s="82">
        <v>1928</v>
      </c>
    </row>
    <row r="31" spans="2:18" x14ac:dyDescent="0.2">
      <c r="B31" s="74" t="s">
        <v>398</v>
      </c>
      <c r="C31" s="75" t="s">
        <v>399</v>
      </c>
      <c r="D31" s="76" t="s">
        <v>163</v>
      </c>
      <c r="E31" s="77">
        <v>46092</v>
      </c>
      <c r="F31" s="78">
        <v>32110</v>
      </c>
      <c r="G31" s="76"/>
      <c r="H31" s="76">
        <v>600</v>
      </c>
      <c r="I31" s="76" t="s">
        <v>4</v>
      </c>
      <c r="J31" s="76"/>
      <c r="K31" s="76" t="s">
        <v>143</v>
      </c>
      <c r="L31" s="76" t="s">
        <v>217</v>
      </c>
      <c r="M31" s="76"/>
      <c r="N31" s="79"/>
      <c r="O31" s="79"/>
      <c r="P31" s="79"/>
      <c r="Q31" s="80"/>
      <c r="R31" s="81">
        <v>1928</v>
      </c>
    </row>
    <row r="32" spans="2:18" x14ac:dyDescent="0.2">
      <c r="B32" s="57" t="s">
        <v>400</v>
      </c>
      <c r="C32" s="24" t="s">
        <v>401</v>
      </c>
      <c r="D32" s="9" t="s">
        <v>163</v>
      </c>
      <c r="E32" s="20">
        <v>46092</v>
      </c>
      <c r="F32" s="10">
        <v>30410</v>
      </c>
      <c r="G32" s="9"/>
      <c r="H32" s="9">
        <v>600</v>
      </c>
      <c r="I32" s="9" t="s">
        <v>4</v>
      </c>
      <c r="J32" s="9"/>
      <c r="K32" s="9" t="s">
        <v>143</v>
      </c>
      <c r="L32" s="9" t="s">
        <v>389</v>
      </c>
      <c r="M32" s="9"/>
      <c r="N32" s="11"/>
      <c r="O32" s="11"/>
      <c r="P32" s="11"/>
      <c r="Q32" s="17"/>
      <c r="R32" s="82">
        <v>1928</v>
      </c>
    </row>
    <row r="33" spans="2:18" x14ac:dyDescent="0.2">
      <c r="B33" s="74" t="s">
        <v>402</v>
      </c>
      <c r="C33" s="75" t="s">
        <v>403</v>
      </c>
      <c r="D33" s="76" t="s">
        <v>163</v>
      </c>
      <c r="E33" s="77">
        <v>46092</v>
      </c>
      <c r="F33" s="78">
        <v>30550</v>
      </c>
      <c r="G33" s="76"/>
      <c r="H33" s="76">
        <v>600</v>
      </c>
      <c r="I33" s="76" t="s">
        <v>4</v>
      </c>
      <c r="J33" s="76"/>
      <c r="K33" s="76" t="s">
        <v>143</v>
      </c>
      <c r="L33" s="76" t="s">
        <v>211</v>
      </c>
      <c r="M33" s="76"/>
      <c r="N33" s="79"/>
      <c r="O33" s="79"/>
      <c r="P33" s="79"/>
      <c r="Q33" s="80"/>
      <c r="R33" s="81">
        <v>1928</v>
      </c>
    </row>
    <row r="34" spans="2:18" x14ac:dyDescent="0.2">
      <c r="B34" s="74" t="s">
        <v>248</v>
      </c>
      <c r="C34" s="75" t="s">
        <v>304</v>
      </c>
      <c r="D34" s="76" t="s">
        <v>163</v>
      </c>
      <c r="E34" s="77">
        <v>46089</v>
      </c>
      <c r="F34" s="41">
        <v>22050</v>
      </c>
      <c r="G34" s="76">
        <v>438</v>
      </c>
      <c r="H34" s="76"/>
      <c r="I34" s="76"/>
      <c r="J34" s="76"/>
      <c r="K34" s="76"/>
      <c r="L34" s="76" t="s">
        <v>143</v>
      </c>
      <c r="M34" s="76" t="s">
        <v>249</v>
      </c>
      <c r="N34" s="76">
        <v>1928</v>
      </c>
    </row>
    <row r="35" spans="2:18" x14ac:dyDescent="0.2">
      <c r="B35" s="24" t="s">
        <v>250</v>
      </c>
      <c r="C35" s="24" t="s">
        <v>305</v>
      </c>
      <c r="D35" s="9" t="s">
        <v>163</v>
      </c>
      <c r="E35" s="20">
        <v>46092</v>
      </c>
      <c r="F35" s="10">
        <f>23940+8320</f>
        <v>32260</v>
      </c>
      <c r="G35" s="9">
        <v>470</v>
      </c>
      <c r="H35" s="9">
        <v>168</v>
      </c>
      <c r="I35" s="9"/>
      <c r="J35" s="9"/>
      <c r="K35" s="9"/>
      <c r="L35" s="9" t="s">
        <v>143</v>
      </c>
      <c r="M35" s="9" t="s">
        <v>215</v>
      </c>
      <c r="N35" s="9">
        <v>1928</v>
      </c>
    </row>
    <row r="36" spans="2:18" x14ac:dyDescent="0.2">
      <c r="F36" s="61">
        <f>SUM(F4:F35)</f>
        <v>922604</v>
      </c>
    </row>
    <row r="37" spans="2:18" x14ac:dyDescent="0.2">
      <c r="F37" s="42">
        <f>+F36*240/1000</f>
        <v>221424.96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89D0-E68C-4E3A-9633-8787676EDC10}">
  <dimension ref="A1:Q80"/>
  <sheetViews>
    <sheetView topLeftCell="A61" workbookViewId="0">
      <selection activeCell="Q80" sqref="A1:Q80"/>
    </sheetView>
  </sheetViews>
  <sheetFormatPr baseColWidth="10" defaultColWidth="11.42578125" defaultRowHeight="12.75" x14ac:dyDescent="0.2"/>
  <cols>
    <col min="3" max="3" width="13.140625" customWidth="1"/>
    <col min="4" max="4" width="17.85546875" customWidth="1"/>
    <col min="7" max="7" width="15.7109375" customWidth="1"/>
    <col min="9" max="9" width="13.7109375" customWidth="1"/>
    <col min="12" max="12" width="24.5703125" customWidth="1"/>
    <col min="14" max="14" width="14.42578125" customWidth="1"/>
    <col min="15" max="15" width="18.42578125" customWidth="1"/>
    <col min="16" max="16" width="25.42578125" customWidth="1"/>
  </cols>
  <sheetData>
    <row r="1" spans="1:17" ht="13.5" x14ac:dyDescent="0.25">
      <c r="A1" s="169" t="s">
        <v>461</v>
      </c>
      <c r="B1" s="170" t="s">
        <v>462</v>
      </c>
      <c r="C1" s="170" t="s">
        <v>511</v>
      </c>
      <c r="D1" s="170" t="s">
        <v>463</v>
      </c>
      <c r="E1" s="169" t="s">
        <v>464</v>
      </c>
      <c r="F1" s="169" t="s">
        <v>465</v>
      </c>
      <c r="G1" s="171" t="s">
        <v>466</v>
      </c>
      <c r="H1" s="169" t="s">
        <v>467</v>
      </c>
      <c r="I1" s="170" t="s">
        <v>468</v>
      </c>
      <c r="J1" s="169" t="s">
        <v>469</v>
      </c>
      <c r="K1" s="169" t="s">
        <v>23</v>
      </c>
      <c r="L1" s="170" t="s">
        <v>470</v>
      </c>
      <c r="M1" s="169" t="s">
        <v>471</v>
      </c>
      <c r="N1" s="170" t="s">
        <v>472</v>
      </c>
      <c r="O1" s="170" t="s">
        <v>473</v>
      </c>
      <c r="P1" s="172" t="s">
        <v>474</v>
      </c>
      <c r="Q1" s="172" t="s">
        <v>475</v>
      </c>
    </row>
    <row r="2" spans="1:17" ht="13.5" x14ac:dyDescent="0.25">
      <c r="A2" s="169" t="s">
        <v>476</v>
      </c>
      <c r="B2" s="169" t="s">
        <v>210</v>
      </c>
      <c r="C2" s="169" t="s">
        <v>482</v>
      </c>
      <c r="D2" s="173">
        <v>46084</v>
      </c>
      <c r="E2" s="169" t="s">
        <v>477</v>
      </c>
      <c r="F2" s="169" t="s">
        <v>478</v>
      </c>
      <c r="G2" s="171" t="s">
        <v>512</v>
      </c>
      <c r="H2" s="169">
        <v>1</v>
      </c>
      <c r="I2" s="169" t="s">
        <v>493</v>
      </c>
      <c r="J2" s="169" t="s">
        <v>513</v>
      </c>
      <c r="K2" s="169" t="s">
        <v>211</v>
      </c>
      <c r="L2" s="169" t="s">
        <v>514</v>
      </c>
      <c r="M2" s="169" t="s">
        <v>483</v>
      </c>
      <c r="N2" s="169">
        <v>30320</v>
      </c>
      <c r="O2" s="169">
        <v>600</v>
      </c>
      <c r="P2" s="169">
        <v>600</v>
      </c>
      <c r="Q2" s="169">
        <v>50.53</v>
      </c>
    </row>
    <row r="3" spans="1:17" ht="13.5" x14ac:dyDescent="0.25">
      <c r="A3" s="169" t="s">
        <v>476</v>
      </c>
      <c r="B3" s="169" t="s">
        <v>212</v>
      </c>
      <c r="C3" s="169" t="s">
        <v>482</v>
      </c>
      <c r="D3" s="173">
        <v>46084</v>
      </c>
      <c r="E3" s="169" t="s">
        <v>477</v>
      </c>
      <c r="F3" s="169" t="s">
        <v>478</v>
      </c>
      <c r="G3" s="171" t="s">
        <v>512</v>
      </c>
      <c r="H3" s="169">
        <v>1</v>
      </c>
      <c r="I3" s="169" t="s">
        <v>493</v>
      </c>
      <c r="J3" s="169" t="s">
        <v>515</v>
      </c>
      <c r="K3" s="169" t="s">
        <v>213</v>
      </c>
      <c r="L3" s="169" t="s">
        <v>514</v>
      </c>
      <c r="M3" s="169" t="s">
        <v>516</v>
      </c>
      <c r="N3" s="169">
        <v>25470</v>
      </c>
      <c r="O3" s="169">
        <v>504</v>
      </c>
      <c r="P3" s="169">
        <v>504</v>
      </c>
      <c r="Q3" s="169">
        <v>50.54</v>
      </c>
    </row>
    <row r="4" spans="1:17" ht="13.5" x14ac:dyDescent="0.25">
      <c r="A4" s="169" t="s">
        <v>476</v>
      </c>
      <c r="B4" s="169" t="s">
        <v>214</v>
      </c>
      <c r="C4" s="169" t="s">
        <v>482</v>
      </c>
      <c r="D4" s="173">
        <v>46085</v>
      </c>
      <c r="E4" s="169" t="s">
        <v>477</v>
      </c>
      <c r="F4" s="169" t="s">
        <v>478</v>
      </c>
      <c r="G4" s="171" t="s">
        <v>512</v>
      </c>
      <c r="H4" s="169">
        <v>1</v>
      </c>
      <c r="I4" s="169" t="s">
        <v>493</v>
      </c>
      <c r="J4" s="169" t="s">
        <v>517</v>
      </c>
      <c r="K4" s="169" t="s">
        <v>215</v>
      </c>
      <c r="L4" s="169" t="s">
        <v>514</v>
      </c>
      <c r="M4" s="169" t="s">
        <v>516</v>
      </c>
      <c r="N4" s="169">
        <v>30190</v>
      </c>
      <c r="O4" s="169">
        <v>600</v>
      </c>
      <c r="P4" s="169">
        <v>601</v>
      </c>
      <c r="Q4" s="169">
        <v>50.23</v>
      </c>
    </row>
    <row r="5" spans="1:17" ht="13.5" x14ac:dyDescent="0.25">
      <c r="A5" s="169" t="s">
        <v>476</v>
      </c>
      <c r="B5" s="169" t="s">
        <v>216</v>
      </c>
      <c r="C5" s="169" t="s">
        <v>482</v>
      </c>
      <c r="D5" s="173">
        <v>46085</v>
      </c>
      <c r="E5" s="169" t="s">
        <v>477</v>
      </c>
      <c r="F5" s="169" t="s">
        <v>478</v>
      </c>
      <c r="G5" s="171" t="s">
        <v>512</v>
      </c>
      <c r="H5" s="169">
        <v>1</v>
      </c>
      <c r="I5" s="169" t="s">
        <v>493</v>
      </c>
      <c r="J5" s="169" t="s">
        <v>518</v>
      </c>
      <c r="K5" s="169" t="s">
        <v>217</v>
      </c>
      <c r="L5" s="169" t="s">
        <v>514</v>
      </c>
      <c r="M5" s="169" t="s">
        <v>516</v>
      </c>
      <c r="N5" s="169">
        <v>30230</v>
      </c>
      <c r="O5" s="169">
        <v>600</v>
      </c>
      <c r="P5" s="169">
        <v>602</v>
      </c>
      <c r="Q5" s="169">
        <v>50.22</v>
      </c>
    </row>
    <row r="6" spans="1:17" ht="13.5" x14ac:dyDescent="0.25">
      <c r="A6" s="169" t="s">
        <v>476</v>
      </c>
      <c r="B6" s="169" t="s">
        <v>251</v>
      </c>
      <c r="C6" s="169" t="s">
        <v>482</v>
      </c>
      <c r="D6" s="173">
        <v>46085</v>
      </c>
      <c r="E6" s="169" t="s">
        <v>477</v>
      </c>
      <c r="F6" s="169" t="s">
        <v>478</v>
      </c>
      <c r="G6" s="171" t="s">
        <v>512</v>
      </c>
      <c r="H6" s="169">
        <v>1</v>
      </c>
      <c r="I6" s="169" t="s">
        <v>493</v>
      </c>
      <c r="J6" s="169" t="s">
        <v>497</v>
      </c>
      <c r="K6" s="169" t="s">
        <v>252</v>
      </c>
      <c r="L6" s="169" t="s">
        <v>482</v>
      </c>
      <c r="M6" s="169" t="s">
        <v>483</v>
      </c>
      <c r="N6" s="169">
        <v>15170</v>
      </c>
      <c r="O6" s="169">
        <v>300</v>
      </c>
      <c r="P6" s="169">
        <v>302</v>
      </c>
      <c r="Q6" s="169">
        <v>50.23</v>
      </c>
    </row>
    <row r="7" spans="1:17" ht="13.5" x14ac:dyDescent="0.25">
      <c r="A7" s="169" t="s">
        <v>476</v>
      </c>
      <c r="B7" s="169" t="s">
        <v>218</v>
      </c>
      <c r="C7" s="169" t="s">
        <v>482</v>
      </c>
      <c r="D7" s="173">
        <v>46086</v>
      </c>
      <c r="E7" s="169" t="s">
        <v>477</v>
      </c>
      <c r="F7" s="169" t="s">
        <v>478</v>
      </c>
      <c r="G7" s="171" t="s">
        <v>512</v>
      </c>
      <c r="H7" s="169">
        <v>1</v>
      </c>
      <c r="I7" s="169" t="s">
        <v>493</v>
      </c>
      <c r="J7" s="169" t="s">
        <v>513</v>
      </c>
      <c r="K7" s="169" t="s">
        <v>211</v>
      </c>
      <c r="L7" s="169" t="s">
        <v>514</v>
      </c>
      <c r="M7" s="169" t="s">
        <v>483</v>
      </c>
      <c r="N7" s="169">
        <v>29970</v>
      </c>
      <c r="O7" s="169">
        <v>600</v>
      </c>
      <c r="P7" s="169">
        <v>600</v>
      </c>
      <c r="Q7" s="169">
        <v>49.95</v>
      </c>
    </row>
    <row r="8" spans="1:17" ht="13.5" x14ac:dyDescent="0.25">
      <c r="A8" s="169" t="s">
        <v>476</v>
      </c>
      <c r="B8" s="169" t="s">
        <v>219</v>
      </c>
      <c r="C8" s="169" t="s">
        <v>482</v>
      </c>
      <c r="D8" s="173">
        <v>46086</v>
      </c>
      <c r="E8" s="169" t="s">
        <v>477</v>
      </c>
      <c r="F8" s="169" t="s">
        <v>478</v>
      </c>
      <c r="G8" s="171" t="s">
        <v>512</v>
      </c>
      <c r="H8" s="169">
        <v>1</v>
      </c>
      <c r="I8" s="169" t="s">
        <v>493</v>
      </c>
      <c r="J8" s="169" t="s">
        <v>517</v>
      </c>
      <c r="K8" s="169" t="s">
        <v>215</v>
      </c>
      <c r="L8" s="169" t="s">
        <v>514</v>
      </c>
      <c r="M8" s="169" t="s">
        <v>516</v>
      </c>
      <c r="N8" s="169">
        <v>30040</v>
      </c>
      <c r="O8" s="169">
        <v>600</v>
      </c>
      <c r="P8" s="169">
        <v>600</v>
      </c>
      <c r="Q8" s="169">
        <v>50.07</v>
      </c>
    </row>
    <row r="9" spans="1:17" ht="13.5" x14ac:dyDescent="0.25">
      <c r="A9" s="169" t="s">
        <v>476</v>
      </c>
      <c r="B9" s="169" t="s">
        <v>220</v>
      </c>
      <c r="C9" s="169" t="s">
        <v>482</v>
      </c>
      <c r="D9" s="173">
        <v>46086</v>
      </c>
      <c r="E9" s="169" t="s">
        <v>477</v>
      </c>
      <c r="F9" s="169" t="s">
        <v>478</v>
      </c>
      <c r="G9" s="171" t="s">
        <v>512</v>
      </c>
      <c r="H9" s="169">
        <v>1</v>
      </c>
      <c r="I9" s="169" t="s">
        <v>493</v>
      </c>
      <c r="J9" s="169" t="s">
        <v>515</v>
      </c>
      <c r="K9" s="169" t="s">
        <v>213</v>
      </c>
      <c r="L9" s="169" t="s">
        <v>514</v>
      </c>
      <c r="M9" s="169" t="s">
        <v>516</v>
      </c>
      <c r="N9" s="169">
        <v>30460</v>
      </c>
      <c r="O9" s="169">
        <v>600</v>
      </c>
      <c r="P9" s="169">
        <v>600</v>
      </c>
      <c r="Q9" s="169">
        <v>50.77</v>
      </c>
    </row>
    <row r="10" spans="1:17" ht="13.5" x14ac:dyDescent="0.25">
      <c r="A10" s="169" t="s">
        <v>476</v>
      </c>
      <c r="B10" s="169" t="s">
        <v>221</v>
      </c>
      <c r="C10" s="169" t="s">
        <v>482</v>
      </c>
      <c r="D10" s="173">
        <v>46087</v>
      </c>
      <c r="E10" s="169" t="s">
        <v>477</v>
      </c>
      <c r="F10" s="169" t="s">
        <v>478</v>
      </c>
      <c r="G10" s="171" t="s">
        <v>512</v>
      </c>
      <c r="H10" s="169">
        <v>1</v>
      </c>
      <c r="I10" s="169" t="s">
        <v>493</v>
      </c>
      <c r="J10" s="169" t="s">
        <v>518</v>
      </c>
      <c r="K10" s="169" t="s">
        <v>217</v>
      </c>
      <c r="L10" s="169" t="s">
        <v>514</v>
      </c>
      <c r="M10" s="169" t="s">
        <v>516</v>
      </c>
      <c r="N10" s="169">
        <v>29850</v>
      </c>
      <c r="O10" s="169">
        <v>600</v>
      </c>
      <c r="P10" s="169">
        <v>602</v>
      </c>
      <c r="Q10" s="169">
        <v>49.58</v>
      </c>
    </row>
    <row r="11" spans="1:17" ht="13.5" x14ac:dyDescent="0.25">
      <c r="A11" s="169" t="s">
        <v>476</v>
      </c>
      <c r="B11" s="169" t="s">
        <v>222</v>
      </c>
      <c r="C11" s="169" t="s">
        <v>482</v>
      </c>
      <c r="D11" s="173">
        <v>46087</v>
      </c>
      <c r="E11" s="169" t="s">
        <v>477</v>
      </c>
      <c r="F11" s="169" t="s">
        <v>478</v>
      </c>
      <c r="G11" s="171" t="s">
        <v>512</v>
      </c>
      <c r="H11" s="169">
        <v>1</v>
      </c>
      <c r="I11" s="169" t="s">
        <v>493</v>
      </c>
      <c r="J11" s="169" t="s">
        <v>513</v>
      </c>
      <c r="K11" s="169" t="s">
        <v>211</v>
      </c>
      <c r="L11" s="169" t="s">
        <v>514</v>
      </c>
      <c r="M11" s="169" t="s">
        <v>516</v>
      </c>
      <c r="N11" s="169">
        <v>30480</v>
      </c>
      <c r="O11" s="169">
        <v>600</v>
      </c>
      <c r="P11" s="169">
        <v>602</v>
      </c>
      <c r="Q11" s="169">
        <v>50.63</v>
      </c>
    </row>
    <row r="12" spans="1:17" ht="13.5" x14ac:dyDescent="0.25">
      <c r="A12" s="169" t="s">
        <v>476</v>
      </c>
      <c r="B12" s="169" t="s">
        <v>223</v>
      </c>
      <c r="C12" s="169" t="s">
        <v>482</v>
      </c>
      <c r="D12" s="173">
        <v>46087</v>
      </c>
      <c r="E12" s="169" t="s">
        <v>477</v>
      </c>
      <c r="F12" s="169" t="s">
        <v>478</v>
      </c>
      <c r="G12" s="171" t="s">
        <v>512</v>
      </c>
      <c r="H12" s="169">
        <v>1</v>
      </c>
      <c r="I12" s="169" t="s">
        <v>493</v>
      </c>
      <c r="J12" s="169" t="s">
        <v>517</v>
      </c>
      <c r="K12" s="169" t="s">
        <v>215</v>
      </c>
      <c r="L12" s="169" t="s">
        <v>514</v>
      </c>
      <c r="M12" s="169" t="s">
        <v>516</v>
      </c>
      <c r="N12" s="169">
        <v>30220</v>
      </c>
      <c r="O12" s="169">
        <v>600</v>
      </c>
      <c r="P12" s="169">
        <v>600</v>
      </c>
      <c r="Q12" s="169">
        <v>50.37</v>
      </c>
    </row>
    <row r="13" spans="1:17" ht="13.5" x14ac:dyDescent="0.25">
      <c r="A13" s="169" t="s">
        <v>476</v>
      </c>
      <c r="B13" s="169" t="s">
        <v>224</v>
      </c>
      <c r="C13" s="169" t="s">
        <v>482</v>
      </c>
      <c r="D13" s="173">
        <v>46088</v>
      </c>
      <c r="E13" s="169" t="s">
        <v>477</v>
      </c>
      <c r="F13" s="169" t="s">
        <v>478</v>
      </c>
      <c r="G13" s="171" t="s">
        <v>512</v>
      </c>
      <c r="H13" s="169">
        <v>1</v>
      </c>
      <c r="I13" s="169" t="s">
        <v>493</v>
      </c>
      <c r="J13" s="169" t="s">
        <v>515</v>
      </c>
      <c r="K13" s="169" t="s">
        <v>213</v>
      </c>
      <c r="L13" s="169" t="s">
        <v>514</v>
      </c>
      <c r="M13" s="169" t="s">
        <v>516</v>
      </c>
      <c r="N13" s="169">
        <v>30570</v>
      </c>
      <c r="O13" s="169">
        <v>600</v>
      </c>
      <c r="P13" s="169">
        <v>600</v>
      </c>
      <c r="Q13" s="169">
        <v>50.95</v>
      </c>
    </row>
    <row r="14" spans="1:17" ht="13.5" x14ac:dyDescent="0.25">
      <c r="A14" s="169" t="s">
        <v>476</v>
      </c>
      <c r="B14" s="169" t="s">
        <v>225</v>
      </c>
      <c r="C14" s="169" t="s">
        <v>482</v>
      </c>
      <c r="D14" s="173">
        <v>46088</v>
      </c>
      <c r="E14" s="169" t="s">
        <v>477</v>
      </c>
      <c r="F14" s="169" t="s">
        <v>478</v>
      </c>
      <c r="G14" s="171" t="s">
        <v>512</v>
      </c>
      <c r="H14" s="169">
        <v>1</v>
      </c>
      <c r="I14" s="169" t="s">
        <v>493</v>
      </c>
      <c r="J14" s="169" t="s">
        <v>518</v>
      </c>
      <c r="K14" s="169" t="s">
        <v>217</v>
      </c>
      <c r="L14" s="169" t="s">
        <v>514</v>
      </c>
      <c r="M14" s="169" t="s">
        <v>516</v>
      </c>
      <c r="N14" s="169">
        <v>30470</v>
      </c>
      <c r="O14" s="169">
        <v>600</v>
      </c>
      <c r="P14" s="169">
        <v>600</v>
      </c>
      <c r="Q14" s="169">
        <v>50.78</v>
      </c>
    </row>
    <row r="15" spans="1:17" ht="13.5" x14ac:dyDescent="0.25">
      <c r="A15" s="169" t="s">
        <v>476</v>
      </c>
      <c r="B15" s="169" t="s">
        <v>226</v>
      </c>
      <c r="C15" s="169" t="s">
        <v>482</v>
      </c>
      <c r="D15" s="173">
        <v>46088</v>
      </c>
      <c r="E15" s="169" t="s">
        <v>477</v>
      </c>
      <c r="F15" s="169" t="s">
        <v>478</v>
      </c>
      <c r="G15" s="171" t="s">
        <v>512</v>
      </c>
      <c r="H15" s="169">
        <v>1</v>
      </c>
      <c r="I15" s="169" t="s">
        <v>493</v>
      </c>
      <c r="J15" s="169" t="s">
        <v>513</v>
      </c>
      <c r="K15" s="169" t="s">
        <v>211</v>
      </c>
      <c r="L15" s="169" t="s">
        <v>514</v>
      </c>
      <c r="M15" s="169" t="s">
        <v>516</v>
      </c>
      <c r="N15" s="169">
        <v>30380</v>
      </c>
      <c r="O15" s="169">
        <v>600</v>
      </c>
      <c r="P15" s="169">
        <v>600</v>
      </c>
      <c r="Q15" s="169">
        <v>50.63</v>
      </c>
    </row>
    <row r="16" spans="1:17" ht="13.5" x14ac:dyDescent="0.25">
      <c r="A16" s="169" t="s">
        <v>476</v>
      </c>
      <c r="B16" s="169" t="s">
        <v>227</v>
      </c>
      <c r="C16" s="169" t="s">
        <v>482</v>
      </c>
      <c r="D16" s="173">
        <v>46089</v>
      </c>
      <c r="E16" s="169" t="s">
        <v>477</v>
      </c>
      <c r="F16" s="169" t="s">
        <v>478</v>
      </c>
      <c r="G16" s="171" t="s">
        <v>512</v>
      </c>
      <c r="H16" s="169">
        <v>1</v>
      </c>
      <c r="I16" s="169" t="s">
        <v>493</v>
      </c>
      <c r="J16" s="169" t="s">
        <v>517</v>
      </c>
      <c r="K16" s="169" t="s">
        <v>215</v>
      </c>
      <c r="L16" s="169" t="s">
        <v>514</v>
      </c>
      <c r="M16" s="169" t="s">
        <v>516</v>
      </c>
      <c r="N16" s="169">
        <v>30270</v>
      </c>
      <c r="O16" s="169">
        <v>600</v>
      </c>
      <c r="P16" s="169">
        <v>600</v>
      </c>
      <c r="Q16" s="169">
        <v>50.45</v>
      </c>
    </row>
    <row r="17" spans="1:17" ht="13.5" x14ac:dyDescent="0.25">
      <c r="A17" s="169" t="s">
        <v>476</v>
      </c>
      <c r="B17" s="169" t="s">
        <v>228</v>
      </c>
      <c r="C17" s="169" t="s">
        <v>482</v>
      </c>
      <c r="D17" s="173">
        <v>46089</v>
      </c>
      <c r="E17" s="169" t="s">
        <v>477</v>
      </c>
      <c r="F17" s="169" t="s">
        <v>478</v>
      </c>
      <c r="G17" s="171" t="s">
        <v>512</v>
      </c>
      <c r="H17" s="169">
        <v>1</v>
      </c>
      <c r="I17" s="169" t="s">
        <v>493</v>
      </c>
      <c r="J17" s="169" t="s">
        <v>515</v>
      </c>
      <c r="K17" s="169" t="s">
        <v>213</v>
      </c>
      <c r="L17" s="169" t="s">
        <v>514</v>
      </c>
      <c r="M17" s="169" t="s">
        <v>516</v>
      </c>
      <c r="N17" s="169">
        <v>30020</v>
      </c>
      <c r="O17" s="169">
        <v>600</v>
      </c>
      <c r="P17" s="169">
        <v>600</v>
      </c>
      <c r="Q17" s="169">
        <v>50.03</v>
      </c>
    </row>
    <row r="18" spans="1:17" ht="13.5" x14ac:dyDescent="0.25">
      <c r="A18" s="169" t="s">
        <v>476</v>
      </c>
      <c r="B18" s="169" t="s">
        <v>229</v>
      </c>
      <c r="C18" s="169" t="s">
        <v>482</v>
      </c>
      <c r="D18" s="173">
        <v>46089</v>
      </c>
      <c r="E18" s="169" t="s">
        <v>477</v>
      </c>
      <c r="F18" s="169" t="s">
        <v>478</v>
      </c>
      <c r="G18" s="171" t="s">
        <v>512</v>
      </c>
      <c r="H18" s="169">
        <v>1</v>
      </c>
      <c r="I18" s="169" t="s">
        <v>493</v>
      </c>
      <c r="J18" s="169" t="s">
        <v>518</v>
      </c>
      <c r="K18" s="169" t="s">
        <v>217</v>
      </c>
      <c r="L18" s="169" t="s">
        <v>514</v>
      </c>
      <c r="M18" s="169" t="s">
        <v>516</v>
      </c>
      <c r="N18" s="169">
        <v>30250</v>
      </c>
      <c r="O18" s="169">
        <v>600</v>
      </c>
      <c r="P18" s="169">
        <v>600</v>
      </c>
      <c r="Q18" s="169">
        <v>50.42</v>
      </c>
    </row>
    <row r="19" spans="1:17" ht="13.5" x14ac:dyDescent="0.25">
      <c r="A19" s="169" t="s">
        <v>476</v>
      </c>
      <c r="B19" s="169" t="s">
        <v>230</v>
      </c>
      <c r="C19" s="169" t="s">
        <v>482</v>
      </c>
      <c r="D19" s="173">
        <v>46089</v>
      </c>
      <c r="E19" s="169" t="s">
        <v>477</v>
      </c>
      <c r="F19" s="169" t="s">
        <v>478</v>
      </c>
      <c r="G19" s="171" t="s">
        <v>512</v>
      </c>
      <c r="H19" s="169">
        <v>1</v>
      </c>
      <c r="I19" s="169" t="s">
        <v>493</v>
      </c>
      <c r="J19" s="169" t="s">
        <v>481</v>
      </c>
      <c r="K19" s="169" t="s">
        <v>231</v>
      </c>
      <c r="L19" s="169" t="s">
        <v>514</v>
      </c>
      <c r="M19" s="169" t="s">
        <v>483</v>
      </c>
      <c r="N19" s="169">
        <v>8280</v>
      </c>
      <c r="O19" s="169">
        <v>163</v>
      </c>
      <c r="P19" s="169">
        <v>163</v>
      </c>
      <c r="Q19" s="169">
        <v>50.8</v>
      </c>
    </row>
    <row r="20" spans="1:17" ht="13.5" x14ac:dyDescent="0.25">
      <c r="A20" s="169" t="s">
        <v>476</v>
      </c>
      <c r="B20" s="169" t="s">
        <v>232</v>
      </c>
      <c r="C20" s="169" t="s">
        <v>482</v>
      </c>
      <c r="D20" s="173">
        <v>46090</v>
      </c>
      <c r="E20" s="169" t="s">
        <v>477</v>
      </c>
      <c r="F20" s="169" t="s">
        <v>478</v>
      </c>
      <c r="G20" s="171" t="s">
        <v>512</v>
      </c>
      <c r="H20" s="169">
        <v>1</v>
      </c>
      <c r="I20" s="169" t="s">
        <v>493</v>
      </c>
      <c r="J20" s="169" t="s">
        <v>513</v>
      </c>
      <c r="K20" s="169" t="s">
        <v>211</v>
      </c>
      <c r="L20" s="169" t="s">
        <v>514</v>
      </c>
      <c r="M20" s="169" t="s">
        <v>516</v>
      </c>
      <c r="N20" s="169">
        <v>30220</v>
      </c>
      <c r="O20" s="169">
        <v>600</v>
      </c>
      <c r="P20" s="169">
        <v>600</v>
      </c>
      <c r="Q20" s="169">
        <v>50.37</v>
      </c>
    </row>
    <row r="21" spans="1:17" ht="13.5" x14ac:dyDescent="0.25">
      <c r="A21" s="169" t="s">
        <v>476</v>
      </c>
      <c r="B21" s="169" t="s">
        <v>233</v>
      </c>
      <c r="C21" s="169" t="s">
        <v>482</v>
      </c>
      <c r="D21" s="173">
        <v>46090</v>
      </c>
      <c r="E21" s="169" t="s">
        <v>477</v>
      </c>
      <c r="F21" s="169" t="s">
        <v>478</v>
      </c>
      <c r="G21" s="171" t="s">
        <v>512</v>
      </c>
      <c r="H21" s="169">
        <v>1</v>
      </c>
      <c r="I21" s="169" t="s">
        <v>480</v>
      </c>
      <c r="J21" s="169" t="s">
        <v>519</v>
      </c>
      <c r="K21" s="169" t="s">
        <v>234</v>
      </c>
      <c r="L21" s="169" t="s">
        <v>514</v>
      </c>
      <c r="M21" s="169" t="s">
        <v>516</v>
      </c>
      <c r="N21" s="169">
        <v>13950</v>
      </c>
      <c r="O21" s="169">
        <v>288</v>
      </c>
      <c r="P21" s="169">
        <v>288</v>
      </c>
      <c r="Q21" s="169">
        <v>48.44</v>
      </c>
    </row>
    <row r="22" spans="1:17" ht="13.5" x14ac:dyDescent="0.25">
      <c r="A22" s="169" t="s">
        <v>476</v>
      </c>
      <c r="B22" s="169" t="s">
        <v>235</v>
      </c>
      <c r="C22" s="169" t="s">
        <v>482</v>
      </c>
      <c r="D22" s="173">
        <v>46091</v>
      </c>
      <c r="E22" s="169" t="s">
        <v>477</v>
      </c>
      <c r="F22" s="169" t="s">
        <v>478</v>
      </c>
      <c r="G22" s="171" t="s">
        <v>512</v>
      </c>
      <c r="H22" s="169">
        <v>1</v>
      </c>
      <c r="I22" s="169" t="s">
        <v>493</v>
      </c>
      <c r="J22" s="169" t="s">
        <v>517</v>
      </c>
      <c r="K22" s="169" t="s">
        <v>215</v>
      </c>
      <c r="L22" s="169" t="s">
        <v>514</v>
      </c>
      <c r="M22" s="169" t="s">
        <v>516</v>
      </c>
      <c r="N22" s="169">
        <v>30920</v>
      </c>
      <c r="O22" s="169">
        <v>600</v>
      </c>
      <c r="P22" s="169">
        <v>612</v>
      </c>
      <c r="Q22" s="169">
        <v>50.52</v>
      </c>
    </row>
    <row r="23" spans="1:17" ht="13.5" x14ac:dyDescent="0.25">
      <c r="A23" s="169" t="s">
        <v>476</v>
      </c>
      <c r="B23" s="169" t="s">
        <v>236</v>
      </c>
      <c r="C23" s="169" t="s">
        <v>482</v>
      </c>
      <c r="D23" s="173">
        <v>46091</v>
      </c>
      <c r="E23" s="169" t="s">
        <v>477</v>
      </c>
      <c r="F23" s="169" t="s">
        <v>478</v>
      </c>
      <c r="G23" s="171" t="s">
        <v>512</v>
      </c>
      <c r="H23" s="169">
        <v>1</v>
      </c>
      <c r="I23" s="169" t="s">
        <v>493</v>
      </c>
      <c r="J23" s="169" t="s">
        <v>515</v>
      </c>
      <c r="K23" s="169" t="s">
        <v>213</v>
      </c>
      <c r="L23" s="169" t="s">
        <v>514</v>
      </c>
      <c r="M23" s="169" t="s">
        <v>483</v>
      </c>
      <c r="N23" s="169">
        <v>30940</v>
      </c>
      <c r="O23" s="169">
        <v>615</v>
      </c>
      <c r="P23" s="169">
        <v>615</v>
      </c>
      <c r="Q23" s="169">
        <v>50.31</v>
      </c>
    </row>
    <row r="24" spans="1:17" ht="13.5" x14ac:dyDescent="0.25">
      <c r="A24" s="169" t="s">
        <v>476</v>
      </c>
      <c r="B24" s="169" t="s">
        <v>237</v>
      </c>
      <c r="C24" s="169" t="s">
        <v>482</v>
      </c>
      <c r="D24" s="173">
        <v>46092</v>
      </c>
      <c r="E24" s="169" t="s">
        <v>477</v>
      </c>
      <c r="F24" s="169" t="s">
        <v>478</v>
      </c>
      <c r="G24" s="171" t="s">
        <v>512</v>
      </c>
      <c r="H24" s="169">
        <v>1</v>
      </c>
      <c r="I24" s="169" t="s">
        <v>493</v>
      </c>
      <c r="J24" s="169" t="s">
        <v>518</v>
      </c>
      <c r="K24" s="169" t="s">
        <v>217</v>
      </c>
      <c r="L24" s="169" t="s">
        <v>514</v>
      </c>
      <c r="M24" s="169" t="s">
        <v>516</v>
      </c>
      <c r="N24" s="169">
        <v>31030</v>
      </c>
      <c r="O24" s="169">
        <v>600</v>
      </c>
      <c r="P24" s="169">
        <v>600</v>
      </c>
      <c r="Q24" s="169">
        <v>51.72</v>
      </c>
    </row>
    <row r="25" spans="1:17" ht="13.5" x14ac:dyDescent="0.25">
      <c r="A25" s="169" t="s">
        <v>476</v>
      </c>
      <c r="B25" s="169" t="s">
        <v>238</v>
      </c>
      <c r="C25" s="169" t="s">
        <v>482</v>
      </c>
      <c r="D25" s="173">
        <v>46092</v>
      </c>
      <c r="E25" s="169" t="s">
        <v>477</v>
      </c>
      <c r="F25" s="169" t="s">
        <v>478</v>
      </c>
      <c r="G25" s="171" t="s">
        <v>512</v>
      </c>
      <c r="H25" s="169">
        <v>1</v>
      </c>
      <c r="I25" s="169" t="s">
        <v>493</v>
      </c>
      <c r="J25" s="169" t="s">
        <v>520</v>
      </c>
      <c r="K25" s="169" t="s">
        <v>231</v>
      </c>
      <c r="L25" s="169" t="s">
        <v>514</v>
      </c>
      <c r="M25" s="169" t="s">
        <v>516</v>
      </c>
      <c r="N25" s="169">
        <v>31500</v>
      </c>
      <c r="O25" s="169">
        <v>600</v>
      </c>
      <c r="P25" s="169">
        <v>600</v>
      </c>
      <c r="Q25" s="169">
        <v>52.5</v>
      </c>
    </row>
    <row r="26" spans="1:17" ht="13.5" x14ac:dyDescent="0.2">
      <c r="A26" s="169" t="s">
        <v>476</v>
      </c>
      <c r="B26" s="169" t="s">
        <v>239</v>
      </c>
      <c r="C26" s="169" t="s">
        <v>482</v>
      </c>
      <c r="D26" s="174">
        <v>46092</v>
      </c>
      <c r="E26" s="169" t="s">
        <v>477</v>
      </c>
      <c r="F26" s="169" t="s">
        <v>478</v>
      </c>
      <c r="G26" s="169" t="s">
        <v>512</v>
      </c>
      <c r="H26" s="169">
        <v>1</v>
      </c>
      <c r="I26" s="169" t="s">
        <v>493</v>
      </c>
      <c r="J26" s="169" t="s">
        <v>513</v>
      </c>
      <c r="K26" s="169" t="s">
        <v>211</v>
      </c>
      <c r="L26" s="169" t="s">
        <v>514</v>
      </c>
      <c r="M26" s="169" t="s">
        <v>516</v>
      </c>
      <c r="N26" s="169">
        <v>30240</v>
      </c>
      <c r="O26" s="169">
        <v>600</v>
      </c>
      <c r="P26" s="169">
        <v>600</v>
      </c>
      <c r="Q26" s="169">
        <v>50.4</v>
      </c>
    </row>
    <row r="27" spans="1:17" ht="13.5" x14ac:dyDescent="0.25">
      <c r="A27" s="169" t="s">
        <v>476</v>
      </c>
      <c r="B27" s="169" t="s">
        <v>240</v>
      </c>
      <c r="C27" s="169" t="s">
        <v>482</v>
      </c>
      <c r="D27" s="174">
        <v>46092</v>
      </c>
      <c r="E27" s="169" t="s">
        <v>477</v>
      </c>
      <c r="F27" s="169" t="s">
        <v>478</v>
      </c>
      <c r="G27" s="171" t="s">
        <v>512</v>
      </c>
      <c r="H27" s="169">
        <v>1</v>
      </c>
      <c r="I27" s="169" t="s">
        <v>493</v>
      </c>
      <c r="J27" s="169" t="s">
        <v>521</v>
      </c>
      <c r="K27" s="169" t="s">
        <v>241</v>
      </c>
      <c r="L27" s="169" t="s">
        <v>514</v>
      </c>
      <c r="M27" s="169" t="s">
        <v>516</v>
      </c>
      <c r="N27" s="169">
        <v>30870</v>
      </c>
      <c r="O27" s="169">
        <v>600</v>
      </c>
      <c r="P27" s="169">
        <v>600</v>
      </c>
      <c r="Q27" s="169">
        <v>51.45</v>
      </c>
    </row>
    <row r="28" spans="1:17" ht="13.5" x14ac:dyDescent="0.2">
      <c r="A28" s="169" t="s">
        <v>476</v>
      </c>
      <c r="B28" s="169" t="s">
        <v>242</v>
      </c>
      <c r="C28" s="169" t="s">
        <v>482</v>
      </c>
      <c r="D28" s="174">
        <v>46093</v>
      </c>
      <c r="E28" s="169" t="s">
        <v>477</v>
      </c>
      <c r="F28" s="169" t="s">
        <v>478</v>
      </c>
      <c r="G28" s="169" t="s">
        <v>512</v>
      </c>
      <c r="H28" s="169">
        <v>1</v>
      </c>
      <c r="I28" s="169" t="s">
        <v>493</v>
      </c>
      <c r="J28" s="169" t="s">
        <v>517</v>
      </c>
      <c r="K28" s="169" t="s">
        <v>215</v>
      </c>
      <c r="L28" s="169" t="s">
        <v>514</v>
      </c>
      <c r="M28" s="169" t="s">
        <v>483</v>
      </c>
      <c r="N28" s="169">
        <v>30040</v>
      </c>
      <c r="O28" s="169">
        <v>600</v>
      </c>
      <c r="P28" s="169">
        <v>596</v>
      </c>
      <c r="Q28" s="169">
        <v>50.4</v>
      </c>
    </row>
    <row r="29" spans="1:17" ht="13.5" x14ac:dyDescent="0.25">
      <c r="A29" s="169" t="s">
        <v>476</v>
      </c>
      <c r="B29" s="169" t="s">
        <v>243</v>
      </c>
      <c r="C29" s="169" t="s">
        <v>482</v>
      </c>
      <c r="D29" s="174">
        <v>46093</v>
      </c>
      <c r="E29" s="169" t="s">
        <v>477</v>
      </c>
      <c r="F29" s="169" t="s">
        <v>478</v>
      </c>
      <c r="G29" s="171" t="s">
        <v>512</v>
      </c>
      <c r="H29" s="169">
        <v>1</v>
      </c>
      <c r="I29" s="169" t="s">
        <v>493</v>
      </c>
      <c r="J29" s="169" t="s">
        <v>515</v>
      </c>
      <c r="K29" s="169" t="s">
        <v>213</v>
      </c>
      <c r="L29" s="169" t="s">
        <v>514</v>
      </c>
      <c r="M29" s="169" t="s">
        <v>483</v>
      </c>
      <c r="N29" s="169">
        <v>28040</v>
      </c>
      <c r="O29" s="169">
        <v>556</v>
      </c>
      <c r="P29" s="169">
        <v>546</v>
      </c>
      <c r="Q29" s="169">
        <v>51.36</v>
      </c>
    </row>
    <row r="30" spans="1:17" ht="13.5" x14ac:dyDescent="0.2">
      <c r="A30" s="169" t="s">
        <v>476</v>
      </c>
      <c r="B30" s="169" t="s">
        <v>244</v>
      </c>
      <c r="C30" s="169" t="s">
        <v>482</v>
      </c>
      <c r="D30" s="174">
        <v>46093</v>
      </c>
      <c r="E30" s="169" t="s">
        <v>477</v>
      </c>
      <c r="F30" s="169" t="s">
        <v>478</v>
      </c>
      <c r="G30" s="169" t="s">
        <v>512</v>
      </c>
      <c r="H30" s="169">
        <v>1</v>
      </c>
      <c r="I30" s="169" t="s">
        <v>493</v>
      </c>
      <c r="J30" s="169" t="s">
        <v>518</v>
      </c>
      <c r="K30" s="169" t="s">
        <v>217</v>
      </c>
      <c r="L30" s="169" t="s">
        <v>514</v>
      </c>
      <c r="M30" s="169" t="s">
        <v>516</v>
      </c>
      <c r="N30" s="169">
        <v>32110</v>
      </c>
      <c r="O30" s="169">
        <v>600</v>
      </c>
      <c r="P30" s="169">
        <v>632</v>
      </c>
      <c r="Q30" s="169">
        <v>50.81</v>
      </c>
    </row>
    <row r="31" spans="1:17" ht="13.5" x14ac:dyDescent="0.25">
      <c r="A31" s="169" t="s">
        <v>476</v>
      </c>
      <c r="B31" s="169" t="s">
        <v>245</v>
      </c>
      <c r="C31" s="169" t="s">
        <v>482</v>
      </c>
      <c r="D31" s="174">
        <v>46093</v>
      </c>
      <c r="E31" s="169" t="s">
        <v>477</v>
      </c>
      <c r="F31" s="169" t="s">
        <v>478</v>
      </c>
      <c r="G31" s="171" t="s">
        <v>512</v>
      </c>
      <c r="H31" s="169">
        <v>1</v>
      </c>
      <c r="I31" s="169" t="s">
        <v>493</v>
      </c>
      <c r="J31" s="169" t="s">
        <v>520</v>
      </c>
      <c r="K31" s="169" t="s">
        <v>231</v>
      </c>
      <c r="L31" s="169" t="s">
        <v>514</v>
      </c>
      <c r="M31" s="169" t="s">
        <v>516</v>
      </c>
      <c r="N31" s="169">
        <v>30410</v>
      </c>
      <c r="O31" s="169">
        <v>600</v>
      </c>
      <c r="P31" s="169">
        <v>600</v>
      </c>
      <c r="Q31" s="169">
        <v>50.68</v>
      </c>
    </row>
    <row r="32" spans="1:17" ht="13.5" x14ac:dyDescent="0.2">
      <c r="A32" s="169" t="s">
        <v>476</v>
      </c>
      <c r="B32" s="169" t="s">
        <v>246</v>
      </c>
      <c r="C32" s="169" t="s">
        <v>482</v>
      </c>
      <c r="D32" s="174">
        <v>46093</v>
      </c>
      <c r="E32" s="169" t="s">
        <v>477</v>
      </c>
      <c r="F32" s="169" t="s">
        <v>478</v>
      </c>
      <c r="G32" s="169" t="s">
        <v>512</v>
      </c>
      <c r="H32" s="169">
        <v>1</v>
      </c>
      <c r="I32" s="169" t="s">
        <v>493</v>
      </c>
      <c r="J32" s="169" t="s">
        <v>513</v>
      </c>
      <c r="K32" s="169" t="s">
        <v>211</v>
      </c>
      <c r="L32" s="169" t="s">
        <v>514</v>
      </c>
      <c r="M32" s="169" t="s">
        <v>483</v>
      </c>
      <c r="N32" s="169">
        <v>30550</v>
      </c>
      <c r="O32" s="169">
        <v>600</v>
      </c>
      <c r="P32" s="169">
        <v>600</v>
      </c>
      <c r="Q32" s="169">
        <v>50.92</v>
      </c>
    </row>
    <row r="33" spans="1:17" ht="13.5" x14ac:dyDescent="0.25">
      <c r="A33" s="169" t="s">
        <v>476</v>
      </c>
      <c r="B33" s="169" t="s">
        <v>247</v>
      </c>
      <c r="C33" s="169" t="s">
        <v>482</v>
      </c>
      <c r="D33" s="174">
        <v>46093</v>
      </c>
      <c r="E33" s="169" t="s">
        <v>477</v>
      </c>
      <c r="F33" s="169" t="s">
        <v>478</v>
      </c>
      <c r="G33" s="171" t="s">
        <v>512</v>
      </c>
      <c r="H33" s="169">
        <v>1</v>
      </c>
      <c r="I33" s="169" t="s">
        <v>493</v>
      </c>
      <c r="J33" s="169" t="s">
        <v>522</v>
      </c>
      <c r="K33" s="169" t="s">
        <v>215</v>
      </c>
      <c r="L33" s="169" t="s">
        <v>514</v>
      </c>
      <c r="M33" s="169" t="s">
        <v>483</v>
      </c>
      <c r="N33" s="169">
        <v>8320</v>
      </c>
      <c r="O33" s="169">
        <v>168</v>
      </c>
      <c r="P33" s="169">
        <v>168</v>
      </c>
      <c r="Q33" s="169">
        <v>49.52</v>
      </c>
    </row>
    <row r="34" spans="1:17" ht="13.5" x14ac:dyDescent="0.2">
      <c r="A34" s="169" t="s">
        <v>476</v>
      </c>
      <c r="B34" s="169" t="s">
        <v>254</v>
      </c>
      <c r="C34" s="169" t="s">
        <v>482</v>
      </c>
      <c r="D34" s="174">
        <v>46098</v>
      </c>
      <c r="E34" s="169" t="s">
        <v>477</v>
      </c>
      <c r="F34" s="169" t="s">
        <v>478</v>
      </c>
      <c r="G34" s="169" t="s">
        <v>479</v>
      </c>
      <c r="H34" s="169">
        <v>1</v>
      </c>
      <c r="I34" s="169" t="s">
        <v>480</v>
      </c>
      <c r="J34" s="169" t="s">
        <v>481</v>
      </c>
      <c r="K34" s="169" t="s">
        <v>252</v>
      </c>
      <c r="L34" s="169" t="s">
        <v>482</v>
      </c>
      <c r="M34" s="169" t="s">
        <v>483</v>
      </c>
      <c r="N34" s="169">
        <v>15270</v>
      </c>
      <c r="O34" s="169">
        <v>300</v>
      </c>
      <c r="P34" s="169">
        <v>300</v>
      </c>
      <c r="Q34" s="169">
        <v>50.9</v>
      </c>
    </row>
    <row r="35" spans="1:17" ht="13.5" x14ac:dyDescent="0.2">
      <c r="A35" s="169" t="s">
        <v>476</v>
      </c>
      <c r="B35" s="169" t="s">
        <v>255</v>
      </c>
      <c r="C35" s="169" t="s">
        <v>482</v>
      </c>
      <c r="D35" s="174">
        <v>46098</v>
      </c>
      <c r="E35" s="169" t="s">
        <v>477</v>
      </c>
      <c r="F35" s="169" t="s">
        <v>478</v>
      </c>
      <c r="G35" s="169" t="s">
        <v>479</v>
      </c>
      <c r="H35" s="169">
        <v>1</v>
      </c>
      <c r="I35" s="169" t="s">
        <v>493</v>
      </c>
      <c r="J35" s="169" t="s">
        <v>513</v>
      </c>
      <c r="K35" s="169" t="s">
        <v>211</v>
      </c>
      <c r="L35" s="169" t="s">
        <v>514</v>
      </c>
      <c r="M35" s="169" t="s">
        <v>483</v>
      </c>
      <c r="N35" s="169">
        <v>30610</v>
      </c>
      <c r="O35" s="169">
        <v>600</v>
      </c>
      <c r="P35" s="169">
        <v>600</v>
      </c>
      <c r="Q35" s="169">
        <v>51.02</v>
      </c>
    </row>
    <row r="36" spans="1:17" ht="13.5" x14ac:dyDescent="0.2">
      <c r="A36" s="169" t="s">
        <v>476</v>
      </c>
      <c r="B36" s="169" t="s">
        <v>278</v>
      </c>
      <c r="C36" s="169" t="s">
        <v>482</v>
      </c>
      <c r="D36" s="174">
        <v>46099</v>
      </c>
      <c r="E36" s="169" t="s">
        <v>477</v>
      </c>
      <c r="F36" s="169" t="s">
        <v>478</v>
      </c>
      <c r="G36" s="169" t="s">
        <v>479</v>
      </c>
      <c r="H36" s="169">
        <v>1</v>
      </c>
      <c r="I36" s="169" t="s">
        <v>493</v>
      </c>
      <c r="J36" s="169" t="s">
        <v>481</v>
      </c>
      <c r="K36" s="169" t="s">
        <v>231</v>
      </c>
      <c r="L36" s="169" t="s">
        <v>514</v>
      </c>
      <c r="M36" s="169" t="s">
        <v>483</v>
      </c>
      <c r="N36" s="169">
        <v>17790</v>
      </c>
      <c r="O36" s="169">
        <v>354</v>
      </c>
      <c r="P36" s="169">
        <v>354</v>
      </c>
      <c r="Q36" s="169">
        <v>50.25</v>
      </c>
    </row>
    <row r="37" spans="1:17" ht="13.5" x14ac:dyDescent="0.2">
      <c r="A37" s="169" t="s">
        <v>476</v>
      </c>
      <c r="B37" s="169" t="s">
        <v>266</v>
      </c>
      <c r="C37" s="169" t="s">
        <v>482</v>
      </c>
      <c r="D37" s="174">
        <v>46099</v>
      </c>
      <c r="E37" s="169" t="s">
        <v>477</v>
      </c>
      <c r="F37" s="169" t="s">
        <v>478</v>
      </c>
      <c r="G37" s="169" t="s">
        <v>479</v>
      </c>
      <c r="H37" s="169">
        <v>1</v>
      </c>
      <c r="I37" s="169" t="s">
        <v>493</v>
      </c>
      <c r="J37" s="169" t="s">
        <v>518</v>
      </c>
      <c r="K37" s="169" t="s">
        <v>217</v>
      </c>
      <c r="L37" s="169" t="s">
        <v>514</v>
      </c>
      <c r="M37" s="169" t="s">
        <v>483</v>
      </c>
      <c r="N37" s="169">
        <v>30920</v>
      </c>
      <c r="O37" s="169">
        <v>595</v>
      </c>
      <c r="P37" s="169">
        <v>595</v>
      </c>
      <c r="Q37" s="169">
        <v>51.97</v>
      </c>
    </row>
    <row r="38" spans="1:17" ht="13.5" x14ac:dyDescent="0.2">
      <c r="A38" s="169" t="s">
        <v>476</v>
      </c>
      <c r="B38" s="169" t="s">
        <v>256</v>
      </c>
      <c r="C38" s="169" t="s">
        <v>482</v>
      </c>
      <c r="D38" s="174">
        <v>46100</v>
      </c>
      <c r="E38" s="169" t="s">
        <v>477</v>
      </c>
      <c r="F38" s="169" t="s">
        <v>478</v>
      </c>
      <c r="G38" s="169" t="s">
        <v>479</v>
      </c>
      <c r="H38" s="169">
        <v>1</v>
      </c>
      <c r="I38" s="169" t="s">
        <v>493</v>
      </c>
      <c r="J38" s="169" t="s">
        <v>513</v>
      </c>
      <c r="K38" s="169" t="s">
        <v>211</v>
      </c>
      <c r="L38" s="169" t="s">
        <v>514</v>
      </c>
      <c r="M38" s="169" t="s">
        <v>483</v>
      </c>
      <c r="N38" s="169">
        <v>29760</v>
      </c>
      <c r="O38" s="169">
        <v>600</v>
      </c>
      <c r="P38" s="169">
        <v>594</v>
      </c>
      <c r="Q38" s="169">
        <v>50.1</v>
      </c>
    </row>
    <row r="39" spans="1:17" ht="13.5" x14ac:dyDescent="0.2">
      <c r="A39" s="169" t="s">
        <v>476</v>
      </c>
      <c r="B39" s="169" t="s">
        <v>281</v>
      </c>
      <c r="C39" s="169" t="s">
        <v>482</v>
      </c>
      <c r="D39" s="174">
        <v>46100</v>
      </c>
      <c r="E39" s="169" t="s">
        <v>477</v>
      </c>
      <c r="F39" s="169" t="s">
        <v>478</v>
      </c>
      <c r="G39" s="169" t="s">
        <v>479</v>
      </c>
      <c r="H39" s="169">
        <v>1</v>
      </c>
      <c r="I39" s="169" t="s">
        <v>493</v>
      </c>
      <c r="J39" s="169" t="s">
        <v>481</v>
      </c>
      <c r="K39" s="169" t="s">
        <v>231</v>
      </c>
      <c r="L39" s="169" t="s">
        <v>514</v>
      </c>
      <c r="M39" s="169" t="s">
        <v>483</v>
      </c>
      <c r="N39" s="169">
        <v>30430</v>
      </c>
      <c r="O39" s="169">
        <v>600</v>
      </c>
      <c r="P39" s="169">
        <v>600</v>
      </c>
      <c r="Q39" s="169">
        <v>50.72</v>
      </c>
    </row>
    <row r="40" spans="1:17" ht="13.5" x14ac:dyDescent="0.2">
      <c r="A40" s="169" t="s">
        <v>476</v>
      </c>
      <c r="B40" s="169" t="s">
        <v>260</v>
      </c>
      <c r="C40" s="169" t="s">
        <v>482</v>
      </c>
      <c r="D40" s="174">
        <v>46100</v>
      </c>
      <c r="E40" s="169" t="s">
        <v>477</v>
      </c>
      <c r="F40" s="169" t="s">
        <v>478</v>
      </c>
      <c r="G40" s="169" t="s">
        <v>479</v>
      </c>
      <c r="H40" s="169">
        <v>1</v>
      </c>
      <c r="I40" s="169" t="s">
        <v>480</v>
      </c>
      <c r="J40" s="169" t="s">
        <v>484</v>
      </c>
      <c r="K40" s="169" t="s">
        <v>252</v>
      </c>
      <c r="L40" s="169" t="s">
        <v>482</v>
      </c>
      <c r="M40" s="169" t="s">
        <v>483</v>
      </c>
      <c r="N40" s="169">
        <v>12800</v>
      </c>
      <c r="O40" s="169">
        <v>272</v>
      </c>
      <c r="P40" s="169">
        <v>272</v>
      </c>
      <c r="Q40" s="169">
        <v>47.06</v>
      </c>
    </row>
    <row r="41" spans="1:17" ht="13.5" x14ac:dyDescent="0.2">
      <c r="A41" s="169" t="s">
        <v>476</v>
      </c>
      <c r="B41" s="169" t="s">
        <v>261</v>
      </c>
      <c r="C41" s="169" t="s">
        <v>482</v>
      </c>
      <c r="D41" s="174">
        <v>46100</v>
      </c>
      <c r="E41" s="169" t="s">
        <v>477</v>
      </c>
      <c r="F41" s="169" t="s">
        <v>478</v>
      </c>
      <c r="G41" s="169" t="s">
        <v>479</v>
      </c>
      <c r="H41" s="169">
        <v>1</v>
      </c>
      <c r="I41" s="169" t="s">
        <v>493</v>
      </c>
      <c r="J41" s="169" t="s">
        <v>523</v>
      </c>
      <c r="K41" s="169" t="s">
        <v>262</v>
      </c>
      <c r="L41" s="169" t="s">
        <v>524</v>
      </c>
      <c r="M41" s="169" t="s">
        <v>483</v>
      </c>
      <c r="N41" s="169">
        <v>27440</v>
      </c>
      <c r="O41" s="169">
        <v>538</v>
      </c>
      <c r="P41" s="169">
        <v>538</v>
      </c>
      <c r="Q41" s="169">
        <v>51</v>
      </c>
    </row>
    <row r="42" spans="1:17" ht="13.5" x14ac:dyDescent="0.2">
      <c r="A42" s="169" t="s">
        <v>476</v>
      </c>
      <c r="B42" s="169" t="s">
        <v>257</v>
      </c>
      <c r="C42" s="169" t="s">
        <v>482</v>
      </c>
      <c r="D42" s="174">
        <v>46100</v>
      </c>
      <c r="E42" s="169" t="s">
        <v>477</v>
      </c>
      <c r="F42" s="169" t="s">
        <v>478</v>
      </c>
      <c r="G42" s="169" t="s">
        <v>479</v>
      </c>
      <c r="H42" s="169">
        <v>1</v>
      </c>
      <c r="I42" s="169" t="s">
        <v>493</v>
      </c>
      <c r="J42" s="169" t="s">
        <v>513</v>
      </c>
      <c r="K42" s="169" t="s">
        <v>211</v>
      </c>
      <c r="L42" s="169" t="s">
        <v>514</v>
      </c>
      <c r="M42" s="169" t="s">
        <v>483</v>
      </c>
      <c r="N42" s="169">
        <v>30990</v>
      </c>
      <c r="O42" s="169">
        <v>600</v>
      </c>
      <c r="P42" s="169">
        <v>600</v>
      </c>
      <c r="Q42" s="169">
        <v>51.65</v>
      </c>
    </row>
    <row r="43" spans="1:17" ht="13.5" x14ac:dyDescent="0.2">
      <c r="A43" s="169" t="s">
        <v>476</v>
      </c>
      <c r="B43" s="169" t="s">
        <v>283</v>
      </c>
      <c r="C43" s="169" t="s">
        <v>482</v>
      </c>
      <c r="D43" s="174">
        <v>46101</v>
      </c>
      <c r="E43" s="169" t="s">
        <v>477</v>
      </c>
      <c r="F43" s="169" t="s">
        <v>478</v>
      </c>
      <c r="G43" s="169" t="s">
        <v>479</v>
      </c>
      <c r="H43" s="169">
        <v>1</v>
      </c>
      <c r="I43" s="169" t="s">
        <v>493</v>
      </c>
      <c r="J43" s="169" t="s">
        <v>481</v>
      </c>
      <c r="K43" s="169" t="s">
        <v>231</v>
      </c>
      <c r="L43" s="169" t="s">
        <v>514</v>
      </c>
      <c r="M43" s="169" t="s">
        <v>483</v>
      </c>
      <c r="N43" s="169">
        <v>30690</v>
      </c>
      <c r="O43" s="169">
        <v>600</v>
      </c>
      <c r="P43" s="169">
        <v>600</v>
      </c>
      <c r="Q43" s="169">
        <v>51.15</v>
      </c>
    </row>
    <row r="44" spans="1:17" ht="13.5" x14ac:dyDescent="0.2">
      <c r="A44" s="169" t="s">
        <v>476</v>
      </c>
      <c r="B44" s="169" t="s">
        <v>268</v>
      </c>
      <c r="C44" s="169" t="s">
        <v>482</v>
      </c>
      <c r="D44" s="174">
        <v>46101</v>
      </c>
      <c r="E44" s="169" t="s">
        <v>477</v>
      </c>
      <c r="F44" s="169" t="s">
        <v>478</v>
      </c>
      <c r="G44" s="169" t="s">
        <v>479</v>
      </c>
      <c r="H44" s="169">
        <v>1</v>
      </c>
      <c r="I44" s="169" t="s">
        <v>493</v>
      </c>
      <c r="J44" s="169" t="s">
        <v>518</v>
      </c>
      <c r="K44" s="169" t="s">
        <v>217</v>
      </c>
      <c r="L44" s="169" t="s">
        <v>514</v>
      </c>
      <c r="M44" s="169" t="s">
        <v>483</v>
      </c>
      <c r="N44" s="169">
        <v>11276</v>
      </c>
      <c r="O44" s="169">
        <v>222</v>
      </c>
      <c r="P44" s="169">
        <v>222</v>
      </c>
      <c r="Q44" s="169">
        <v>50.78</v>
      </c>
    </row>
    <row r="45" spans="1:17" ht="13.5" x14ac:dyDescent="0.25">
      <c r="A45" s="169" t="s">
        <v>476</v>
      </c>
      <c r="B45" s="169" t="s">
        <v>268</v>
      </c>
      <c r="C45" s="169" t="s">
        <v>482</v>
      </c>
      <c r="D45" s="173">
        <v>46118</v>
      </c>
      <c r="E45" s="169" t="s">
        <v>477</v>
      </c>
      <c r="F45" s="169" t="s">
        <v>478</v>
      </c>
      <c r="G45" s="171" t="s">
        <v>479</v>
      </c>
      <c r="H45" s="169">
        <v>3</v>
      </c>
      <c r="I45" s="169" t="s">
        <v>493</v>
      </c>
      <c r="J45" s="169" t="s">
        <v>518</v>
      </c>
      <c r="K45" s="169" t="s">
        <v>217</v>
      </c>
      <c r="L45" s="169" t="s">
        <v>514</v>
      </c>
      <c r="M45" s="169" t="s">
        <v>483</v>
      </c>
      <c r="N45" s="169">
        <v>19194</v>
      </c>
      <c r="O45" s="169">
        <v>378</v>
      </c>
      <c r="P45" s="169">
        <v>378</v>
      </c>
      <c r="Q45" s="169">
        <v>50.78</v>
      </c>
    </row>
    <row r="46" spans="1:17" ht="13.5" x14ac:dyDescent="0.2">
      <c r="A46" s="169" t="s">
        <v>476</v>
      </c>
      <c r="B46" s="169" t="s">
        <v>267</v>
      </c>
      <c r="C46" s="169" t="s">
        <v>482</v>
      </c>
      <c r="D46" s="174">
        <v>46101</v>
      </c>
      <c r="E46" s="169" t="s">
        <v>477</v>
      </c>
      <c r="F46" s="169" t="s">
        <v>478</v>
      </c>
      <c r="G46" s="169" t="s">
        <v>479</v>
      </c>
      <c r="H46" s="169">
        <v>1</v>
      </c>
      <c r="I46" s="169" t="s">
        <v>493</v>
      </c>
      <c r="J46" s="169" t="s">
        <v>523</v>
      </c>
      <c r="K46" s="169" t="s">
        <v>262</v>
      </c>
      <c r="L46" s="169" t="s">
        <v>524</v>
      </c>
      <c r="M46" s="169" t="s">
        <v>483</v>
      </c>
      <c r="N46" s="169">
        <v>4897</v>
      </c>
      <c r="O46" s="169">
        <v>96</v>
      </c>
      <c r="P46" s="169">
        <v>96</v>
      </c>
      <c r="Q46" s="169">
        <v>50.98</v>
      </c>
    </row>
    <row r="47" spans="1:17" ht="13.5" x14ac:dyDescent="0.25">
      <c r="A47" s="169" t="s">
        <v>476</v>
      </c>
      <c r="B47" s="169" t="s">
        <v>267</v>
      </c>
      <c r="C47" s="169" t="s">
        <v>482</v>
      </c>
      <c r="D47" s="173">
        <v>46118</v>
      </c>
      <c r="E47" s="169" t="s">
        <v>477</v>
      </c>
      <c r="F47" s="169" t="s">
        <v>478</v>
      </c>
      <c r="G47" s="171" t="s">
        <v>479</v>
      </c>
      <c r="H47" s="169">
        <v>3</v>
      </c>
      <c r="I47" s="169" t="s">
        <v>493</v>
      </c>
      <c r="J47" s="169" t="s">
        <v>523</v>
      </c>
      <c r="K47" s="169" t="s">
        <v>262</v>
      </c>
      <c r="L47" s="169" t="s">
        <v>524</v>
      </c>
      <c r="M47" s="169" t="s">
        <v>483</v>
      </c>
      <c r="N47" s="169">
        <v>25693</v>
      </c>
      <c r="O47" s="169">
        <v>504</v>
      </c>
      <c r="P47" s="169">
        <v>504</v>
      </c>
      <c r="Q47" s="169">
        <v>50.98</v>
      </c>
    </row>
    <row r="48" spans="1:17" ht="13.5" x14ac:dyDescent="0.2">
      <c r="A48" s="169" t="s">
        <v>476</v>
      </c>
      <c r="B48" s="169" t="s">
        <v>258</v>
      </c>
      <c r="C48" s="169" t="s">
        <v>482</v>
      </c>
      <c r="D48" s="174">
        <v>46101</v>
      </c>
      <c r="E48" s="169" t="s">
        <v>477</v>
      </c>
      <c r="F48" s="169" t="s">
        <v>478</v>
      </c>
      <c r="G48" s="169" t="s">
        <v>479</v>
      </c>
      <c r="H48" s="169">
        <v>1</v>
      </c>
      <c r="I48" s="169" t="s">
        <v>493</v>
      </c>
      <c r="J48" s="169" t="s">
        <v>513</v>
      </c>
      <c r="K48" s="169" t="s">
        <v>211</v>
      </c>
      <c r="L48" s="169" t="s">
        <v>514</v>
      </c>
      <c r="M48" s="169" t="s">
        <v>483</v>
      </c>
      <c r="N48" s="169">
        <v>31000</v>
      </c>
      <c r="O48" s="169">
        <v>600</v>
      </c>
      <c r="P48" s="169">
        <v>600</v>
      </c>
      <c r="Q48" s="169">
        <v>51.67</v>
      </c>
    </row>
    <row r="49" spans="1:17" ht="13.5" x14ac:dyDescent="0.2">
      <c r="A49" s="169" t="s">
        <v>476</v>
      </c>
      <c r="B49" s="169" t="s">
        <v>285</v>
      </c>
      <c r="C49" s="169" t="s">
        <v>482</v>
      </c>
      <c r="D49" s="174">
        <v>46101</v>
      </c>
      <c r="E49" s="169" t="s">
        <v>477</v>
      </c>
      <c r="F49" s="169" t="s">
        <v>478</v>
      </c>
      <c r="G49" s="169" t="s">
        <v>479</v>
      </c>
      <c r="H49" s="169">
        <v>1</v>
      </c>
      <c r="I49" s="169" t="s">
        <v>493</v>
      </c>
      <c r="J49" s="169" t="s">
        <v>481</v>
      </c>
      <c r="K49" s="169" t="s">
        <v>231</v>
      </c>
      <c r="L49" s="169" t="s">
        <v>514</v>
      </c>
      <c r="M49" s="169" t="s">
        <v>483</v>
      </c>
      <c r="N49" s="169">
        <v>30950</v>
      </c>
      <c r="O49" s="169">
        <v>600</v>
      </c>
      <c r="P49" s="169">
        <v>600</v>
      </c>
      <c r="Q49" s="169">
        <v>51.58</v>
      </c>
    </row>
    <row r="50" spans="1:17" ht="13.5" x14ac:dyDescent="0.2">
      <c r="A50" s="169" t="s">
        <v>476</v>
      </c>
      <c r="B50" s="169" t="s">
        <v>269</v>
      </c>
      <c r="C50" s="169" t="s">
        <v>482</v>
      </c>
      <c r="D50" s="174">
        <v>46102</v>
      </c>
      <c r="E50" s="169" t="s">
        <v>477</v>
      </c>
      <c r="F50" s="169" t="s">
        <v>478</v>
      </c>
      <c r="G50" s="169" t="s">
        <v>479</v>
      </c>
      <c r="H50" s="169">
        <v>1</v>
      </c>
      <c r="I50" s="169" t="s">
        <v>493</v>
      </c>
      <c r="J50" s="169" t="s">
        <v>518</v>
      </c>
      <c r="K50" s="169" t="s">
        <v>217</v>
      </c>
      <c r="L50" s="169" t="s">
        <v>514</v>
      </c>
      <c r="M50" s="169" t="s">
        <v>483</v>
      </c>
      <c r="N50" s="169">
        <v>1530</v>
      </c>
      <c r="O50" s="169">
        <v>30</v>
      </c>
      <c r="P50" s="169">
        <v>30</v>
      </c>
      <c r="Q50" s="169">
        <v>50.98</v>
      </c>
    </row>
    <row r="51" spans="1:17" ht="13.5" x14ac:dyDescent="0.25">
      <c r="A51" s="169" t="s">
        <v>476</v>
      </c>
      <c r="B51" s="169" t="s">
        <v>269</v>
      </c>
      <c r="C51" s="169" t="s">
        <v>482</v>
      </c>
      <c r="D51" s="173">
        <v>46118</v>
      </c>
      <c r="E51" s="169" t="s">
        <v>477</v>
      </c>
      <c r="F51" s="169" t="s">
        <v>478</v>
      </c>
      <c r="G51" s="171" t="s">
        <v>479</v>
      </c>
      <c r="H51" s="169">
        <v>3</v>
      </c>
      <c r="I51" s="169" t="s">
        <v>493</v>
      </c>
      <c r="J51" s="169" t="s">
        <v>518</v>
      </c>
      <c r="K51" s="169" t="s">
        <v>217</v>
      </c>
      <c r="L51" s="169" t="s">
        <v>514</v>
      </c>
      <c r="M51" s="169" t="s">
        <v>483</v>
      </c>
      <c r="N51" s="169">
        <v>7952</v>
      </c>
      <c r="O51" s="169">
        <v>156</v>
      </c>
      <c r="P51" s="169">
        <v>156</v>
      </c>
      <c r="Q51" s="169">
        <v>50.98</v>
      </c>
    </row>
    <row r="52" spans="1:17" ht="13.5" x14ac:dyDescent="0.2">
      <c r="A52" s="169" t="s">
        <v>476</v>
      </c>
      <c r="B52" s="169" t="s">
        <v>269</v>
      </c>
      <c r="C52" s="169" t="s">
        <v>482</v>
      </c>
      <c r="D52" s="174">
        <v>46102</v>
      </c>
      <c r="E52" s="169" t="s">
        <v>477</v>
      </c>
      <c r="F52" s="169" t="s">
        <v>478</v>
      </c>
      <c r="G52" s="169" t="s">
        <v>479</v>
      </c>
      <c r="H52" s="169">
        <v>3</v>
      </c>
      <c r="I52" s="169" t="s">
        <v>493</v>
      </c>
      <c r="J52" s="169">
        <v>0</v>
      </c>
      <c r="K52" s="169">
        <v>0</v>
      </c>
      <c r="L52" s="169">
        <v>0</v>
      </c>
      <c r="M52" s="169">
        <v>0</v>
      </c>
      <c r="N52" s="169">
        <v>21108</v>
      </c>
      <c r="O52" s="169">
        <v>414</v>
      </c>
      <c r="P52" s="169">
        <v>414</v>
      </c>
      <c r="Q52" s="169">
        <v>50.99</v>
      </c>
    </row>
    <row r="53" spans="1:17" ht="13.5" x14ac:dyDescent="0.2">
      <c r="A53" s="169" t="s">
        <v>476</v>
      </c>
      <c r="B53" s="169" t="s">
        <v>290</v>
      </c>
      <c r="C53" s="169" t="s">
        <v>482</v>
      </c>
      <c r="D53" s="174">
        <v>46102</v>
      </c>
      <c r="E53" s="169" t="s">
        <v>477</v>
      </c>
      <c r="F53" s="169" t="s">
        <v>478</v>
      </c>
      <c r="G53" s="169" t="s">
        <v>479</v>
      </c>
      <c r="H53" s="169">
        <v>3</v>
      </c>
      <c r="I53" s="169" t="s">
        <v>493</v>
      </c>
      <c r="J53" s="169" t="s">
        <v>517</v>
      </c>
      <c r="K53" s="169" t="s">
        <v>215</v>
      </c>
      <c r="L53" s="169" t="s">
        <v>514</v>
      </c>
      <c r="M53" s="169" t="s">
        <v>483</v>
      </c>
      <c r="N53" s="169">
        <v>30590</v>
      </c>
      <c r="O53" s="169">
        <v>600</v>
      </c>
      <c r="P53" s="169">
        <v>601</v>
      </c>
      <c r="Q53" s="169">
        <v>50.9</v>
      </c>
    </row>
    <row r="54" spans="1:17" ht="13.5" x14ac:dyDescent="0.2">
      <c r="A54" s="169" t="s">
        <v>476</v>
      </c>
      <c r="B54" s="169" t="s">
        <v>271</v>
      </c>
      <c r="C54" s="169" t="s">
        <v>482</v>
      </c>
      <c r="D54" s="174">
        <v>46102</v>
      </c>
      <c r="E54" s="169" t="s">
        <v>477</v>
      </c>
      <c r="F54" s="169" t="s">
        <v>478</v>
      </c>
      <c r="G54" s="169" t="s">
        <v>479</v>
      </c>
      <c r="H54" s="169">
        <v>3</v>
      </c>
      <c r="I54" s="169" t="s">
        <v>493</v>
      </c>
      <c r="J54" s="169" t="s">
        <v>523</v>
      </c>
      <c r="K54" s="169" t="s">
        <v>262</v>
      </c>
      <c r="L54" s="169" t="s">
        <v>524</v>
      </c>
      <c r="M54" s="169" t="s">
        <v>483</v>
      </c>
      <c r="N54" s="169">
        <v>27220</v>
      </c>
      <c r="O54" s="169">
        <v>523</v>
      </c>
      <c r="P54" s="169">
        <v>523</v>
      </c>
      <c r="Q54" s="169">
        <v>52.05</v>
      </c>
    </row>
    <row r="55" spans="1:17" ht="13.5" x14ac:dyDescent="0.2">
      <c r="A55" s="169" t="s">
        <v>476</v>
      </c>
      <c r="B55" s="169" t="s">
        <v>272</v>
      </c>
      <c r="C55" s="169" t="s">
        <v>482</v>
      </c>
      <c r="D55" s="174">
        <v>46102</v>
      </c>
      <c r="E55" s="169" t="s">
        <v>477</v>
      </c>
      <c r="F55" s="169" t="s">
        <v>478</v>
      </c>
      <c r="G55" s="169" t="s">
        <v>479</v>
      </c>
      <c r="H55" s="169">
        <v>3</v>
      </c>
      <c r="I55" s="169" t="s">
        <v>493</v>
      </c>
      <c r="J55" s="169" t="s">
        <v>525</v>
      </c>
      <c r="K55" s="169" t="s">
        <v>273</v>
      </c>
      <c r="L55" s="169" t="s">
        <v>524</v>
      </c>
      <c r="M55" s="169" t="s">
        <v>483</v>
      </c>
      <c r="N55" s="169">
        <v>31260</v>
      </c>
      <c r="O55" s="169">
        <v>600</v>
      </c>
      <c r="P55" s="169">
        <v>600</v>
      </c>
      <c r="Q55" s="169">
        <v>52.1</v>
      </c>
    </row>
    <row r="56" spans="1:17" ht="13.5" x14ac:dyDescent="0.2">
      <c r="A56" s="169" t="s">
        <v>476</v>
      </c>
      <c r="B56" s="169" t="s">
        <v>259</v>
      </c>
      <c r="C56" s="169" t="s">
        <v>482</v>
      </c>
      <c r="D56" s="174">
        <v>46103</v>
      </c>
      <c r="E56" s="169" t="s">
        <v>477</v>
      </c>
      <c r="F56" s="169" t="s">
        <v>478</v>
      </c>
      <c r="G56" s="169" t="s">
        <v>479</v>
      </c>
      <c r="H56" s="169">
        <v>3</v>
      </c>
      <c r="I56" s="169" t="s">
        <v>493</v>
      </c>
      <c r="J56" s="169" t="s">
        <v>513</v>
      </c>
      <c r="K56" s="169" t="s">
        <v>211</v>
      </c>
      <c r="L56" s="169" t="s">
        <v>514</v>
      </c>
      <c r="M56" s="169" t="s">
        <v>483</v>
      </c>
      <c r="N56" s="169">
        <v>31080</v>
      </c>
      <c r="O56" s="169">
        <v>600</v>
      </c>
      <c r="P56" s="169">
        <v>600</v>
      </c>
      <c r="Q56" s="169">
        <v>51.8</v>
      </c>
    </row>
    <row r="57" spans="1:17" ht="13.5" x14ac:dyDescent="0.2">
      <c r="A57" s="169" t="s">
        <v>476</v>
      </c>
      <c r="B57" s="169" t="s">
        <v>275</v>
      </c>
      <c r="C57" s="169" t="s">
        <v>482</v>
      </c>
      <c r="D57" s="174">
        <v>46103</v>
      </c>
      <c r="E57" s="169" t="s">
        <v>477</v>
      </c>
      <c r="F57" s="169" t="s">
        <v>478</v>
      </c>
      <c r="G57" s="169" t="s">
        <v>479</v>
      </c>
      <c r="H57" s="169">
        <v>3</v>
      </c>
      <c r="I57" s="169" t="s">
        <v>493</v>
      </c>
      <c r="J57" s="169" t="s">
        <v>526</v>
      </c>
      <c r="K57" s="169" t="s">
        <v>276</v>
      </c>
      <c r="L57" s="169" t="s">
        <v>524</v>
      </c>
      <c r="M57" s="169" t="s">
        <v>483</v>
      </c>
      <c r="N57" s="169">
        <v>28920</v>
      </c>
      <c r="O57" s="169">
        <v>600</v>
      </c>
      <c r="P57" s="169">
        <v>569</v>
      </c>
      <c r="Q57" s="169">
        <v>50.83</v>
      </c>
    </row>
    <row r="58" spans="1:17" ht="13.5" x14ac:dyDescent="0.2">
      <c r="A58" s="169" t="s">
        <v>476</v>
      </c>
      <c r="B58" s="169" t="s">
        <v>291</v>
      </c>
      <c r="C58" s="169" t="s">
        <v>482</v>
      </c>
      <c r="D58" s="174">
        <v>46104</v>
      </c>
      <c r="E58" s="169" t="s">
        <v>477</v>
      </c>
      <c r="F58" s="169" t="s">
        <v>478</v>
      </c>
      <c r="G58" s="169" t="s">
        <v>479</v>
      </c>
      <c r="H58" s="169">
        <v>3</v>
      </c>
      <c r="I58" s="169" t="s">
        <v>493</v>
      </c>
      <c r="J58" s="169" t="s">
        <v>517</v>
      </c>
      <c r="K58" s="169" t="s">
        <v>215</v>
      </c>
      <c r="L58" s="169" t="s">
        <v>514</v>
      </c>
      <c r="M58" s="169" t="s">
        <v>483</v>
      </c>
      <c r="N58" s="169">
        <v>31200</v>
      </c>
      <c r="O58" s="169">
        <v>600</v>
      </c>
      <c r="P58" s="169">
        <v>600</v>
      </c>
      <c r="Q58" s="169">
        <v>52</v>
      </c>
    </row>
    <row r="59" spans="1:17" ht="13.5" x14ac:dyDescent="0.2">
      <c r="A59" s="169" t="s">
        <v>476</v>
      </c>
      <c r="B59" s="169" t="s">
        <v>270</v>
      </c>
      <c r="C59" s="169" t="s">
        <v>482</v>
      </c>
      <c r="D59" s="174">
        <v>46104</v>
      </c>
      <c r="E59" s="169" t="s">
        <v>477</v>
      </c>
      <c r="F59" s="169" t="s">
        <v>478</v>
      </c>
      <c r="G59" s="169" t="s">
        <v>479</v>
      </c>
      <c r="H59" s="169">
        <v>3</v>
      </c>
      <c r="I59" s="169" t="s">
        <v>493</v>
      </c>
      <c r="J59" s="169" t="s">
        <v>518</v>
      </c>
      <c r="K59" s="169" t="s">
        <v>217</v>
      </c>
      <c r="L59" s="169" t="s">
        <v>514</v>
      </c>
      <c r="M59" s="169" t="s">
        <v>483</v>
      </c>
      <c r="N59" s="169">
        <v>30800</v>
      </c>
      <c r="O59" s="169">
        <v>600</v>
      </c>
      <c r="P59" s="169">
        <v>600</v>
      </c>
      <c r="Q59" s="169">
        <v>51.33</v>
      </c>
    </row>
    <row r="60" spans="1:17" ht="13.5" x14ac:dyDescent="0.2">
      <c r="A60" s="169" t="s">
        <v>476</v>
      </c>
      <c r="B60" s="169" t="s">
        <v>279</v>
      </c>
      <c r="C60" s="169" t="s">
        <v>482</v>
      </c>
      <c r="D60" s="174">
        <v>46105</v>
      </c>
      <c r="E60" s="169" t="s">
        <v>477</v>
      </c>
      <c r="F60" s="169" t="s">
        <v>478</v>
      </c>
      <c r="G60" s="169" t="s">
        <v>479</v>
      </c>
      <c r="H60" s="169">
        <v>3</v>
      </c>
      <c r="I60" s="169" t="s">
        <v>493</v>
      </c>
      <c r="J60" s="169" t="s">
        <v>523</v>
      </c>
      <c r="K60" s="169" t="s">
        <v>262</v>
      </c>
      <c r="L60" s="169" t="s">
        <v>524</v>
      </c>
      <c r="M60" s="169" t="s">
        <v>483</v>
      </c>
      <c r="N60" s="169">
        <v>27580</v>
      </c>
      <c r="O60" s="169">
        <v>540</v>
      </c>
      <c r="P60" s="169">
        <v>540</v>
      </c>
      <c r="Q60" s="169">
        <v>51.07</v>
      </c>
    </row>
    <row r="61" spans="1:17" ht="13.5" x14ac:dyDescent="0.2">
      <c r="A61" s="169" t="s">
        <v>476</v>
      </c>
      <c r="B61" s="169" t="s">
        <v>280</v>
      </c>
      <c r="C61" s="169" t="s">
        <v>482</v>
      </c>
      <c r="D61" s="174">
        <v>46105</v>
      </c>
      <c r="E61" s="169" t="s">
        <v>477</v>
      </c>
      <c r="F61" s="169" t="s">
        <v>478</v>
      </c>
      <c r="G61" s="169" t="s">
        <v>479</v>
      </c>
      <c r="H61" s="169">
        <v>3</v>
      </c>
      <c r="I61" s="169" t="s">
        <v>493</v>
      </c>
      <c r="J61" s="169" t="s">
        <v>525</v>
      </c>
      <c r="K61" s="169" t="s">
        <v>273</v>
      </c>
      <c r="L61" s="169" t="s">
        <v>524</v>
      </c>
      <c r="M61" s="169" t="s">
        <v>483</v>
      </c>
      <c r="N61" s="169">
        <v>8780</v>
      </c>
      <c r="O61" s="169">
        <v>172</v>
      </c>
      <c r="P61" s="169">
        <v>172</v>
      </c>
      <c r="Q61" s="169">
        <v>51.05</v>
      </c>
    </row>
    <row r="62" spans="1:17" ht="13.5" x14ac:dyDescent="0.2">
      <c r="A62" s="169" t="s">
        <v>476</v>
      </c>
      <c r="B62" s="169" t="s">
        <v>263</v>
      </c>
      <c r="C62" s="169" t="s">
        <v>482</v>
      </c>
      <c r="D62" s="174">
        <v>46105</v>
      </c>
      <c r="E62" s="169" t="s">
        <v>477</v>
      </c>
      <c r="F62" s="169" t="s">
        <v>478</v>
      </c>
      <c r="G62" s="169" t="s">
        <v>479</v>
      </c>
      <c r="H62" s="169">
        <v>3</v>
      </c>
      <c r="I62" s="169" t="s">
        <v>493</v>
      </c>
      <c r="J62" s="169" t="s">
        <v>513</v>
      </c>
      <c r="K62" s="169" t="s">
        <v>211</v>
      </c>
      <c r="L62" s="169" t="s">
        <v>514</v>
      </c>
      <c r="M62" s="169" t="s">
        <v>483</v>
      </c>
      <c r="N62" s="169">
        <v>31300</v>
      </c>
      <c r="O62" s="169">
        <v>600</v>
      </c>
      <c r="P62" s="169">
        <v>603</v>
      </c>
      <c r="Q62" s="169">
        <v>51.91</v>
      </c>
    </row>
    <row r="63" spans="1:17" ht="13.5" x14ac:dyDescent="0.2">
      <c r="A63" s="169" t="s">
        <v>476</v>
      </c>
      <c r="B63" s="169" t="s">
        <v>282</v>
      </c>
      <c r="C63" s="169" t="s">
        <v>482</v>
      </c>
      <c r="D63" s="174">
        <v>46105</v>
      </c>
      <c r="E63" s="169" t="s">
        <v>477</v>
      </c>
      <c r="F63" s="169" t="s">
        <v>478</v>
      </c>
      <c r="G63" s="169" t="s">
        <v>479</v>
      </c>
      <c r="H63" s="169">
        <v>3</v>
      </c>
      <c r="I63" s="169" t="s">
        <v>493</v>
      </c>
      <c r="J63" s="169" t="s">
        <v>526</v>
      </c>
      <c r="K63" s="169" t="s">
        <v>276</v>
      </c>
      <c r="L63" s="169" t="s">
        <v>524</v>
      </c>
      <c r="M63" s="169" t="s">
        <v>483</v>
      </c>
      <c r="N63" s="169">
        <v>30920</v>
      </c>
      <c r="O63" s="169">
        <v>600</v>
      </c>
      <c r="P63" s="169">
        <v>600</v>
      </c>
      <c r="Q63" s="169">
        <v>51.53</v>
      </c>
    </row>
    <row r="64" spans="1:17" ht="13.5" x14ac:dyDescent="0.2">
      <c r="A64" s="169" t="s">
        <v>476</v>
      </c>
      <c r="B64" s="169" t="s">
        <v>294</v>
      </c>
      <c r="C64" s="169" t="s">
        <v>482</v>
      </c>
      <c r="D64" s="174">
        <v>46105</v>
      </c>
      <c r="E64" s="169" t="s">
        <v>477</v>
      </c>
      <c r="F64" s="169" t="s">
        <v>478</v>
      </c>
      <c r="G64" s="169" t="s">
        <v>479</v>
      </c>
      <c r="H64" s="169">
        <v>3</v>
      </c>
      <c r="I64" s="169" t="s">
        <v>493</v>
      </c>
      <c r="J64" s="169" t="s">
        <v>517</v>
      </c>
      <c r="K64" s="169" t="s">
        <v>215</v>
      </c>
      <c r="L64" s="169" t="s">
        <v>514</v>
      </c>
      <c r="M64" s="169" t="s">
        <v>483</v>
      </c>
      <c r="N64" s="169">
        <v>31380</v>
      </c>
      <c r="O64" s="169">
        <v>600</v>
      </c>
      <c r="P64" s="169">
        <v>600</v>
      </c>
      <c r="Q64" s="169">
        <v>52.3</v>
      </c>
    </row>
    <row r="65" spans="1:17" ht="13.5" x14ac:dyDescent="0.2">
      <c r="A65" s="169" t="s">
        <v>476</v>
      </c>
      <c r="B65" s="169" t="s">
        <v>284</v>
      </c>
      <c r="C65" s="169" t="s">
        <v>482</v>
      </c>
      <c r="D65" s="174">
        <v>46106</v>
      </c>
      <c r="E65" s="169" t="s">
        <v>477</v>
      </c>
      <c r="F65" s="169" t="s">
        <v>478</v>
      </c>
      <c r="G65" s="169" t="s">
        <v>479</v>
      </c>
      <c r="H65" s="169">
        <v>3</v>
      </c>
      <c r="I65" s="169" t="s">
        <v>493</v>
      </c>
      <c r="J65" s="169" t="s">
        <v>525</v>
      </c>
      <c r="K65" s="169" t="s">
        <v>273</v>
      </c>
      <c r="L65" s="169" t="s">
        <v>524</v>
      </c>
      <c r="M65" s="169" t="s">
        <v>483</v>
      </c>
      <c r="N65" s="169">
        <v>31040</v>
      </c>
      <c r="O65" s="169">
        <v>600</v>
      </c>
      <c r="P65" s="169">
        <v>600</v>
      </c>
      <c r="Q65" s="169">
        <v>51.73</v>
      </c>
    </row>
    <row r="66" spans="1:17" ht="13.5" x14ac:dyDescent="0.2">
      <c r="A66" s="169" t="s">
        <v>476</v>
      </c>
      <c r="B66" s="169" t="s">
        <v>274</v>
      </c>
      <c r="C66" s="169" t="s">
        <v>482</v>
      </c>
      <c r="D66" s="174">
        <v>46106</v>
      </c>
      <c r="E66" s="169" t="s">
        <v>477</v>
      </c>
      <c r="F66" s="169" t="s">
        <v>478</v>
      </c>
      <c r="G66" s="169" t="s">
        <v>479</v>
      </c>
      <c r="H66" s="169">
        <v>3</v>
      </c>
      <c r="I66" s="169" t="s">
        <v>493</v>
      </c>
      <c r="J66" s="169" t="s">
        <v>518</v>
      </c>
      <c r="K66" s="169" t="s">
        <v>217</v>
      </c>
      <c r="L66" s="169" t="s">
        <v>514</v>
      </c>
      <c r="M66" s="169" t="s">
        <v>483</v>
      </c>
      <c r="N66" s="169">
        <v>31270</v>
      </c>
      <c r="O66" s="169">
        <v>600</v>
      </c>
      <c r="P66" s="169">
        <v>604</v>
      </c>
      <c r="Q66" s="169">
        <v>51.77</v>
      </c>
    </row>
    <row r="67" spans="1:17" ht="13.5" x14ac:dyDescent="0.2">
      <c r="A67" s="169" t="s">
        <v>476</v>
      </c>
      <c r="B67" s="169" t="s">
        <v>286</v>
      </c>
      <c r="C67" s="169" t="s">
        <v>482</v>
      </c>
      <c r="D67" s="174">
        <v>46106</v>
      </c>
      <c r="E67" s="169" t="s">
        <v>477</v>
      </c>
      <c r="F67" s="169" t="s">
        <v>478</v>
      </c>
      <c r="G67" s="169" t="s">
        <v>479</v>
      </c>
      <c r="H67" s="169">
        <v>3</v>
      </c>
      <c r="I67" s="169" t="s">
        <v>493</v>
      </c>
      <c r="J67" s="169" t="s">
        <v>523</v>
      </c>
      <c r="K67" s="169" t="s">
        <v>262</v>
      </c>
      <c r="L67" s="169" t="s">
        <v>524</v>
      </c>
      <c r="M67" s="169" t="s">
        <v>483</v>
      </c>
      <c r="N67" s="169">
        <v>29730</v>
      </c>
      <c r="O67" s="169">
        <v>568</v>
      </c>
      <c r="P67" s="169">
        <v>568</v>
      </c>
      <c r="Q67" s="169">
        <v>52.34</v>
      </c>
    </row>
    <row r="68" spans="1:17" ht="13.5" x14ac:dyDescent="0.2">
      <c r="A68" s="169" t="s">
        <v>476</v>
      </c>
      <c r="B68" s="169" t="s">
        <v>264</v>
      </c>
      <c r="C68" s="169" t="s">
        <v>482</v>
      </c>
      <c r="D68" s="174">
        <v>46106</v>
      </c>
      <c r="E68" s="169" t="s">
        <v>477</v>
      </c>
      <c r="F68" s="169" t="s">
        <v>478</v>
      </c>
      <c r="G68" s="169" t="s">
        <v>479</v>
      </c>
      <c r="H68" s="169">
        <v>3</v>
      </c>
      <c r="I68" s="169" t="s">
        <v>493</v>
      </c>
      <c r="J68" s="169" t="s">
        <v>513</v>
      </c>
      <c r="K68" s="169" t="s">
        <v>211</v>
      </c>
      <c r="L68" s="169" t="s">
        <v>514</v>
      </c>
      <c r="M68" s="169" t="s">
        <v>483</v>
      </c>
      <c r="N68" s="169">
        <v>30820</v>
      </c>
      <c r="O68" s="169">
        <v>600</v>
      </c>
      <c r="P68" s="169">
        <v>600</v>
      </c>
      <c r="Q68" s="169">
        <v>51.37</v>
      </c>
    </row>
    <row r="69" spans="1:17" ht="13.5" x14ac:dyDescent="0.2">
      <c r="A69" s="169" t="s">
        <v>476</v>
      </c>
      <c r="B69" s="169" t="s">
        <v>288</v>
      </c>
      <c r="C69" s="169" t="s">
        <v>482</v>
      </c>
      <c r="D69" s="174">
        <v>46106</v>
      </c>
      <c r="E69" s="169" t="s">
        <v>477</v>
      </c>
      <c r="F69" s="169" t="s">
        <v>478</v>
      </c>
      <c r="G69" s="169" t="s">
        <v>479</v>
      </c>
      <c r="H69" s="169">
        <v>3</v>
      </c>
      <c r="I69" s="169" t="s">
        <v>493</v>
      </c>
      <c r="J69" s="169" t="s">
        <v>526</v>
      </c>
      <c r="K69" s="169" t="s">
        <v>276</v>
      </c>
      <c r="L69" s="169" t="s">
        <v>524</v>
      </c>
      <c r="M69" s="169" t="s">
        <v>483</v>
      </c>
      <c r="N69" s="169">
        <v>31290</v>
      </c>
      <c r="O69" s="169">
        <v>600</v>
      </c>
      <c r="P69" s="169">
        <v>600</v>
      </c>
      <c r="Q69" s="169">
        <v>52.15</v>
      </c>
    </row>
    <row r="70" spans="1:17" ht="13.5" x14ac:dyDescent="0.2">
      <c r="A70" s="169" t="s">
        <v>476</v>
      </c>
      <c r="B70" s="169" t="s">
        <v>287</v>
      </c>
      <c r="C70" s="169" t="s">
        <v>482</v>
      </c>
      <c r="D70" s="174">
        <v>46106</v>
      </c>
      <c r="E70" s="169" t="s">
        <v>477</v>
      </c>
      <c r="F70" s="169" t="s">
        <v>478</v>
      </c>
      <c r="G70" s="169" t="s">
        <v>479</v>
      </c>
      <c r="H70" s="169">
        <v>3</v>
      </c>
      <c r="I70" s="169" t="s">
        <v>493</v>
      </c>
      <c r="J70" s="169" t="s">
        <v>481</v>
      </c>
      <c r="K70" s="169" t="s">
        <v>231</v>
      </c>
      <c r="L70" s="169" t="s">
        <v>514</v>
      </c>
      <c r="M70" s="169" t="s">
        <v>483</v>
      </c>
      <c r="N70" s="169">
        <v>31160</v>
      </c>
      <c r="O70" s="169">
        <v>600</v>
      </c>
      <c r="P70" s="169">
        <v>600</v>
      </c>
      <c r="Q70" s="169">
        <v>51.93</v>
      </c>
    </row>
    <row r="71" spans="1:17" ht="13.5" x14ac:dyDescent="0.2">
      <c r="A71" s="169" t="s">
        <v>476</v>
      </c>
      <c r="B71" s="169" t="s">
        <v>295</v>
      </c>
      <c r="C71" s="169" t="s">
        <v>482</v>
      </c>
      <c r="D71" s="174">
        <v>46106</v>
      </c>
      <c r="E71" s="169" t="s">
        <v>477</v>
      </c>
      <c r="F71" s="169" t="s">
        <v>478</v>
      </c>
      <c r="G71" s="169" t="s">
        <v>479</v>
      </c>
      <c r="H71" s="169">
        <v>3</v>
      </c>
      <c r="I71" s="169" t="s">
        <v>493</v>
      </c>
      <c r="J71" s="169" t="s">
        <v>517</v>
      </c>
      <c r="K71" s="169" t="s">
        <v>215</v>
      </c>
      <c r="L71" s="169" t="s">
        <v>514</v>
      </c>
      <c r="M71" s="169" t="s">
        <v>483</v>
      </c>
      <c r="N71" s="169">
        <v>31240</v>
      </c>
      <c r="O71" s="169">
        <v>600</v>
      </c>
      <c r="P71" s="169">
        <v>600</v>
      </c>
      <c r="Q71" s="169">
        <v>52.07</v>
      </c>
    </row>
    <row r="72" spans="1:17" ht="13.5" x14ac:dyDescent="0.2">
      <c r="A72" s="169" t="s">
        <v>476</v>
      </c>
      <c r="B72" s="169" t="s">
        <v>277</v>
      </c>
      <c r="C72" s="169" t="s">
        <v>482</v>
      </c>
      <c r="D72" s="174">
        <v>46107</v>
      </c>
      <c r="E72" s="169" t="s">
        <v>477</v>
      </c>
      <c r="F72" s="169" t="s">
        <v>478</v>
      </c>
      <c r="G72" s="169" t="s">
        <v>479</v>
      </c>
      <c r="H72" s="169">
        <v>3</v>
      </c>
      <c r="I72" s="169" t="s">
        <v>493</v>
      </c>
      <c r="J72" s="169" t="s">
        <v>518</v>
      </c>
      <c r="K72" s="169" t="s">
        <v>217</v>
      </c>
      <c r="L72" s="169" t="s">
        <v>514</v>
      </c>
      <c r="M72" s="169" t="s">
        <v>483</v>
      </c>
      <c r="N72" s="169">
        <v>30790</v>
      </c>
      <c r="O72" s="169">
        <v>600</v>
      </c>
      <c r="P72" s="169">
        <v>600</v>
      </c>
      <c r="Q72" s="169">
        <v>51.32</v>
      </c>
    </row>
    <row r="73" spans="1:17" ht="13.5" x14ac:dyDescent="0.2">
      <c r="A73" s="169" t="s">
        <v>476</v>
      </c>
      <c r="B73" s="169" t="s">
        <v>292</v>
      </c>
      <c r="C73" s="169" t="s">
        <v>482</v>
      </c>
      <c r="D73" s="174">
        <v>46107</v>
      </c>
      <c r="E73" s="169" t="s">
        <v>477</v>
      </c>
      <c r="F73" s="169" t="s">
        <v>478</v>
      </c>
      <c r="G73" s="169" t="s">
        <v>479</v>
      </c>
      <c r="H73" s="169">
        <v>3</v>
      </c>
      <c r="I73" s="169" t="s">
        <v>493</v>
      </c>
      <c r="J73" s="169" t="s">
        <v>525</v>
      </c>
      <c r="K73" s="169" t="s">
        <v>273</v>
      </c>
      <c r="L73" s="169" t="s">
        <v>524</v>
      </c>
      <c r="M73" s="169" t="s">
        <v>483</v>
      </c>
      <c r="N73" s="169">
        <v>30530</v>
      </c>
      <c r="O73" s="169">
        <v>594</v>
      </c>
      <c r="P73" s="169">
        <v>594</v>
      </c>
      <c r="Q73" s="169">
        <v>51.4</v>
      </c>
    </row>
    <row r="74" spans="1:17" ht="13.5" x14ac:dyDescent="0.2">
      <c r="A74" s="169" t="s">
        <v>476</v>
      </c>
      <c r="B74" s="169" t="s">
        <v>293</v>
      </c>
      <c r="C74" s="169" t="s">
        <v>482</v>
      </c>
      <c r="D74" s="174">
        <v>46108</v>
      </c>
      <c r="E74" s="169" t="s">
        <v>477</v>
      </c>
      <c r="F74" s="169" t="s">
        <v>478</v>
      </c>
      <c r="G74" s="169" t="s">
        <v>479</v>
      </c>
      <c r="H74" s="169">
        <v>3</v>
      </c>
      <c r="I74" s="169" t="s">
        <v>493</v>
      </c>
      <c r="J74" s="169" t="s">
        <v>523</v>
      </c>
      <c r="K74" s="169" t="s">
        <v>262</v>
      </c>
      <c r="L74" s="169" t="s">
        <v>524</v>
      </c>
      <c r="M74" s="169" t="s">
        <v>483</v>
      </c>
      <c r="N74" s="169">
        <v>30030</v>
      </c>
      <c r="O74" s="169">
        <v>590</v>
      </c>
      <c r="P74" s="169">
        <v>587</v>
      </c>
      <c r="Q74" s="169">
        <v>51.16</v>
      </c>
    </row>
    <row r="75" spans="1:17" ht="13.5" x14ac:dyDescent="0.2">
      <c r="A75" s="169" t="s">
        <v>476</v>
      </c>
      <c r="B75" s="169" t="s">
        <v>265</v>
      </c>
      <c r="C75" s="169" t="s">
        <v>482</v>
      </c>
      <c r="D75" s="174">
        <v>46108</v>
      </c>
      <c r="E75" s="169" t="s">
        <v>477</v>
      </c>
      <c r="F75" s="169" t="s">
        <v>478</v>
      </c>
      <c r="G75" s="169" t="s">
        <v>479</v>
      </c>
      <c r="H75" s="169">
        <v>3</v>
      </c>
      <c r="I75" s="169" t="s">
        <v>493</v>
      </c>
      <c r="J75" s="169" t="s">
        <v>513</v>
      </c>
      <c r="K75" s="169" t="s">
        <v>211</v>
      </c>
      <c r="L75" s="169" t="s">
        <v>514</v>
      </c>
      <c r="M75" s="169" t="s">
        <v>483</v>
      </c>
      <c r="N75" s="169">
        <v>30740</v>
      </c>
      <c r="O75" s="169">
        <v>600</v>
      </c>
      <c r="P75" s="169">
        <v>600</v>
      </c>
      <c r="Q75" s="169">
        <v>51.23</v>
      </c>
    </row>
    <row r="76" spans="1:17" ht="13.5" x14ac:dyDescent="0.2">
      <c r="A76" s="169" t="s">
        <v>476</v>
      </c>
      <c r="B76" s="169" t="s">
        <v>289</v>
      </c>
      <c r="C76" s="169" t="s">
        <v>482</v>
      </c>
      <c r="D76" s="174">
        <v>46108</v>
      </c>
      <c r="E76" s="169" t="s">
        <v>477</v>
      </c>
      <c r="F76" s="169" t="s">
        <v>478</v>
      </c>
      <c r="G76" s="169" t="s">
        <v>479</v>
      </c>
      <c r="H76" s="169">
        <v>3</v>
      </c>
      <c r="I76" s="169" t="s">
        <v>493</v>
      </c>
      <c r="J76" s="169" t="s">
        <v>481</v>
      </c>
      <c r="K76" s="169" t="s">
        <v>231</v>
      </c>
      <c r="L76" s="169" t="s">
        <v>514</v>
      </c>
      <c r="M76" s="169" t="s">
        <v>483</v>
      </c>
      <c r="N76" s="169">
        <v>30560</v>
      </c>
      <c r="O76" s="169">
        <v>600</v>
      </c>
      <c r="P76" s="169">
        <v>600</v>
      </c>
      <c r="Q76" s="169">
        <v>50.93</v>
      </c>
    </row>
    <row r="77" spans="1:17" ht="13.5" x14ac:dyDescent="0.2">
      <c r="A77" s="169" t="s">
        <v>476</v>
      </c>
      <c r="B77" s="169" t="s">
        <v>296</v>
      </c>
      <c r="C77" s="169" t="s">
        <v>482</v>
      </c>
      <c r="D77" s="174">
        <v>46108</v>
      </c>
      <c r="E77" s="169" t="s">
        <v>477</v>
      </c>
      <c r="F77" s="169" t="s">
        <v>478</v>
      </c>
      <c r="G77" s="169" t="s">
        <v>479</v>
      </c>
      <c r="H77" s="169">
        <v>3</v>
      </c>
      <c r="I77" s="169" t="s">
        <v>493</v>
      </c>
      <c r="J77" s="169" t="s">
        <v>517</v>
      </c>
      <c r="K77" s="169" t="s">
        <v>215</v>
      </c>
      <c r="L77" s="169" t="s">
        <v>514</v>
      </c>
      <c r="M77" s="169" t="s">
        <v>483</v>
      </c>
      <c r="N77" s="169">
        <v>30890</v>
      </c>
      <c r="O77" s="169">
        <v>600</v>
      </c>
      <c r="P77" s="169">
        <v>602</v>
      </c>
      <c r="Q77" s="169">
        <v>51.31</v>
      </c>
    </row>
    <row r="78" spans="1:17" ht="13.5" x14ac:dyDescent="0.2">
      <c r="A78" s="169" t="s">
        <v>476</v>
      </c>
      <c r="B78" s="169" t="s">
        <v>297</v>
      </c>
      <c r="C78" s="169" t="s">
        <v>482</v>
      </c>
      <c r="D78" s="174">
        <v>46108</v>
      </c>
      <c r="E78" s="169" t="s">
        <v>477</v>
      </c>
      <c r="F78" s="169" t="s">
        <v>478</v>
      </c>
      <c r="G78" s="169" t="s">
        <v>512</v>
      </c>
      <c r="H78" s="169">
        <v>3</v>
      </c>
      <c r="I78" s="169" t="s">
        <v>480</v>
      </c>
      <c r="J78" s="169" t="s">
        <v>527</v>
      </c>
      <c r="K78" s="169" t="s">
        <v>298</v>
      </c>
      <c r="L78" s="169" t="s">
        <v>514</v>
      </c>
      <c r="M78" s="169" t="s">
        <v>483</v>
      </c>
      <c r="N78" s="169">
        <v>6170</v>
      </c>
      <c r="O78" s="169">
        <v>117</v>
      </c>
      <c r="P78" s="169">
        <v>117</v>
      </c>
      <c r="Q78" s="169">
        <v>52.74</v>
      </c>
    </row>
    <row r="79" spans="1:17" ht="13.5" x14ac:dyDescent="0.2">
      <c r="A79" s="169" t="s">
        <v>476</v>
      </c>
      <c r="B79" s="169" t="s">
        <v>299</v>
      </c>
      <c r="C79" s="169" t="s">
        <v>482</v>
      </c>
      <c r="D79" s="174">
        <v>46108</v>
      </c>
      <c r="E79" s="169" t="s">
        <v>477</v>
      </c>
      <c r="F79" s="169" t="s">
        <v>478</v>
      </c>
      <c r="G79" s="169" t="s">
        <v>479</v>
      </c>
      <c r="H79" s="169">
        <v>3</v>
      </c>
      <c r="I79" s="169" t="s">
        <v>485</v>
      </c>
      <c r="J79" s="169" t="s">
        <v>486</v>
      </c>
      <c r="K79" s="169" t="s">
        <v>487</v>
      </c>
      <c r="L79" s="169" t="s">
        <v>482</v>
      </c>
      <c r="M79" s="169" t="s">
        <v>483</v>
      </c>
      <c r="N79" s="169">
        <v>8480</v>
      </c>
      <c r="O79" s="169">
        <v>167</v>
      </c>
      <c r="P79" s="169">
        <v>167</v>
      </c>
      <c r="Q79" s="169">
        <v>50.78</v>
      </c>
    </row>
    <row r="80" spans="1:17" ht="13.5" x14ac:dyDescent="0.2">
      <c r="A80" s="169"/>
      <c r="B80" s="169"/>
      <c r="C80" s="169"/>
      <c r="D80" s="174"/>
      <c r="E80" s="169"/>
      <c r="F80" s="169"/>
      <c r="G80" s="169"/>
      <c r="H80" s="169"/>
      <c r="I80" s="169"/>
      <c r="J80" s="169"/>
      <c r="K80" s="169"/>
      <c r="L80" s="169"/>
      <c r="M80" s="169"/>
      <c r="N80" s="169">
        <f>SUBTOTAL(109,Tabla8[PESO NETO KG])</f>
        <v>2057850</v>
      </c>
      <c r="O80" s="169">
        <f>SUBTOTAL(109,Tabla8[BULTOS REMITIDOS])</f>
        <v>40324</v>
      </c>
      <c r="P80" s="169">
        <f>SUBTOTAL(109,Tabla8[BULTOS RECIBIDOS/ENTREGADOS])</f>
        <v>40333</v>
      </c>
      <c r="Q80" s="169">
        <f>SUBTOTAL(109,Tabla8[PESO/PRO])</f>
        <v>3975.2200000000012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1b7ff8-972a-4750-8391-8cece9f12760">
      <Terms xmlns="http://schemas.microsoft.com/office/infopath/2007/PartnerControls"/>
    </lcf76f155ced4ddcb4097134ff3c332f>
    <TaxCatchAll xmlns="28813322-8407-40cb-a225-0f90379fb8c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D0DAF150C0394AB0280558FEC02B5F" ma:contentTypeVersion="13" ma:contentTypeDescription="Crear nuevo documento." ma:contentTypeScope="" ma:versionID="3355db0bd6fae1aa20a911d4cffd8638">
  <xsd:schema xmlns:xsd="http://www.w3.org/2001/XMLSchema" xmlns:xs="http://www.w3.org/2001/XMLSchema" xmlns:p="http://schemas.microsoft.com/office/2006/metadata/properties" xmlns:ns2="861b7ff8-972a-4750-8391-8cece9f12760" xmlns:ns3="28813322-8407-40cb-a225-0f90379fb8c1" targetNamespace="http://schemas.microsoft.com/office/2006/metadata/properties" ma:root="true" ma:fieldsID="da056d8bd3d0f130c022ef05bfa5b4f1" ns2:_="" ns3:_="">
    <xsd:import namespace="861b7ff8-972a-4750-8391-8cece9f12760"/>
    <xsd:import namespace="28813322-8407-40cb-a225-0f90379fb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b7ff8-972a-4750-8391-8cece9f12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44588aca-7b99-4c6d-a685-aaa36010e7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813322-8407-40cb-a225-0f90379fb8c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e655a8b-c40d-4e5b-a7ad-e893bfd9a4f3}" ma:internalName="TaxCatchAll" ma:showField="CatchAllData" ma:web="28813322-8407-40cb-a225-0f90379fb8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637282-9128-45E5-BC11-ADFADE57A34F}">
  <ds:schemaRefs>
    <ds:schemaRef ds:uri="http://schemas.microsoft.com/office/2006/metadata/properties"/>
    <ds:schemaRef ds:uri="http://schemas.microsoft.com/office/infopath/2007/PartnerControls"/>
    <ds:schemaRef ds:uri="861b7ff8-972a-4750-8391-8cece9f12760"/>
    <ds:schemaRef ds:uri="28813322-8407-40cb-a225-0f90379fb8c1"/>
  </ds:schemaRefs>
</ds:datastoreItem>
</file>

<file path=customXml/itemProps2.xml><?xml version="1.0" encoding="utf-8"?>
<ds:datastoreItem xmlns:ds="http://schemas.openxmlformats.org/officeDocument/2006/customXml" ds:itemID="{1B770E65-64B7-4CE2-B0AB-0E99C50CDD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D9E4E-4E11-453B-BD43-82EAE65700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1b7ff8-972a-4750-8391-8cece9f12760"/>
    <ds:schemaRef ds:uri="28813322-8407-40cb-a225-0f90379fb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GENERAL </vt:lpstr>
      <vt:lpstr>INGRESOS</vt:lpstr>
      <vt:lpstr>VENTA (2)</vt:lpstr>
      <vt:lpstr>VENTA</vt:lpstr>
      <vt:lpstr>NATURASOL.</vt:lpstr>
      <vt:lpstr>Hoja2</vt:lpstr>
      <vt:lpstr>NATURASOL (3)</vt:lpstr>
      <vt:lpstr>NATURASOL (2)</vt:lpstr>
      <vt:lpstr>BODEGA</vt:lpstr>
      <vt:lpstr>NATURASOL</vt:lpstr>
      <vt:lpstr>Hoja1</vt:lpstr>
      <vt:lpstr>JORGE DOM</vt:lpstr>
      <vt:lpstr>TINO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Rene Robles Morales</dc:creator>
  <cp:keywords/>
  <dc:description/>
  <cp:lastModifiedBy>Carlos Rene Robles Morales</cp:lastModifiedBy>
  <cp:revision/>
  <dcterms:created xsi:type="dcterms:W3CDTF">2025-08-23T16:36:17Z</dcterms:created>
  <dcterms:modified xsi:type="dcterms:W3CDTF">2026-04-28T19:34:57Z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0x01010032D0DAF150C0394AB0280558FEC02B5F</vt:lpwstr>
  </property>
</Properties>
</file>