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/>
  <calcPr/>
  <extLst>
    <ext uri="GoogleSheetsCustomDataVersion2">
      <go:sheetsCustomData xmlns:go="http://customooxmlschemas.google.com/" r:id="rId7" roundtripDataChecksum="dChu/AaN7b8oubirIiz+Wio/TFsHOqyTzPy9zumbtFE="/>
    </ext>
  </extLst>
</workbook>
</file>

<file path=xl/sharedStrings.xml><?xml version="1.0" encoding="utf-8"?>
<sst xmlns="http://schemas.openxmlformats.org/spreadsheetml/2006/main" count="882" uniqueCount="315">
  <si>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</si>
  <si>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</si>
  <si>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</si>
  <si>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</si>
  <si>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</si>
  <si>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</si>
  <si>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</si>
  <si>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</si>
  <si>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</si>
  <si>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</si>
  <si>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EFECTIVO CAMPO</t>
  </si>
  <si>
    <t>EFECTIVO</t>
  </si>
  <si>
    <t>DAVID ANAYA</t>
  </si>
  <si>
    <t>ANTICIPO</t>
  </si>
  <si>
    <t>N/A</t>
  </si>
  <si>
    <t>000281</t>
  </si>
  <si>
    <t>CARGO A CTA</t>
  </si>
  <si>
    <t>GANMI HORTICOLA</t>
  </si>
  <si>
    <t>TRANSFERENCIA</t>
  </si>
  <si>
    <t>JOSE LUIS ESQUIVEL</t>
  </si>
  <si>
    <t>370</t>
  </si>
  <si>
    <t>DEPOSITO EN EFECTIVO</t>
  </si>
  <si>
    <t>NORMAN PRODUCE</t>
  </si>
  <si>
    <t>PABLO SOSA</t>
  </si>
  <si>
    <t>000252</t>
  </si>
  <si>
    <t>DESCONOCIDO</t>
  </si>
  <si>
    <t>000000112</t>
  </si>
  <si>
    <t>254</t>
  </si>
  <si>
    <t>PAGO</t>
  </si>
  <si>
    <t>LORENZO ZAVALA</t>
  </si>
  <si>
    <t>LIQUIDACION</t>
  </si>
  <si>
    <t>FACTURADO</t>
  </si>
  <si>
    <t>323</t>
  </si>
  <si>
    <t>341</t>
  </si>
  <si>
    <t>405</t>
  </si>
  <si>
    <t>FRANCISCO HARO</t>
  </si>
  <si>
    <t>266</t>
  </si>
  <si>
    <t>FERNANDO ZEPEDA</t>
  </si>
  <si>
    <t>406</t>
  </si>
  <si>
    <t>OLCAN GRAIN</t>
  </si>
  <si>
    <t>OLCAN GROWERS</t>
  </si>
  <si>
    <t>000001671</t>
  </si>
  <si>
    <t>ISMAEL RIVERA</t>
  </si>
  <si>
    <t>000322</t>
  </si>
  <si>
    <t>RAUL SOSA</t>
  </si>
  <si>
    <t>408</t>
  </si>
  <si>
    <t>ANTICIPO RAUL</t>
  </si>
  <si>
    <t>PAPAS ARROYO</t>
  </si>
  <si>
    <t>404</t>
  </si>
  <si>
    <t>407</t>
  </si>
  <si>
    <t>PRODUCTORA CAAR</t>
  </si>
  <si>
    <t>000282</t>
  </si>
  <si>
    <t>ABONO REM276</t>
  </si>
  <si>
    <t>000276</t>
  </si>
  <si>
    <t>PAGO REM 289</t>
  </si>
  <si>
    <t>LA PURA PAPA</t>
  </si>
  <si>
    <t>000289</t>
  </si>
  <si>
    <t>LIQ REM 276</t>
  </si>
  <si>
    <t>PAGO REM 261</t>
  </si>
  <si>
    <t>OSCAR VALLES</t>
  </si>
  <si>
    <t>000261</t>
  </si>
  <si>
    <t>ABONO ANTONIO ARROYO</t>
  </si>
  <si>
    <t>ANTONIO ARROYO</t>
  </si>
  <si>
    <t>PAGO REM 293Y195</t>
  </si>
  <si>
    <t>293 Y 195</t>
  </si>
  <si>
    <t>ANTICIPO ERIK</t>
  </si>
  <si>
    <t>ERICK GARCIA</t>
  </si>
  <si>
    <t>291</t>
  </si>
  <si>
    <t>ANTICIPO 266</t>
  </si>
  <si>
    <t>ABONO MARTIN RAMOA</t>
  </si>
  <si>
    <t>MARTIN RAMOA</t>
  </si>
  <si>
    <t>284</t>
  </si>
  <si>
    <t>LIQ REM471</t>
  </si>
  <si>
    <t>PAPAS EL GALLO</t>
  </si>
  <si>
    <t>451</t>
  </si>
  <si>
    <t>SAN JOSE</t>
  </si>
  <si>
    <t>256</t>
  </si>
  <si>
    <t>MARTIN RAMOS</t>
  </si>
  <si>
    <t>406 y 326</t>
  </si>
  <si>
    <t>AGRONEGOCIOS SANTA TERESA</t>
  </si>
  <si>
    <t>258</t>
  </si>
  <si>
    <t>por facturar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</si>
  <si>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</si>
  <si>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</si>
  <si>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</si>
  <si>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</si>
  <si>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</si>
  <si>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</si>
  <si>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</si>
  <si>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</si>
  <si>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</si>
  <si>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</si>
  <si>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</si>
  <si>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</si>
  <si>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</si>
  <si>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</si>
  <si>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</si>
  <si>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</si>
  <si>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</si>
  <si>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</si>
  <si>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</si>
  <si>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</si>
  <si>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</si>
  <si>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</si>
  <si>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</si>
  <si>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</si>
  <si>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</si>
  <si>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</si>
  <si>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</si>
  <si>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</si>
  <si>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</si>
  <si>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</si>
  <si>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</si>
  <si>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</si>
  <si>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</si>
  <si>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</si>
  <si>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</si>
  <si>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</si>
  <si>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</si>
  <si>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</si>
  <si>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</si>
  <si>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</si>
  <si>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</si>
  <si>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</si>
  <si>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</si>
  <si>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</si>
  <si>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</si>
  <si>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</si>
  <si>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</si>
  <si>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</si>
  <si>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</si>
  <si>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</si>
  <si>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</si>
  <si>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</si>
  <si>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</si>
  <si>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</si>
  <si>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</si>
  <si>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</si>
  <si>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</si>
  <si>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</si>
  <si>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</si>
  <si>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</si>
  <si>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</si>
  <si>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</si>
  <si>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</si>
  <si>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</si>
  <si>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</si>
  <si>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</si>
  <si>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</si>
  <si>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</si>
  <si>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</si>
  <si>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</si>
  <si>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</si>
  <si>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</si>
  <si>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</si>
  <si>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</si>
  <si>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</si>
  <si>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</si>
  <si>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</si>
  <si>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</si>
  <si>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</si>
  <si>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</si>
  <si>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</si>
  <si>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</si>
  <si>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</si>
  <si>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</si>
  <si>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</si>
  <si>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</si>
  <si>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</si>
  <si>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</si>
  <si>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</si>
  <si>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</si>
  <si>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</si>
  <si>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</si>
  <si>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</si>
  <si>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</si>
  <si>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</si>
  <si>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</si>
  <si>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</si>
  <si>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</si>
  <si>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</si>
  <si>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</si>
  <si>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</si>
  <si>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</si>
  <si>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</si>
  <si>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</si>
  <si>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</si>
  <si>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</si>
  <si>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</si>
  <si>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</si>
  <si>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</si>
  <si>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</si>
  <si>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</si>
  <si>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</si>
  <si>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</si>
  <si>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</si>
  <si>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</si>
  <si>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</si>
  <si>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</si>
  <si>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</si>
  <si>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</si>
  <si>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</si>
  <si>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</si>
  <si>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TON/HAS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</si>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</sst>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&quot;$&quot;* #,##0.00_-;\-&quot;$&quot;* #,##0.00_-;_-&quot;$&quot;* &quot;-&quot;??_-;_-@"/>
    <numFmt numFmtId="168" formatCode="D/M/YYYY"/>
  </numFmts>
  <fonts count="24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rgb="FFFF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FAD9D6"/>
        <bgColor rgb="FFFAD9D6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164" xfId="0" applyAlignment="1" applyBorder="1" applyFont="1" applyNumberFormat="1">
      <alignment horizontal="center"/>
    </xf>
    <xf borderId="7" fillId="0" fontId="3" numFmtId="165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/>
    </xf>
    <xf borderId="7" fillId="0" fontId="4" numFmtId="49" xfId="0" applyAlignment="1" applyBorder="1" applyFont="1" applyNumberFormat="1">
      <alignment horizontal="center"/>
    </xf>
    <xf quotePrefix="1" borderId="7" fillId="0" fontId="4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/>
    </xf>
    <xf borderId="7" fillId="0" fontId="8" numFmtId="0" xfId="0" applyBorder="1" applyFont="1"/>
    <xf borderId="8" fillId="0" fontId="4" numFmtId="166" xfId="0" applyAlignment="1" applyBorder="1" applyFont="1" applyNumberFormat="1">
      <alignment horizontal="center"/>
    </xf>
    <xf borderId="9" fillId="0" fontId="4" numFmtId="49" xfId="0" applyAlignment="1" applyBorder="1" applyFont="1" applyNumberFormat="1">
      <alignment horizontal="center"/>
    </xf>
    <xf quotePrefix="1" borderId="9" fillId="0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9" fillId="0" fontId="9" numFmtId="49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center"/>
    </xf>
    <xf borderId="7" fillId="0" fontId="10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2" numFmtId="0" xfId="0" applyAlignment="1" applyBorder="1" applyFill="1" applyFont="1">
      <alignment horizontal="center"/>
    </xf>
    <xf borderId="13" fillId="0" fontId="2" numFmtId="0" xfId="0" applyBorder="1" applyFont="1"/>
    <xf borderId="14" fillId="0" fontId="2" numFmtId="0" xfId="0" applyBorder="1" applyFont="1"/>
    <xf borderId="15" fillId="4" fontId="12" numFmtId="0" xfId="0" applyAlignment="1" applyBorder="1" applyFont="1">
      <alignment horizontal="center"/>
    </xf>
    <xf borderId="15" fillId="4" fontId="12" numFmtId="167" xfId="0" applyAlignment="1" applyBorder="1" applyFont="1" applyNumberFormat="1">
      <alignment horizontal="left"/>
    </xf>
    <xf borderId="0" fillId="0" fontId="1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13" numFmtId="167" xfId="0" applyAlignment="1" applyFont="1" applyNumberFormat="1">
      <alignment horizontal="center" vertical="center"/>
    </xf>
    <xf quotePrefix="1"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0" fillId="0" fontId="15" numFmtId="3" xfId="0" applyAlignment="1" applyFont="1" applyNumberFormat="1">
      <alignment horizontal="center"/>
    </xf>
    <xf borderId="0" fillId="0" fontId="15" numFmtId="165" xfId="0" applyAlignment="1" applyFont="1" applyNumberFormat="1">
      <alignment horizontal="center"/>
    </xf>
    <xf borderId="0" fillId="0" fontId="15" numFmtId="167" xfId="0" applyAlignment="1" applyFont="1" applyNumberFormat="1">
      <alignment horizontal="center"/>
    </xf>
    <xf borderId="0" fillId="0" fontId="15" numFmtId="0" xfId="0" applyFont="1"/>
    <xf borderId="15" fillId="5" fontId="15" numFmtId="0" xfId="0" applyAlignment="1" applyBorder="1" applyFill="1" applyFont="1">
      <alignment horizontal="center"/>
    </xf>
    <xf borderId="15" fillId="5" fontId="15" numFmtId="168" xfId="0" applyAlignment="1" applyBorder="1" applyFont="1" applyNumberFormat="1">
      <alignment horizontal="center"/>
    </xf>
    <xf borderId="15" fillId="5" fontId="15" numFmtId="165" xfId="0" applyAlignment="1" applyBorder="1" applyFont="1" applyNumberFormat="1">
      <alignment horizontal="center"/>
    </xf>
    <xf borderId="15" fillId="6" fontId="15" numFmtId="0" xfId="0" applyBorder="1" applyFill="1" applyFont="1"/>
    <xf borderId="15" fillId="5" fontId="16" numFmtId="165" xfId="0" applyAlignment="1" applyBorder="1" applyFont="1" applyNumberFormat="1">
      <alignment horizontal="center"/>
    </xf>
    <xf borderId="15" fillId="5" fontId="16" numFmtId="165" xfId="0" applyAlignment="1" applyBorder="1" applyFont="1" applyNumberFormat="1">
      <alignment horizontal="center" readingOrder="0"/>
    </xf>
    <xf borderId="0" fillId="0" fontId="15" numFmtId="167" xfId="0" applyAlignment="1" applyFont="1" applyNumberFormat="1">
      <alignment horizontal="center" readingOrder="0"/>
    </xf>
    <xf borderId="0" fillId="0" fontId="17" numFmtId="4" xfId="0" applyAlignment="1" applyFont="1" applyNumberFormat="1">
      <alignment horizontal="center"/>
    </xf>
    <xf borderId="0" fillId="0" fontId="8" numFmtId="4" xfId="0" applyAlignment="1" applyFont="1" applyNumberFormat="1">
      <alignment horizontal="center"/>
    </xf>
    <xf borderId="0" fillId="0" fontId="18" numFmtId="4" xfId="0" applyAlignment="1" applyFont="1" applyNumberFormat="1">
      <alignment horizontal="center"/>
    </xf>
    <xf borderId="0" fillId="0" fontId="18" numFmtId="0" xfId="0" applyFont="1"/>
    <xf borderId="0" fillId="0" fontId="18" numFmtId="165" xfId="0" applyFont="1" applyNumberFormat="1"/>
    <xf borderId="0" fillId="0" fontId="8" numFmtId="167" xfId="0" applyFont="1" applyNumberFormat="1"/>
    <xf borderId="0" fillId="0" fontId="17" numFmtId="4" xfId="0" applyFont="1" applyNumberFormat="1"/>
    <xf borderId="0" fillId="0" fontId="18" numFmtId="3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10" numFmtId="0" xfId="0" applyFont="1"/>
    <xf borderId="15" fillId="7" fontId="2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0" fillId="0" fontId="8" numFmtId="4" xfId="0" applyAlignment="1" applyFont="1" applyNumberFormat="1">
      <alignment horizontal="right"/>
    </xf>
    <xf borderId="15" fillId="8" fontId="21" numFmtId="0" xfId="0" applyBorder="1" applyFill="1" applyFont="1"/>
    <xf borderId="15" fillId="8" fontId="21" numFmtId="4" xfId="0" applyBorder="1" applyFont="1" applyNumberFormat="1"/>
    <xf borderId="0" fillId="0" fontId="8" numFmtId="4" xfId="0" applyFont="1" applyNumberFormat="1"/>
    <xf borderId="0" fillId="0" fontId="23" numFmtId="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INGRESOS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4:J62" displayName="Table_1" name="Table_1" id="1">
  <tableColumns count="9">
    <tableColumn name="FECHA " id="1"/>
    <tableColumn name="CANTIDAD " id="2"/>
    <tableColumn name="CONCEPTO " id="3"/>
    <tableColumn name="EMPRESA" id="4"/>
    <tableColumn name="MÉTODO PAGO" id="5"/>
    <tableColumn name="CLIENTE" id="6"/>
    <tableColumn name="ESTADO" id="7"/>
    <tableColumn name="FACTURA" id="8"/>
    <tableColumn name="REMISION" id="9"/>
  </tableColumns>
  <tableStyleInfo name="INGRES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46090.0</v>
      </c>
      <c r="C5" s="12">
        <v>200000.0</v>
      </c>
      <c r="D5" s="13" t="s">
        <v>10</v>
      </c>
      <c r="E5" s="13" t="s">
        <v>11</v>
      </c>
      <c r="F5" s="13" t="s">
        <v>11</v>
      </c>
      <c r="G5" s="14" t="s">
        <v>12</v>
      </c>
      <c r="H5" s="13" t="s">
        <v>13</v>
      </c>
      <c r="I5" s="15" t="s">
        <v>14</v>
      </c>
      <c r="J5" s="16" t="s">
        <v>15</v>
      </c>
    </row>
    <row r="6" ht="12.75" customHeight="1">
      <c r="B6" s="11">
        <v>46106.0</v>
      </c>
      <c r="C6" s="12">
        <v>100000.0</v>
      </c>
      <c r="D6" s="17" t="s">
        <v>16</v>
      </c>
      <c r="E6" s="13" t="s">
        <v>17</v>
      </c>
      <c r="F6" s="13" t="s">
        <v>18</v>
      </c>
      <c r="G6" s="17" t="s">
        <v>19</v>
      </c>
      <c r="H6" s="13" t="s">
        <v>13</v>
      </c>
      <c r="I6" s="15" t="s">
        <v>14</v>
      </c>
      <c r="J6" s="17" t="s">
        <v>20</v>
      </c>
    </row>
    <row r="7" ht="12.75" customHeight="1">
      <c r="B7" s="11">
        <v>46106.0</v>
      </c>
      <c r="C7" s="12">
        <v>100000.0</v>
      </c>
      <c r="D7" s="17" t="s">
        <v>16</v>
      </c>
      <c r="E7" s="13" t="s">
        <v>17</v>
      </c>
      <c r="F7" s="13" t="s">
        <v>18</v>
      </c>
      <c r="G7" s="17" t="s">
        <v>19</v>
      </c>
      <c r="H7" s="13" t="s">
        <v>13</v>
      </c>
      <c r="I7" s="15" t="s">
        <v>14</v>
      </c>
      <c r="J7" s="17" t="s">
        <v>20</v>
      </c>
    </row>
    <row r="8" ht="12.75" customHeight="1">
      <c r="B8" s="11">
        <v>46106.0</v>
      </c>
      <c r="C8" s="12">
        <v>100000.0</v>
      </c>
      <c r="D8" s="17" t="s">
        <v>16</v>
      </c>
      <c r="E8" s="13" t="s">
        <v>17</v>
      </c>
      <c r="F8" s="13" t="s">
        <v>18</v>
      </c>
      <c r="G8" s="17" t="s">
        <v>19</v>
      </c>
      <c r="H8" s="13" t="s">
        <v>13</v>
      </c>
      <c r="I8" s="15" t="s">
        <v>14</v>
      </c>
      <c r="J8" s="17" t="s">
        <v>20</v>
      </c>
    </row>
    <row r="9" ht="12.75" customHeight="1">
      <c r="B9" s="11">
        <v>46106.0</v>
      </c>
      <c r="C9" s="12">
        <v>70000.0</v>
      </c>
      <c r="D9" s="17" t="s">
        <v>16</v>
      </c>
      <c r="E9" s="13" t="s">
        <v>17</v>
      </c>
      <c r="F9" s="13" t="s">
        <v>18</v>
      </c>
      <c r="G9" s="17" t="s">
        <v>19</v>
      </c>
      <c r="H9" s="13" t="s">
        <v>13</v>
      </c>
      <c r="I9" s="15" t="s">
        <v>14</v>
      </c>
      <c r="J9" s="17" t="s">
        <v>20</v>
      </c>
    </row>
    <row r="10" ht="12.75" customHeight="1">
      <c r="B10" s="11">
        <v>46086.0</v>
      </c>
      <c r="C10" s="12">
        <v>50000.0</v>
      </c>
      <c r="D10" s="13" t="s">
        <v>21</v>
      </c>
      <c r="E10" s="13" t="s">
        <v>22</v>
      </c>
      <c r="F10" s="13" t="s">
        <v>11</v>
      </c>
      <c r="G10" s="14" t="s">
        <v>23</v>
      </c>
      <c r="H10" s="13" t="s">
        <v>13</v>
      </c>
      <c r="I10" s="15" t="s">
        <v>14</v>
      </c>
      <c r="J10" s="18" t="s">
        <v>24</v>
      </c>
    </row>
    <row r="11" ht="12.75" customHeight="1">
      <c r="B11" s="11">
        <v>46086.0</v>
      </c>
      <c r="C11" s="12">
        <v>50000.0</v>
      </c>
      <c r="D11" s="13" t="s">
        <v>21</v>
      </c>
      <c r="E11" s="13" t="s">
        <v>22</v>
      </c>
      <c r="F11" s="13" t="s">
        <v>11</v>
      </c>
      <c r="G11" s="14" t="s">
        <v>23</v>
      </c>
      <c r="H11" s="13" t="s">
        <v>13</v>
      </c>
      <c r="I11" s="15" t="s">
        <v>14</v>
      </c>
      <c r="J11" s="18" t="s">
        <v>24</v>
      </c>
    </row>
    <row r="12" ht="12.75" customHeight="1">
      <c r="B12" s="11">
        <v>46091.0</v>
      </c>
      <c r="C12" s="12">
        <v>75340.0</v>
      </c>
      <c r="D12" s="13" t="s">
        <v>21</v>
      </c>
      <c r="E12" s="13" t="s">
        <v>22</v>
      </c>
      <c r="F12" s="13" t="s">
        <v>11</v>
      </c>
      <c r="G12" s="14" t="s">
        <v>25</v>
      </c>
      <c r="H12" s="13" t="s">
        <v>13</v>
      </c>
      <c r="I12" s="15" t="s">
        <v>14</v>
      </c>
      <c r="J12" s="18" t="s">
        <v>24</v>
      </c>
    </row>
    <row r="13" ht="12.75" customHeight="1">
      <c r="B13" s="11">
        <v>46093.0</v>
      </c>
      <c r="C13" s="12">
        <v>414920.0</v>
      </c>
      <c r="D13" s="17" t="s">
        <v>26</v>
      </c>
      <c r="E13" s="13" t="s">
        <v>22</v>
      </c>
      <c r="F13" s="13" t="s">
        <v>11</v>
      </c>
      <c r="G13" s="14" t="s">
        <v>25</v>
      </c>
      <c r="H13" s="13" t="s">
        <v>13</v>
      </c>
      <c r="I13" s="15" t="s">
        <v>14</v>
      </c>
      <c r="J13" s="16" t="s">
        <v>27</v>
      </c>
    </row>
    <row r="14" ht="12.75" customHeight="1">
      <c r="B14" s="19">
        <v>46107.0</v>
      </c>
      <c r="C14" s="20">
        <v>50000.0</v>
      </c>
      <c r="D14" s="21" t="s">
        <v>21</v>
      </c>
      <c r="E14" s="22" t="s">
        <v>22</v>
      </c>
      <c r="F14" s="22" t="s">
        <v>11</v>
      </c>
      <c r="G14" s="23" t="s">
        <v>25</v>
      </c>
      <c r="H14" s="22" t="s">
        <v>13</v>
      </c>
      <c r="I14" s="24" t="s">
        <v>14</v>
      </c>
      <c r="J14" s="21"/>
    </row>
    <row r="15" ht="12.75" customHeight="1">
      <c r="B15" s="19">
        <v>46107.0</v>
      </c>
      <c r="C15" s="20">
        <v>50000.0</v>
      </c>
      <c r="D15" s="21" t="s">
        <v>21</v>
      </c>
      <c r="E15" s="22" t="s">
        <v>22</v>
      </c>
      <c r="F15" s="22" t="s">
        <v>11</v>
      </c>
      <c r="G15" s="23" t="s">
        <v>25</v>
      </c>
      <c r="H15" s="22" t="s">
        <v>13</v>
      </c>
      <c r="I15" s="24" t="s">
        <v>14</v>
      </c>
      <c r="J15" s="21"/>
    </row>
    <row r="16" ht="12.75" customHeight="1">
      <c r="B16" s="11">
        <v>46107.0</v>
      </c>
      <c r="C16" s="12">
        <v>412200.0</v>
      </c>
      <c r="D16" s="17" t="s">
        <v>28</v>
      </c>
      <c r="E16" s="13" t="s">
        <v>22</v>
      </c>
      <c r="F16" s="13" t="s">
        <v>18</v>
      </c>
      <c r="G16" s="14" t="s">
        <v>29</v>
      </c>
      <c r="H16" s="13" t="s">
        <v>30</v>
      </c>
      <c r="I16" s="15" t="s">
        <v>31</v>
      </c>
      <c r="J16" s="17" t="s">
        <v>32</v>
      </c>
    </row>
    <row r="17" ht="12.75" customHeight="1">
      <c r="B17" s="11">
        <v>46112.0</v>
      </c>
      <c r="C17" s="12">
        <v>100000.0</v>
      </c>
      <c r="D17" s="17" t="s">
        <v>21</v>
      </c>
      <c r="E17" s="13" t="s">
        <v>22</v>
      </c>
      <c r="F17" s="13" t="s">
        <v>11</v>
      </c>
      <c r="G17" s="14" t="s">
        <v>25</v>
      </c>
      <c r="H17" s="13" t="s">
        <v>13</v>
      </c>
      <c r="I17" s="15" t="s">
        <v>14</v>
      </c>
      <c r="J17" s="25" t="s">
        <v>33</v>
      </c>
    </row>
    <row r="18" ht="12.75" customHeight="1">
      <c r="B18" s="11">
        <v>46112.0</v>
      </c>
      <c r="C18" s="12">
        <v>100000.0</v>
      </c>
      <c r="D18" s="17" t="s">
        <v>21</v>
      </c>
      <c r="E18" s="13" t="s">
        <v>22</v>
      </c>
      <c r="F18" s="13" t="s">
        <v>11</v>
      </c>
      <c r="G18" s="14" t="s">
        <v>25</v>
      </c>
      <c r="H18" s="13" t="s">
        <v>13</v>
      </c>
      <c r="I18" s="15" t="s">
        <v>14</v>
      </c>
      <c r="J18" s="17" t="s">
        <v>33</v>
      </c>
    </row>
    <row r="19" ht="12.75" customHeight="1">
      <c r="B19" s="11">
        <v>46112.0</v>
      </c>
      <c r="C19" s="12">
        <v>100000.0</v>
      </c>
      <c r="D19" s="17" t="s">
        <v>21</v>
      </c>
      <c r="E19" s="13" t="s">
        <v>22</v>
      </c>
      <c r="F19" s="13" t="s">
        <v>11</v>
      </c>
      <c r="G19" s="14" t="s">
        <v>25</v>
      </c>
      <c r="H19" s="13" t="s">
        <v>13</v>
      </c>
      <c r="I19" s="15" t="s">
        <v>14</v>
      </c>
      <c r="J19" s="17" t="s">
        <v>33</v>
      </c>
    </row>
    <row r="20" ht="12.75" customHeight="1">
      <c r="B20" s="11">
        <v>46112.0</v>
      </c>
      <c r="C20" s="12">
        <v>100000.0</v>
      </c>
      <c r="D20" s="17" t="s">
        <v>21</v>
      </c>
      <c r="E20" s="13" t="s">
        <v>22</v>
      </c>
      <c r="F20" s="13" t="s">
        <v>11</v>
      </c>
      <c r="G20" s="14" t="s">
        <v>25</v>
      </c>
      <c r="H20" s="13" t="s">
        <v>13</v>
      </c>
      <c r="I20" s="15" t="s">
        <v>14</v>
      </c>
      <c r="J20" s="17" t="s">
        <v>33</v>
      </c>
    </row>
    <row r="21" ht="12.75" customHeight="1">
      <c r="B21" s="11">
        <v>46112.0</v>
      </c>
      <c r="C21" s="12">
        <v>43744.0</v>
      </c>
      <c r="D21" s="17" t="s">
        <v>21</v>
      </c>
      <c r="E21" s="13" t="s">
        <v>22</v>
      </c>
      <c r="F21" s="13" t="s">
        <v>11</v>
      </c>
      <c r="G21" s="14" t="s">
        <v>25</v>
      </c>
      <c r="H21" s="13" t="s">
        <v>13</v>
      </c>
      <c r="I21" s="15" t="s">
        <v>14</v>
      </c>
      <c r="J21" s="17" t="s">
        <v>33</v>
      </c>
    </row>
    <row r="22" ht="12.75" customHeight="1">
      <c r="B22" s="26">
        <v>46112.0</v>
      </c>
      <c r="C22" s="12">
        <v>53065.0</v>
      </c>
      <c r="D22" s="17" t="s">
        <v>21</v>
      </c>
      <c r="E22" s="13" t="s">
        <v>22</v>
      </c>
      <c r="F22" s="13" t="s">
        <v>11</v>
      </c>
      <c r="G22" s="14" t="s">
        <v>23</v>
      </c>
      <c r="H22" s="13" t="s">
        <v>13</v>
      </c>
      <c r="I22" s="15" t="s">
        <v>14</v>
      </c>
      <c r="J22" s="27" t="s">
        <v>34</v>
      </c>
    </row>
    <row r="23" ht="12.75" customHeight="1">
      <c r="B23" s="26">
        <v>46112.0</v>
      </c>
      <c r="C23" s="12">
        <v>82520.0</v>
      </c>
      <c r="D23" s="17" t="s">
        <v>21</v>
      </c>
      <c r="E23" s="13" t="s">
        <v>22</v>
      </c>
      <c r="F23" s="13" t="s">
        <v>11</v>
      </c>
      <c r="G23" s="14" t="s">
        <v>35</v>
      </c>
      <c r="H23" s="13" t="s">
        <v>30</v>
      </c>
      <c r="I23" s="15" t="s">
        <v>14</v>
      </c>
      <c r="J23" s="27" t="s">
        <v>36</v>
      </c>
    </row>
    <row r="24" ht="12.75" customHeight="1">
      <c r="B24" s="26">
        <v>46119.0</v>
      </c>
      <c r="C24" s="12">
        <v>300000.0</v>
      </c>
      <c r="D24" s="17" t="s">
        <v>21</v>
      </c>
      <c r="E24" s="13" t="s">
        <v>22</v>
      </c>
      <c r="F24" s="13" t="s">
        <v>11</v>
      </c>
      <c r="G24" s="14" t="s">
        <v>37</v>
      </c>
      <c r="H24" s="13" t="s">
        <v>13</v>
      </c>
      <c r="I24" s="15" t="s">
        <v>14</v>
      </c>
      <c r="J24" s="27" t="s">
        <v>38</v>
      </c>
    </row>
    <row r="25" ht="12.75" customHeight="1">
      <c r="B25" s="26">
        <v>46086.0</v>
      </c>
      <c r="C25" s="12">
        <v>50000.0</v>
      </c>
      <c r="D25" s="13" t="s">
        <v>21</v>
      </c>
      <c r="E25" s="13" t="s">
        <v>39</v>
      </c>
      <c r="F25" s="13" t="s">
        <v>11</v>
      </c>
      <c r="G25" s="14" t="s">
        <v>23</v>
      </c>
      <c r="H25" s="13" t="s">
        <v>13</v>
      </c>
      <c r="I25" s="15" t="s">
        <v>14</v>
      </c>
      <c r="J25" s="28" t="s">
        <v>24</v>
      </c>
    </row>
    <row r="26" ht="12.75" customHeight="1">
      <c r="B26" s="26">
        <v>46086.0</v>
      </c>
      <c r="C26" s="12">
        <v>50000.0</v>
      </c>
      <c r="D26" s="13" t="s">
        <v>21</v>
      </c>
      <c r="E26" s="13" t="s">
        <v>39</v>
      </c>
      <c r="F26" s="13" t="s">
        <v>11</v>
      </c>
      <c r="G26" s="14" t="s">
        <v>23</v>
      </c>
      <c r="H26" s="13" t="s">
        <v>13</v>
      </c>
      <c r="I26" s="15" t="s">
        <v>14</v>
      </c>
      <c r="J26" s="28" t="s">
        <v>24</v>
      </c>
    </row>
    <row r="27" ht="12.75" customHeight="1">
      <c r="B27" s="26">
        <v>46091.0</v>
      </c>
      <c r="C27" s="12">
        <v>70000.0</v>
      </c>
      <c r="D27" s="13" t="s">
        <v>21</v>
      </c>
      <c r="E27" s="13" t="s">
        <v>39</v>
      </c>
      <c r="F27" s="13" t="s">
        <v>11</v>
      </c>
      <c r="G27" s="14" t="s">
        <v>25</v>
      </c>
      <c r="H27" s="13" t="s">
        <v>13</v>
      </c>
      <c r="I27" s="15" t="s">
        <v>14</v>
      </c>
      <c r="J27" s="18" t="s">
        <v>24</v>
      </c>
    </row>
    <row r="28" ht="12.75" customHeight="1">
      <c r="B28" s="29">
        <v>46107.0</v>
      </c>
      <c r="C28" s="20">
        <v>50000.0</v>
      </c>
      <c r="D28" s="21" t="s">
        <v>21</v>
      </c>
      <c r="E28" s="22" t="s">
        <v>39</v>
      </c>
      <c r="F28" s="22" t="s">
        <v>11</v>
      </c>
      <c r="G28" s="23" t="s">
        <v>25</v>
      </c>
      <c r="H28" s="22" t="s">
        <v>13</v>
      </c>
      <c r="I28" s="24" t="s">
        <v>14</v>
      </c>
      <c r="J28" s="21"/>
    </row>
    <row r="29" ht="12.75" customHeight="1">
      <c r="B29" s="29">
        <v>46107.0</v>
      </c>
      <c r="C29" s="20">
        <v>50000.0</v>
      </c>
      <c r="D29" s="21" t="s">
        <v>21</v>
      </c>
      <c r="E29" s="22" t="s">
        <v>39</v>
      </c>
      <c r="F29" s="22" t="s">
        <v>11</v>
      </c>
      <c r="G29" s="23" t="s">
        <v>25</v>
      </c>
      <c r="H29" s="22" t="s">
        <v>13</v>
      </c>
      <c r="I29" s="24" t="s">
        <v>14</v>
      </c>
      <c r="J29" s="21"/>
    </row>
    <row r="30" ht="12.75" customHeight="1">
      <c r="B30" s="11">
        <v>46112.0</v>
      </c>
      <c r="C30" s="12">
        <v>50000.0</v>
      </c>
      <c r="D30" s="17" t="s">
        <v>21</v>
      </c>
      <c r="E30" s="13" t="s">
        <v>39</v>
      </c>
      <c r="F30" s="13" t="s">
        <v>11</v>
      </c>
      <c r="G30" s="14" t="s">
        <v>23</v>
      </c>
      <c r="H30" s="13" t="s">
        <v>13</v>
      </c>
      <c r="I30" s="15" t="s">
        <v>14</v>
      </c>
      <c r="J30" s="17" t="s">
        <v>34</v>
      </c>
    </row>
    <row r="31" ht="12.75" customHeight="1">
      <c r="B31" s="11">
        <v>46086.0</v>
      </c>
      <c r="C31" s="12">
        <v>50000.0</v>
      </c>
      <c r="D31" s="13" t="s">
        <v>21</v>
      </c>
      <c r="E31" s="13" t="s">
        <v>40</v>
      </c>
      <c r="F31" s="13" t="s">
        <v>11</v>
      </c>
      <c r="G31" s="14" t="s">
        <v>23</v>
      </c>
      <c r="H31" s="13" t="s">
        <v>13</v>
      </c>
      <c r="I31" s="15" t="s">
        <v>14</v>
      </c>
      <c r="J31" s="18" t="s">
        <v>24</v>
      </c>
    </row>
    <row r="32" ht="12.75" customHeight="1">
      <c r="B32" s="11">
        <v>46086.0</v>
      </c>
      <c r="C32" s="12">
        <v>50000.0</v>
      </c>
      <c r="D32" s="13" t="s">
        <v>21</v>
      </c>
      <c r="E32" s="13" t="s">
        <v>40</v>
      </c>
      <c r="F32" s="13" t="s">
        <v>11</v>
      </c>
      <c r="G32" s="14" t="s">
        <v>23</v>
      </c>
      <c r="H32" s="13" t="s">
        <v>13</v>
      </c>
      <c r="I32" s="15" t="s">
        <v>14</v>
      </c>
      <c r="J32" s="28" t="s">
        <v>24</v>
      </c>
    </row>
    <row r="33" ht="12.75" customHeight="1">
      <c r="B33" s="26">
        <v>46091.0</v>
      </c>
      <c r="C33" s="12">
        <v>70000.0</v>
      </c>
      <c r="D33" s="13" t="s">
        <v>21</v>
      </c>
      <c r="E33" s="13" t="s">
        <v>40</v>
      </c>
      <c r="F33" s="13" t="s">
        <v>11</v>
      </c>
      <c r="G33" s="14" t="s">
        <v>25</v>
      </c>
      <c r="H33" s="13" t="s">
        <v>13</v>
      </c>
      <c r="I33" s="15" t="s">
        <v>14</v>
      </c>
      <c r="J33" s="28" t="s">
        <v>24</v>
      </c>
    </row>
    <row r="34" ht="12.75" customHeight="1">
      <c r="B34" s="26">
        <v>46102.0</v>
      </c>
      <c r="C34" s="12">
        <v>400000.0</v>
      </c>
      <c r="D34" s="17" t="s">
        <v>41</v>
      </c>
      <c r="E34" s="13" t="s">
        <v>40</v>
      </c>
      <c r="F34" s="13" t="s">
        <v>11</v>
      </c>
      <c r="G34" s="14" t="s">
        <v>42</v>
      </c>
      <c r="H34" s="13" t="s">
        <v>30</v>
      </c>
      <c r="I34" s="15" t="s">
        <v>14</v>
      </c>
      <c r="J34" s="30" t="s">
        <v>43</v>
      </c>
    </row>
    <row r="35" ht="12.75" customHeight="1">
      <c r="B35" s="26">
        <v>46106.0</v>
      </c>
      <c r="C35" s="12">
        <v>90000.0</v>
      </c>
      <c r="D35" s="17" t="s">
        <v>21</v>
      </c>
      <c r="E35" s="13" t="s">
        <v>40</v>
      </c>
      <c r="F35" s="13" t="s">
        <v>11</v>
      </c>
      <c r="G35" s="14" t="s">
        <v>44</v>
      </c>
      <c r="H35" s="13" t="s">
        <v>13</v>
      </c>
      <c r="I35" s="15" t="s">
        <v>14</v>
      </c>
      <c r="J35" s="27" t="s">
        <v>45</v>
      </c>
    </row>
    <row r="36" ht="12.75" customHeight="1">
      <c r="B36" s="26">
        <v>46106.0</v>
      </c>
      <c r="C36" s="12">
        <v>90000.0</v>
      </c>
      <c r="D36" s="17" t="s">
        <v>21</v>
      </c>
      <c r="E36" s="13" t="s">
        <v>40</v>
      </c>
      <c r="F36" s="13" t="s">
        <v>11</v>
      </c>
      <c r="G36" s="14" t="s">
        <v>44</v>
      </c>
      <c r="H36" s="13" t="s">
        <v>13</v>
      </c>
      <c r="I36" s="15" t="s">
        <v>14</v>
      </c>
      <c r="J36" s="27" t="s">
        <v>45</v>
      </c>
    </row>
    <row r="37" ht="12.75" customHeight="1">
      <c r="B37" s="26">
        <v>46106.0</v>
      </c>
      <c r="C37" s="12">
        <v>90000.0</v>
      </c>
      <c r="D37" s="17" t="s">
        <v>21</v>
      </c>
      <c r="E37" s="13" t="s">
        <v>40</v>
      </c>
      <c r="F37" s="13" t="s">
        <v>11</v>
      </c>
      <c r="G37" s="14" t="s">
        <v>44</v>
      </c>
      <c r="H37" s="13" t="s">
        <v>13</v>
      </c>
      <c r="I37" s="15" t="s">
        <v>14</v>
      </c>
      <c r="J37" s="27" t="s">
        <v>45</v>
      </c>
    </row>
    <row r="38" ht="12.75" customHeight="1">
      <c r="B38" s="26">
        <v>46106.0</v>
      </c>
      <c r="C38" s="12">
        <v>80000.0</v>
      </c>
      <c r="D38" s="17" t="s">
        <v>21</v>
      </c>
      <c r="E38" s="13" t="s">
        <v>40</v>
      </c>
      <c r="F38" s="13" t="s">
        <v>11</v>
      </c>
      <c r="G38" s="14" t="s">
        <v>44</v>
      </c>
      <c r="H38" s="13" t="s">
        <v>13</v>
      </c>
      <c r="I38" s="15" t="s">
        <v>14</v>
      </c>
      <c r="J38" s="27" t="s">
        <v>45</v>
      </c>
    </row>
    <row r="39" ht="12.75" customHeight="1">
      <c r="B39" s="29">
        <v>46107.0</v>
      </c>
      <c r="C39" s="20">
        <v>50000.0</v>
      </c>
      <c r="D39" s="21" t="s">
        <v>21</v>
      </c>
      <c r="E39" s="22" t="s">
        <v>40</v>
      </c>
      <c r="F39" s="22" t="s">
        <v>11</v>
      </c>
      <c r="G39" s="23" t="s">
        <v>25</v>
      </c>
      <c r="H39" s="22" t="s">
        <v>13</v>
      </c>
      <c r="I39" s="24" t="s">
        <v>14</v>
      </c>
      <c r="J39" s="31"/>
    </row>
    <row r="40" ht="12.75" customHeight="1">
      <c r="B40" s="29">
        <v>46107.0</v>
      </c>
      <c r="C40" s="20">
        <v>50000.0</v>
      </c>
      <c r="D40" s="21" t="s">
        <v>21</v>
      </c>
      <c r="E40" s="22" t="s">
        <v>40</v>
      </c>
      <c r="F40" s="22" t="s">
        <v>11</v>
      </c>
      <c r="G40" s="23" t="s">
        <v>25</v>
      </c>
      <c r="H40" s="22" t="s">
        <v>13</v>
      </c>
      <c r="I40" s="24" t="s">
        <v>14</v>
      </c>
      <c r="J40" s="31"/>
    </row>
    <row r="41" ht="12.75" customHeight="1">
      <c r="B41" s="26">
        <v>46109.0</v>
      </c>
      <c r="C41" s="12">
        <v>68950.0</v>
      </c>
      <c r="D41" s="17" t="s">
        <v>46</v>
      </c>
      <c r="E41" s="13" t="s">
        <v>40</v>
      </c>
      <c r="F41" s="13" t="s">
        <v>11</v>
      </c>
      <c r="G41" s="14" t="s">
        <v>44</v>
      </c>
      <c r="H41" s="13" t="s">
        <v>13</v>
      </c>
      <c r="I41" s="15" t="s">
        <v>31</v>
      </c>
      <c r="J41" s="27" t="s">
        <v>45</v>
      </c>
    </row>
    <row r="42" ht="12.75" customHeight="1">
      <c r="B42" s="26">
        <v>46112.0</v>
      </c>
      <c r="C42" s="12">
        <v>50000.0</v>
      </c>
      <c r="D42" s="17" t="s">
        <v>21</v>
      </c>
      <c r="E42" s="13" t="s">
        <v>40</v>
      </c>
      <c r="F42" s="13" t="s">
        <v>11</v>
      </c>
      <c r="G42" s="14" t="s">
        <v>23</v>
      </c>
      <c r="H42" s="13" t="s">
        <v>13</v>
      </c>
      <c r="I42" s="15" t="s">
        <v>14</v>
      </c>
      <c r="J42" s="27" t="s">
        <v>34</v>
      </c>
    </row>
    <row r="43" ht="12.75" customHeight="1">
      <c r="B43" s="26">
        <v>46119.0</v>
      </c>
      <c r="C43" s="12">
        <v>287600.0</v>
      </c>
      <c r="D43" s="17" t="s">
        <v>21</v>
      </c>
      <c r="E43" s="13" t="s">
        <v>40</v>
      </c>
      <c r="F43" s="13" t="s">
        <v>11</v>
      </c>
      <c r="G43" s="14" t="s">
        <v>47</v>
      </c>
      <c r="H43" s="13" t="s">
        <v>30</v>
      </c>
      <c r="I43" s="15" t="s">
        <v>14</v>
      </c>
      <c r="J43" s="27" t="s">
        <v>48</v>
      </c>
    </row>
    <row r="44" ht="12.75" customHeight="1">
      <c r="B44" s="26">
        <v>46125.0</v>
      </c>
      <c r="C44" s="12">
        <v>473040.0</v>
      </c>
      <c r="D44" s="17" t="s">
        <v>21</v>
      </c>
      <c r="E44" s="13" t="s">
        <v>40</v>
      </c>
      <c r="F44" s="13" t="s">
        <v>11</v>
      </c>
      <c r="G44" s="14"/>
      <c r="H44" s="13" t="s">
        <v>30</v>
      </c>
      <c r="I44" s="15" t="s">
        <v>14</v>
      </c>
      <c r="J44" s="32" t="s">
        <v>49</v>
      </c>
    </row>
    <row r="45" ht="12.75" customHeight="1">
      <c r="B45" s="26">
        <v>46090.0</v>
      </c>
      <c r="C45" s="12">
        <v>300000.0</v>
      </c>
      <c r="D45" s="13" t="s">
        <v>18</v>
      </c>
      <c r="E45" s="13" t="s">
        <v>50</v>
      </c>
      <c r="F45" s="13" t="s">
        <v>18</v>
      </c>
      <c r="G45" s="14" t="s">
        <v>12</v>
      </c>
      <c r="H45" s="13" t="s">
        <v>13</v>
      </c>
      <c r="I45" s="15" t="s">
        <v>14</v>
      </c>
      <c r="J45" s="30" t="s">
        <v>51</v>
      </c>
    </row>
    <row r="46" ht="12.75" customHeight="1">
      <c r="B46" s="26">
        <v>46100.0</v>
      </c>
      <c r="C46" s="12">
        <v>91050.0</v>
      </c>
      <c r="D46" s="17" t="s">
        <v>52</v>
      </c>
      <c r="E46" s="13" t="s">
        <v>50</v>
      </c>
      <c r="F46" s="13" t="s">
        <v>18</v>
      </c>
      <c r="G46" s="14" t="s">
        <v>47</v>
      </c>
      <c r="H46" s="13" t="s">
        <v>13</v>
      </c>
      <c r="I46" s="15" t="s">
        <v>31</v>
      </c>
      <c r="J46" s="30" t="s">
        <v>53</v>
      </c>
    </row>
    <row r="47" ht="12.75" customHeight="1">
      <c r="B47" s="26">
        <v>46100.0</v>
      </c>
      <c r="C47" s="12">
        <v>417600.0</v>
      </c>
      <c r="D47" s="17" t="s">
        <v>54</v>
      </c>
      <c r="E47" s="13" t="s">
        <v>50</v>
      </c>
      <c r="F47" s="13" t="s">
        <v>18</v>
      </c>
      <c r="G47" s="14" t="s">
        <v>55</v>
      </c>
      <c r="H47" s="13" t="s">
        <v>30</v>
      </c>
      <c r="I47" s="15" t="s">
        <v>31</v>
      </c>
      <c r="J47" s="30" t="s">
        <v>56</v>
      </c>
    </row>
    <row r="48" ht="12.75" customHeight="1">
      <c r="B48" s="26">
        <v>46101.0</v>
      </c>
      <c r="C48" s="12">
        <v>350000.0</v>
      </c>
      <c r="D48" s="17" t="s">
        <v>57</v>
      </c>
      <c r="E48" s="13" t="s">
        <v>50</v>
      </c>
      <c r="F48" s="13" t="s">
        <v>18</v>
      </c>
      <c r="G48" s="14" t="s">
        <v>47</v>
      </c>
      <c r="H48" s="13" t="s">
        <v>30</v>
      </c>
      <c r="I48" s="15" t="s">
        <v>31</v>
      </c>
      <c r="J48" s="30" t="s">
        <v>53</v>
      </c>
    </row>
    <row r="49" ht="12.75" customHeight="1">
      <c r="B49" s="26">
        <v>46104.0</v>
      </c>
      <c r="C49" s="12">
        <v>490500.0</v>
      </c>
      <c r="D49" s="17" t="s">
        <v>58</v>
      </c>
      <c r="E49" s="13" t="s">
        <v>50</v>
      </c>
      <c r="F49" s="13" t="s">
        <v>18</v>
      </c>
      <c r="G49" s="14" t="s">
        <v>59</v>
      </c>
      <c r="H49" s="13" t="s">
        <v>13</v>
      </c>
      <c r="I49" s="15" t="s">
        <v>31</v>
      </c>
      <c r="J49" s="30" t="s">
        <v>60</v>
      </c>
    </row>
    <row r="50" ht="12.75" customHeight="1">
      <c r="B50" s="26">
        <v>46107.0</v>
      </c>
      <c r="C50" s="12">
        <v>200000.0</v>
      </c>
      <c r="D50" s="17" t="s">
        <v>61</v>
      </c>
      <c r="E50" s="13" t="s">
        <v>50</v>
      </c>
      <c r="F50" s="13" t="s">
        <v>18</v>
      </c>
      <c r="G50" s="14" t="s">
        <v>62</v>
      </c>
      <c r="H50" s="13" t="s">
        <v>13</v>
      </c>
      <c r="I50" s="15" t="s">
        <v>31</v>
      </c>
      <c r="J50" s="27" t="s">
        <v>48</v>
      </c>
    </row>
    <row r="51" ht="12.75" customHeight="1">
      <c r="B51" s="26">
        <v>46108.0</v>
      </c>
      <c r="C51" s="12">
        <v>847660.0</v>
      </c>
      <c r="D51" s="17" t="s">
        <v>63</v>
      </c>
      <c r="E51" s="13" t="s">
        <v>50</v>
      </c>
      <c r="F51" s="13" t="s">
        <v>18</v>
      </c>
      <c r="G51" s="14" t="s">
        <v>59</v>
      </c>
      <c r="H51" s="13" t="s">
        <v>30</v>
      </c>
      <c r="I51" s="15" t="s">
        <v>31</v>
      </c>
      <c r="J51" s="27" t="s">
        <v>64</v>
      </c>
    </row>
    <row r="52" ht="12.75" customHeight="1">
      <c r="B52" s="26">
        <v>46111.0</v>
      </c>
      <c r="C52" s="12">
        <v>108886.0</v>
      </c>
      <c r="D52" s="17" t="s">
        <v>65</v>
      </c>
      <c r="E52" s="13" t="s">
        <v>50</v>
      </c>
      <c r="F52" s="13" t="s">
        <v>18</v>
      </c>
      <c r="G52" s="14" t="s">
        <v>66</v>
      </c>
      <c r="H52" s="13" t="s">
        <v>13</v>
      </c>
      <c r="I52" s="15" t="s">
        <v>31</v>
      </c>
      <c r="J52" s="27" t="s">
        <v>67</v>
      </c>
    </row>
    <row r="53" ht="12.75" customHeight="1">
      <c r="B53" s="26">
        <v>46112.0</v>
      </c>
      <c r="C53" s="12">
        <v>300000.0</v>
      </c>
      <c r="D53" s="17" t="s">
        <v>68</v>
      </c>
      <c r="E53" s="13" t="s">
        <v>50</v>
      </c>
      <c r="F53" s="13" t="s">
        <v>18</v>
      </c>
      <c r="G53" s="14" t="s">
        <v>35</v>
      </c>
      <c r="H53" s="13" t="s">
        <v>13</v>
      </c>
      <c r="I53" s="15" t="s">
        <v>31</v>
      </c>
      <c r="J53" s="27" t="s">
        <v>36</v>
      </c>
    </row>
    <row r="54" ht="12.75" customHeight="1">
      <c r="B54" s="26">
        <v>46112.0</v>
      </c>
      <c r="C54" s="12">
        <v>120000.0</v>
      </c>
      <c r="D54" s="17" t="s">
        <v>69</v>
      </c>
      <c r="E54" s="13" t="s">
        <v>50</v>
      </c>
      <c r="F54" s="13" t="s">
        <v>18</v>
      </c>
      <c r="G54" s="14" t="s">
        <v>70</v>
      </c>
      <c r="H54" s="13" t="s">
        <v>13</v>
      </c>
      <c r="I54" s="15" t="s">
        <v>14</v>
      </c>
      <c r="J54" s="27" t="s">
        <v>71</v>
      </c>
    </row>
    <row r="55" ht="12.75" customHeight="1">
      <c r="B55" s="26">
        <v>46119.0</v>
      </c>
      <c r="C55" s="12">
        <v>411320.0</v>
      </c>
      <c r="D55" s="17" t="s">
        <v>72</v>
      </c>
      <c r="E55" s="13" t="s">
        <v>50</v>
      </c>
      <c r="F55" s="13" t="s">
        <v>18</v>
      </c>
      <c r="G55" s="14" t="s">
        <v>73</v>
      </c>
      <c r="H55" s="13" t="s">
        <v>30</v>
      </c>
      <c r="I55" s="15" t="s">
        <v>31</v>
      </c>
      <c r="J55" s="27" t="s">
        <v>74</v>
      </c>
    </row>
    <row r="56" ht="12.75" customHeight="1">
      <c r="B56" s="26">
        <v>46120.0</v>
      </c>
      <c r="C56" s="12">
        <v>294888.88</v>
      </c>
      <c r="D56" s="17" t="s">
        <v>18</v>
      </c>
      <c r="E56" s="13" t="s">
        <v>50</v>
      </c>
      <c r="F56" s="13" t="s">
        <v>18</v>
      </c>
      <c r="G56" s="14" t="s">
        <v>75</v>
      </c>
      <c r="H56" s="13" t="s">
        <v>30</v>
      </c>
      <c r="I56" s="15" t="s">
        <v>31</v>
      </c>
      <c r="J56" s="27" t="s">
        <v>76</v>
      </c>
    </row>
    <row r="57" ht="12.75" customHeight="1">
      <c r="B57" s="26">
        <v>46120.0</v>
      </c>
      <c r="C57" s="12">
        <v>178100.0</v>
      </c>
      <c r="D57" s="17" t="s">
        <v>18</v>
      </c>
      <c r="E57" s="13" t="s">
        <v>50</v>
      </c>
      <c r="F57" s="13" t="s">
        <v>18</v>
      </c>
      <c r="G57" s="14" t="s">
        <v>77</v>
      </c>
      <c r="H57" s="13" t="s">
        <v>30</v>
      </c>
      <c r="I57" s="15" t="s">
        <v>31</v>
      </c>
      <c r="J57" s="27" t="s">
        <v>71</v>
      </c>
    </row>
    <row r="58" ht="12.75" customHeight="1">
      <c r="B58" s="26">
        <v>46121.0</v>
      </c>
      <c r="C58" s="12">
        <v>3368.0</v>
      </c>
      <c r="D58" s="17" t="s">
        <v>18</v>
      </c>
      <c r="E58" s="13" t="s">
        <v>50</v>
      </c>
      <c r="F58" s="13" t="s">
        <v>18</v>
      </c>
      <c r="G58" s="14" t="s">
        <v>62</v>
      </c>
      <c r="H58" s="13" t="s">
        <v>30</v>
      </c>
      <c r="I58" s="15" t="s">
        <v>14</v>
      </c>
      <c r="J58" s="27" t="s">
        <v>48</v>
      </c>
    </row>
    <row r="59" ht="12.75" customHeight="1">
      <c r="B59" s="26">
        <v>46127.0</v>
      </c>
      <c r="C59" s="12">
        <v>240000.0</v>
      </c>
      <c r="D59" s="17" t="s">
        <v>18</v>
      </c>
      <c r="E59" s="13" t="s">
        <v>50</v>
      </c>
      <c r="F59" s="13" t="s">
        <v>18</v>
      </c>
      <c r="G59" s="14" t="s">
        <v>66</v>
      </c>
      <c r="H59" s="13" t="s">
        <v>13</v>
      </c>
      <c r="I59" s="15" t="s">
        <v>31</v>
      </c>
      <c r="J59" s="27" t="s">
        <v>67</v>
      </c>
    </row>
    <row r="60" ht="12.75" customHeight="1">
      <c r="B60" s="26">
        <v>46128.0</v>
      </c>
      <c r="C60" s="12">
        <v>457250.0</v>
      </c>
      <c r="D60" s="17" t="s">
        <v>18</v>
      </c>
      <c r="E60" s="13" t="s">
        <v>50</v>
      </c>
      <c r="F60" s="13" t="s">
        <v>18</v>
      </c>
      <c r="G60" s="14" t="s">
        <v>37</v>
      </c>
      <c r="H60" s="13" t="s">
        <v>30</v>
      </c>
      <c r="I60" s="15" t="s">
        <v>31</v>
      </c>
      <c r="J60" s="27" t="s">
        <v>78</v>
      </c>
    </row>
    <row r="61" ht="12.75" customHeight="1">
      <c r="B61" s="26">
        <v>46135.0</v>
      </c>
      <c r="C61" s="12">
        <v>451840.0</v>
      </c>
      <c r="D61" s="17" t="s">
        <v>18</v>
      </c>
      <c r="E61" s="13" t="s">
        <v>50</v>
      </c>
      <c r="F61" s="13" t="s">
        <v>18</v>
      </c>
      <c r="G61" s="14" t="s">
        <v>79</v>
      </c>
      <c r="H61" s="13" t="s">
        <v>30</v>
      </c>
      <c r="I61" s="15" t="s">
        <v>31</v>
      </c>
      <c r="J61" s="27" t="s">
        <v>80</v>
      </c>
    </row>
    <row r="62" ht="12.75" customHeight="1">
      <c r="B62" s="26">
        <v>46140.0</v>
      </c>
      <c r="C62" s="12">
        <v>20714.0</v>
      </c>
      <c r="D62" s="17" t="s">
        <v>18</v>
      </c>
      <c r="E62" s="13" t="s">
        <v>50</v>
      </c>
      <c r="F62" s="13" t="s">
        <v>18</v>
      </c>
      <c r="G62" s="14" t="s">
        <v>66</v>
      </c>
      <c r="H62" s="13" t="s">
        <v>30</v>
      </c>
      <c r="I62" s="15" t="s">
        <v>81</v>
      </c>
      <c r="J62" s="27" t="s">
        <v>67</v>
      </c>
    </row>
    <row r="63" ht="12.75" customHeight="1">
      <c r="B63" s="33"/>
      <c r="C63" s="33"/>
      <c r="D63" s="33"/>
      <c r="E63" s="33"/>
      <c r="F63" s="33"/>
      <c r="G63" s="33"/>
      <c r="H63" s="33"/>
      <c r="I63" s="33"/>
      <c r="J63" s="33"/>
    </row>
    <row r="64" ht="12.75" customHeight="1"/>
    <row r="65" ht="12.75" customHeight="1">
      <c r="B65" s="1" t="s">
        <v>82</v>
      </c>
      <c r="C65" s="2"/>
      <c r="D65" s="2"/>
      <c r="E65" s="2"/>
      <c r="F65" s="2"/>
      <c r="G65" s="2"/>
      <c r="H65" s="2"/>
      <c r="I65" s="2"/>
      <c r="J65" s="3"/>
    </row>
    <row r="66" ht="12.75" customHeight="1">
      <c r="B66" s="4"/>
      <c r="C66" s="5"/>
      <c r="D66" s="5"/>
      <c r="E66" s="5"/>
      <c r="F66" s="5"/>
      <c r="G66" s="5"/>
      <c r="H66" s="5"/>
      <c r="I66" s="5"/>
      <c r="J66" s="6"/>
    </row>
    <row r="67" ht="12.75" customHeight="1">
      <c r="B67" s="34" t="s">
        <v>1</v>
      </c>
      <c r="C67" s="35" t="s">
        <v>2</v>
      </c>
      <c r="D67" s="36" t="s">
        <v>3</v>
      </c>
      <c r="E67" s="36" t="s">
        <v>4</v>
      </c>
      <c r="F67" s="36" t="s">
        <v>5</v>
      </c>
      <c r="G67" s="36" t="s">
        <v>6</v>
      </c>
      <c r="H67" s="36" t="s">
        <v>7</v>
      </c>
      <c r="I67" s="37" t="s">
        <v>8</v>
      </c>
      <c r="J67" s="36" t="s">
        <v>9</v>
      </c>
    </row>
    <row r="68" ht="12.75" customHeight="1">
      <c r="B68" s="38">
        <v>46134.0</v>
      </c>
      <c r="C68" s="39">
        <v>6640000.0</v>
      </c>
      <c r="D68" s="40" t="s">
        <v>83</v>
      </c>
      <c r="E68" s="40" t="s">
        <v>17</v>
      </c>
      <c r="F68" s="40" t="s">
        <v>18</v>
      </c>
      <c r="G68" s="41" t="s">
        <v>84</v>
      </c>
      <c r="H68" s="40" t="s">
        <v>85</v>
      </c>
      <c r="I68" s="42" t="s">
        <v>31</v>
      </c>
      <c r="J68" s="43"/>
    </row>
    <row r="69" ht="12.75" customHeight="1">
      <c r="B69" s="38">
        <v>46134.0</v>
      </c>
      <c r="C69" s="39">
        <v>6650000.0</v>
      </c>
      <c r="D69" s="40" t="s">
        <v>83</v>
      </c>
      <c r="E69" s="40" t="s">
        <v>40</v>
      </c>
      <c r="F69" s="40" t="s">
        <v>18</v>
      </c>
      <c r="G69" s="41" t="s">
        <v>84</v>
      </c>
      <c r="H69" s="40" t="s">
        <v>85</v>
      </c>
      <c r="I69" s="42" t="s">
        <v>31</v>
      </c>
      <c r="J69" s="43"/>
    </row>
    <row r="70" ht="12.75" customHeight="1">
      <c r="B70" s="38">
        <v>46134.0</v>
      </c>
      <c r="C70" s="39">
        <v>6645000.0</v>
      </c>
      <c r="D70" s="40" t="s">
        <v>83</v>
      </c>
      <c r="E70" s="40" t="s">
        <v>39</v>
      </c>
      <c r="F70" s="40" t="s">
        <v>18</v>
      </c>
      <c r="G70" s="41" t="s">
        <v>84</v>
      </c>
      <c r="H70" s="40" t="s">
        <v>85</v>
      </c>
      <c r="I70" s="42" t="s">
        <v>31</v>
      </c>
      <c r="J70" s="43"/>
    </row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2">
    <mergeCell ref="B2:J3"/>
    <mergeCell ref="B65:J66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86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47"/>
      <c r="U1" s="47"/>
      <c r="V1" s="47"/>
      <c r="W1" s="48"/>
    </row>
    <row r="2" ht="46.5" customHeight="1">
      <c r="A2" s="49" t="s">
        <v>87</v>
      </c>
      <c r="B2" s="49" t="s">
        <v>88</v>
      </c>
      <c r="C2" s="50" t="s">
        <v>89</v>
      </c>
      <c r="D2" s="50" t="s">
        <v>90</v>
      </c>
      <c r="E2" s="49" t="s">
        <v>91</v>
      </c>
      <c r="F2" s="51" t="s">
        <v>92</v>
      </c>
      <c r="G2" s="51" t="s">
        <v>93</v>
      </c>
      <c r="H2" s="52" t="s">
        <v>94</v>
      </c>
      <c r="I2" s="52" t="s">
        <v>95</v>
      </c>
      <c r="J2" s="50" t="s">
        <v>6</v>
      </c>
      <c r="K2" s="50" t="s">
        <v>96</v>
      </c>
      <c r="L2" s="50" t="s">
        <v>97</v>
      </c>
      <c r="M2" s="50" t="s">
        <v>98</v>
      </c>
      <c r="N2" s="50" t="s">
        <v>99</v>
      </c>
      <c r="O2" s="53" t="s">
        <v>100</v>
      </c>
      <c r="P2" s="50" t="s">
        <v>101</v>
      </c>
      <c r="Q2" s="50" t="s">
        <v>28</v>
      </c>
      <c r="R2" s="50" t="s">
        <v>102</v>
      </c>
      <c r="S2" s="49" t="s">
        <v>7</v>
      </c>
      <c r="T2" s="49" t="s">
        <v>103</v>
      </c>
      <c r="U2" s="49" t="s">
        <v>104</v>
      </c>
      <c r="V2" s="49" t="s">
        <v>105</v>
      </c>
      <c r="W2" s="54" t="s">
        <v>106</v>
      </c>
    </row>
    <row r="3" ht="15.75" customHeight="1">
      <c r="A3" s="55" t="s">
        <v>24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7"/>
      <c r="H3" s="57"/>
      <c r="I3" s="57"/>
      <c r="J3" s="57" t="s">
        <v>23</v>
      </c>
      <c r="K3" s="57"/>
      <c r="L3" s="57" t="s">
        <v>107</v>
      </c>
      <c r="M3" s="57" t="s">
        <v>108</v>
      </c>
      <c r="N3" s="57">
        <v>7.711435699E9</v>
      </c>
      <c r="O3" s="56">
        <v>46085.0</v>
      </c>
      <c r="P3" s="59">
        <v>515340.0</v>
      </c>
      <c r="Q3" s="59">
        <f>300000+140000+75340</f>
        <v>515340</v>
      </c>
      <c r="R3" s="59">
        <f>+VENTA!$P3-VENTA!$Q3</f>
        <v>0</v>
      </c>
      <c r="S3" s="57" t="s">
        <v>30</v>
      </c>
      <c r="T3" s="56">
        <v>46091.0</v>
      </c>
      <c r="U3" s="60">
        <v>18.0</v>
      </c>
      <c r="V3" s="60"/>
      <c r="W3" s="60">
        <v>18.0</v>
      </c>
      <c r="X3" s="61"/>
      <c r="Y3" s="61"/>
      <c r="Z3" s="61"/>
      <c r="AA3" s="61"/>
      <c r="AB3" s="61"/>
      <c r="AC3" s="61"/>
      <c r="AD3" s="61"/>
    </row>
    <row r="4" ht="15.75" customHeight="1">
      <c r="A4" s="55" t="s">
        <v>109</v>
      </c>
      <c r="B4" s="56">
        <v>46083.0</v>
      </c>
      <c r="C4" s="57"/>
      <c r="D4" s="57">
        <v>1928.0</v>
      </c>
      <c r="E4" s="58">
        <v>30510.0</v>
      </c>
      <c r="F4" s="57">
        <v>400.0</v>
      </c>
      <c r="G4" s="57">
        <v>200.0</v>
      </c>
      <c r="H4" s="57"/>
      <c r="I4" s="57"/>
      <c r="J4" s="57" t="s">
        <v>110</v>
      </c>
      <c r="K4" s="57"/>
      <c r="L4" s="57" t="s">
        <v>111</v>
      </c>
      <c r="M4" s="57" t="s">
        <v>112</v>
      </c>
      <c r="N4" s="57">
        <v>6.442062694E9</v>
      </c>
      <c r="O4" s="56">
        <v>46085.0</v>
      </c>
      <c r="P4" s="59">
        <v>414920.0</v>
      </c>
      <c r="Q4" s="59">
        <v>414920.0</v>
      </c>
      <c r="R4" s="59">
        <f>+VENTA!$P4-VENTA!$Q4</f>
        <v>0</v>
      </c>
      <c r="S4" s="57" t="s">
        <v>30</v>
      </c>
      <c r="T4" s="56">
        <v>46092.0</v>
      </c>
      <c r="U4" s="60">
        <v>17.0</v>
      </c>
      <c r="V4" s="60">
        <v>12.0</v>
      </c>
      <c r="W4" s="60">
        <v>22.0</v>
      </c>
      <c r="X4" s="61"/>
      <c r="Y4" s="61"/>
      <c r="Z4" s="61"/>
      <c r="AA4" s="61"/>
      <c r="AB4" s="61"/>
      <c r="AC4" s="61"/>
      <c r="AD4" s="61"/>
    </row>
    <row r="5" ht="15.75" customHeight="1">
      <c r="A5" s="55" t="s">
        <v>113</v>
      </c>
      <c r="B5" s="56">
        <v>46084.0</v>
      </c>
      <c r="C5" s="57"/>
      <c r="D5" s="57">
        <v>1928.0</v>
      </c>
      <c r="E5" s="58">
        <v>30270.0</v>
      </c>
      <c r="F5" s="57">
        <v>600.0</v>
      </c>
      <c r="G5" s="57"/>
      <c r="H5" s="57"/>
      <c r="I5" s="57"/>
      <c r="J5" s="57" t="s">
        <v>114</v>
      </c>
      <c r="K5" s="57"/>
      <c r="L5" s="57" t="s">
        <v>115</v>
      </c>
      <c r="M5" s="57" t="s">
        <v>116</v>
      </c>
      <c r="N5" s="57">
        <v>5.568874556E9</v>
      </c>
      <c r="O5" s="56">
        <v>46086.0</v>
      </c>
      <c r="P5" s="59">
        <v>294888.0</v>
      </c>
      <c r="Q5" s="59">
        <v>294888.0</v>
      </c>
      <c r="R5" s="59">
        <f>+VENTA!$P5-VENTA!$Q5</f>
        <v>0</v>
      </c>
      <c r="S5" s="57" t="s">
        <v>30</v>
      </c>
      <c r="T5" s="56">
        <v>46120.0</v>
      </c>
      <c r="U5" s="60">
        <v>11.0</v>
      </c>
      <c r="V5" s="60"/>
      <c r="W5" s="60">
        <v>23.0</v>
      </c>
      <c r="X5" s="61"/>
      <c r="Y5" s="61"/>
      <c r="Z5" s="61"/>
      <c r="AA5" s="61"/>
      <c r="AB5" s="61"/>
      <c r="AC5" s="61"/>
      <c r="AD5" s="61"/>
    </row>
    <row r="6" ht="15.75" customHeight="1">
      <c r="A6" s="55" t="s">
        <v>117</v>
      </c>
      <c r="B6" s="56">
        <v>46084.0</v>
      </c>
      <c r="C6" s="57"/>
      <c r="D6" s="57">
        <v>1928.0</v>
      </c>
      <c r="E6" s="58">
        <v>30570.0</v>
      </c>
      <c r="F6" s="57">
        <v>600.0</v>
      </c>
      <c r="G6" s="57"/>
      <c r="H6" s="57"/>
      <c r="I6" s="57"/>
      <c r="J6" s="57" t="s">
        <v>79</v>
      </c>
      <c r="K6" s="57"/>
      <c r="L6" s="57" t="s">
        <v>118</v>
      </c>
      <c r="M6" s="57" t="s">
        <v>119</v>
      </c>
      <c r="N6" s="57">
        <v>4.492731814E9</v>
      </c>
      <c r="O6" s="56">
        <v>46086.0</v>
      </c>
      <c r="P6" s="59">
        <v>451840.0</v>
      </c>
      <c r="Q6" s="59">
        <v>451840.0</v>
      </c>
      <c r="R6" s="59">
        <f>+VENTA!$P6-VENTA!$Q6</f>
        <v>0</v>
      </c>
      <c r="S6" s="57" t="s">
        <v>30</v>
      </c>
      <c r="T6" s="56">
        <v>46135.0</v>
      </c>
      <c r="U6" s="60">
        <v>16.0</v>
      </c>
      <c r="V6" s="60"/>
      <c r="W6" s="60">
        <v>31.0</v>
      </c>
      <c r="X6" s="61"/>
      <c r="Y6" s="61"/>
      <c r="Z6" s="61"/>
      <c r="AA6" s="61"/>
      <c r="AB6" s="61"/>
      <c r="AC6" s="61"/>
      <c r="AD6" s="61"/>
    </row>
    <row r="7" ht="15.75" customHeight="1">
      <c r="A7" s="55" t="s">
        <v>60</v>
      </c>
      <c r="B7" s="56">
        <v>46085.0</v>
      </c>
      <c r="C7" s="57"/>
      <c r="D7" s="57">
        <v>1928.0</v>
      </c>
      <c r="E7" s="58">
        <v>30450.0</v>
      </c>
      <c r="F7" s="57">
        <v>600.0</v>
      </c>
      <c r="G7" s="57"/>
      <c r="H7" s="57"/>
      <c r="I7" s="57"/>
      <c r="J7" s="57" t="s">
        <v>59</v>
      </c>
      <c r="K7" s="57"/>
      <c r="L7" s="57" t="s">
        <v>120</v>
      </c>
      <c r="M7" s="57" t="s">
        <v>121</v>
      </c>
      <c r="N7" s="57">
        <v>4.491111634E9</v>
      </c>
      <c r="O7" s="56">
        <v>46087.0</v>
      </c>
      <c r="P7" s="59">
        <v>490500.0</v>
      </c>
      <c r="Q7" s="59">
        <v>490500.0</v>
      </c>
      <c r="R7" s="59">
        <f>+VENTA!$P7-VENTA!$Q7</f>
        <v>0</v>
      </c>
      <c r="S7" s="57" t="s">
        <v>85</v>
      </c>
      <c r="T7" s="56">
        <v>46104.0</v>
      </c>
      <c r="U7" s="60">
        <v>18.0</v>
      </c>
      <c r="V7" s="60"/>
      <c r="W7" s="60">
        <v>33.0</v>
      </c>
      <c r="X7" s="61"/>
      <c r="Y7" s="61"/>
      <c r="Z7" s="61"/>
      <c r="AA7" s="61"/>
      <c r="AB7" s="61"/>
      <c r="AC7" s="61"/>
      <c r="AD7" s="61"/>
    </row>
    <row r="8" ht="15.75" customHeight="1">
      <c r="A8" s="55" t="s">
        <v>122</v>
      </c>
      <c r="B8" s="56">
        <v>46085.0</v>
      </c>
      <c r="C8" s="57"/>
      <c r="D8" s="57">
        <v>1928.0</v>
      </c>
      <c r="E8" s="58">
        <v>30610.0</v>
      </c>
      <c r="F8" s="57">
        <v>600.0</v>
      </c>
      <c r="G8" s="57"/>
      <c r="H8" s="57"/>
      <c r="I8" s="57"/>
      <c r="J8" s="62" t="s">
        <v>123</v>
      </c>
      <c r="K8" s="62"/>
      <c r="L8" s="62" t="s">
        <v>124</v>
      </c>
      <c r="M8" s="62" t="s">
        <v>125</v>
      </c>
      <c r="N8" s="62">
        <v>6.442462077E9</v>
      </c>
      <c r="O8" s="63">
        <v>46087.0</v>
      </c>
      <c r="P8" s="64">
        <v>432960.0</v>
      </c>
      <c r="Q8" s="64"/>
      <c r="R8" s="59">
        <f>+VENTA!$P8-VENTA!$Q8</f>
        <v>432960</v>
      </c>
      <c r="S8" s="57" t="s">
        <v>126</v>
      </c>
      <c r="T8" s="56"/>
      <c r="U8" s="60"/>
      <c r="V8" s="60"/>
      <c r="W8" s="60">
        <v>27.0</v>
      </c>
      <c r="X8" s="61"/>
      <c r="Y8" s="61"/>
      <c r="Z8" s="61"/>
      <c r="AA8" s="61"/>
      <c r="AB8" s="61"/>
      <c r="AC8" s="61"/>
      <c r="AD8" s="61"/>
    </row>
    <row r="9" ht="15.75" customHeight="1">
      <c r="A9" s="55" t="s">
        <v>127</v>
      </c>
      <c r="B9" s="56">
        <v>46086.0</v>
      </c>
      <c r="C9" s="57"/>
      <c r="D9" s="57">
        <v>1928.0</v>
      </c>
      <c r="E9" s="58">
        <v>30330.0</v>
      </c>
      <c r="F9" s="57">
        <v>600.0</v>
      </c>
      <c r="G9" s="57"/>
      <c r="H9" s="57"/>
      <c r="I9" s="57"/>
      <c r="J9" s="57" t="s">
        <v>128</v>
      </c>
      <c r="K9" s="57"/>
      <c r="L9" s="57" t="s">
        <v>129</v>
      </c>
      <c r="M9" s="57" t="s">
        <v>130</v>
      </c>
      <c r="N9" s="57">
        <v>9.981124764E9</v>
      </c>
      <c r="O9" s="56">
        <v>46088.0</v>
      </c>
      <c r="P9" s="59">
        <v>382520.0</v>
      </c>
      <c r="Q9" s="59">
        <v>382520.0</v>
      </c>
      <c r="R9" s="59">
        <f>+VENTA!$P9-VENTA!$Q9</f>
        <v>0</v>
      </c>
      <c r="S9" s="57" t="s">
        <v>85</v>
      </c>
      <c r="T9" s="56">
        <v>46112.0</v>
      </c>
      <c r="U9" s="60">
        <v>14.5</v>
      </c>
      <c r="V9" s="60">
        <v>11.0</v>
      </c>
      <c r="W9" s="60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5" t="s">
        <v>131</v>
      </c>
      <c r="B10" s="56">
        <v>46086.0</v>
      </c>
      <c r="C10" s="57"/>
      <c r="D10" s="57">
        <v>1928.0</v>
      </c>
      <c r="E10" s="58">
        <v>30320.0</v>
      </c>
      <c r="F10" s="57">
        <v>600.0</v>
      </c>
      <c r="G10" s="57"/>
      <c r="H10" s="57"/>
      <c r="I10" s="57"/>
      <c r="J10" s="62" t="s">
        <v>59</v>
      </c>
      <c r="K10" s="62"/>
      <c r="L10" s="62" t="s">
        <v>120</v>
      </c>
      <c r="M10" s="62" t="s">
        <v>132</v>
      </c>
      <c r="N10" s="62">
        <v>8.113687191E9</v>
      </c>
      <c r="O10" s="63">
        <v>46088.0</v>
      </c>
      <c r="P10" s="66"/>
      <c r="Q10" s="64"/>
      <c r="R10" s="59">
        <f>+VENTA!$P10-VENTA!$Q10</f>
        <v>0</v>
      </c>
      <c r="S10" s="57"/>
      <c r="T10" s="56"/>
      <c r="U10" s="60"/>
      <c r="V10" s="60"/>
      <c r="W10" s="60">
        <v>33.0</v>
      </c>
      <c r="X10" s="61"/>
      <c r="Y10" s="61"/>
      <c r="Z10" s="61"/>
      <c r="AA10" s="61"/>
      <c r="AB10" s="61"/>
      <c r="AC10" s="61"/>
      <c r="AD10" s="61"/>
    </row>
    <row r="11" ht="15.75" customHeight="1">
      <c r="A11" s="55" t="s">
        <v>133</v>
      </c>
      <c r="B11" s="56">
        <v>46087.0</v>
      </c>
      <c r="C11" s="57"/>
      <c r="D11" s="57">
        <v>1928.0</v>
      </c>
      <c r="E11" s="58">
        <v>30540.0</v>
      </c>
      <c r="F11" s="57">
        <v>600.0</v>
      </c>
      <c r="G11" s="57"/>
      <c r="H11" s="57"/>
      <c r="I11" s="57"/>
      <c r="J11" s="62" t="s">
        <v>134</v>
      </c>
      <c r="K11" s="63"/>
      <c r="L11" s="62" t="s">
        <v>135</v>
      </c>
      <c r="M11" s="62" t="s">
        <v>136</v>
      </c>
      <c r="N11" s="62">
        <v>5.525317818E9</v>
      </c>
      <c r="O11" s="63">
        <v>46089.0</v>
      </c>
      <c r="P11" s="66"/>
      <c r="Q11" s="64"/>
      <c r="R11" s="59">
        <f>+VENTA!$P11-VENTA!$Q11</f>
        <v>0</v>
      </c>
      <c r="S11" s="57"/>
      <c r="T11" s="56"/>
      <c r="U11" s="60"/>
      <c r="V11" s="60"/>
      <c r="W11" s="60">
        <v>24.0</v>
      </c>
      <c r="X11" s="61"/>
      <c r="Y11" s="61"/>
      <c r="Z11" s="61"/>
      <c r="AA11" s="61"/>
      <c r="AB11" s="61"/>
      <c r="AC11" s="61"/>
      <c r="AD11" s="61"/>
    </row>
    <row r="12" ht="15.75" customHeight="1">
      <c r="A12" s="55" t="s">
        <v>137</v>
      </c>
      <c r="B12" s="56">
        <v>46087.0</v>
      </c>
      <c r="C12" s="57"/>
      <c r="D12" s="57">
        <v>1928.0</v>
      </c>
      <c r="E12" s="58">
        <v>30480.0</v>
      </c>
      <c r="F12" s="57">
        <v>600.0</v>
      </c>
      <c r="G12" s="57"/>
      <c r="H12" s="57"/>
      <c r="I12" s="57"/>
      <c r="J12" s="62" t="s">
        <v>134</v>
      </c>
      <c r="K12" s="62"/>
      <c r="L12" s="62" t="s">
        <v>135</v>
      </c>
      <c r="M12" s="62" t="s">
        <v>138</v>
      </c>
      <c r="N12" s="62">
        <v>5.531985876E9</v>
      </c>
      <c r="O12" s="63">
        <v>46089.0</v>
      </c>
      <c r="P12" s="66"/>
      <c r="Q12" s="64"/>
      <c r="R12" s="59">
        <f>+VENTA!$P12-VENTA!$Q12</f>
        <v>0</v>
      </c>
      <c r="S12" s="57"/>
      <c r="T12" s="56"/>
      <c r="U12" s="60"/>
      <c r="V12" s="60"/>
      <c r="W12" s="60">
        <v>24.0</v>
      </c>
      <c r="X12" s="61"/>
      <c r="Y12" s="61"/>
      <c r="Z12" s="61"/>
      <c r="AA12" s="61"/>
      <c r="AB12" s="61"/>
      <c r="AC12" s="61"/>
      <c r="AD12" s="61"/>
    </row>
    <row r="13" ht="15.75" customHeight="1">
      <c r="A13" s="55" t="s">
        <v>53</v>
      </c>
      <c r="B13" s="56">
        <v>46088.0</v>
      </c>
      <c r="C13" s="57"/>
      <c r="D13" s="57">
        <v>1928.0</v>
      </c>
      <c r="E13" s="58">
        <v>30640.0</v>
      </c>
      <c r="F13" s="57">
        <v>600.0</v>
      </c>
      <c r="G13" s="57"/>
      <c r="H13" s="57"/>
      <c r="I13" s="57"/>
      <c r="J13" s="57" t="s">
        <v>47</v>
      </c>
      <c r="K13" s="57"/>
      <c r="L13" s="57" t="s">
        <v>120</v>
      </c>
      <c r="M13" s="57" t="s">
        <v>139</v>
      </c>
      <c r="N13" s="57">
        <v>6.251527952E9</v>
      </c>
      <c r="O13" s="56">
        <v>46090.0</v>
      </c>
      <c r="P13" s="59">
        <v>441120.0</v>
      </c>
      <c r="Q13" s="59">
        <f>91050+350000</f>
        <v>441050</v>
      </c>
      <c r="R13" s="59"/>
      <c r="S13" s="57" t="s">
        <v>30</v>
      </c>
      <c r="T13" s="56">
        <v>46088.0</v>
      </c>
      <c r="U13" s="60">
        <v>16.0</v>
      </c>
      <c r="V13" s="60"/>
      <c r="W13" s="60">
        <v>33.0</v>
      </c>
      <c r="X13" s="61"/>
      <c r="Y13" s="61"/>
      <c r="Z13" s="61"/>
      <c r="AA13" s="61"/>
      <c r="AB13" s="61"/>
      <c r="AC13" s="61"/>
      <c r="AD13" s="61"/>
    </row>
    <row r="14" ht="15.75" customHeight="1">
      <c r="A14" s="55" t="s">
        <v>140</v>
      </c>
      <c r="B14" s="56">
        <v>46088.0</v>
      </c>
      <c r="C14" s="57"/>
      <c r="D14" s="57">
        <v>1928.0</v>
      </c>
      <c r="E14" s="58">
        <v>30430.0</v>
      </c>
      <c r="F14" s="57">
        <v>600.0</v>
      </c>
      <c r="G14" s="57"/>
      <c r="H14" s="57"/>
      <c r="I14" s="57"/>
      <c r="J14" s="62" t="s">
        <v>79</v>
      </c>
      <c r="K14" s="62"/>
      <c r="L14" s="62" t="s">
        <v>141</v>
      </c>
      <c r="M14" s="62" t="s">
        <v>142</v>
      </c>
      <c r="N14" s="62">
        <v>4.651078985E9</v>
      </c>
      <c r="O14" s="63">
        <v>46090.0</v>
      </c>
      <c r="P14" s="64">
        <v>431200.0</v>
      </c>
      <c r="Q14" s="64"/>
      <c r="R14" s="59">
        <f>+VENTA!$P14-VENTA!$Q14</f>
        <v>431200</v>
      </c>
      <c r="S14" s="57" t="s">
        <v>126</v>
      </c>
      <c r="T14" s="56"/>
      <c r="U14" s="60">
        <v>16.0</v>
      </c>
      <c r="V14" s="60"/>
      <c r="W14" s="60">
        <v>27.0</v>
      </c>
      <c r="X14" s="61"/>
      <c r="Y14" s="61"/>
      <c r="Z14" s="61"/>
      <c r="AA14" s="61"/>
      <c r="AB14" s="61"/>
      <c r="AC14" s="61"/>
      <c r="AD14" s="61"/>
    </row>
    <row r="15" ht="15.75" customHeight="1">
      <c r="A15" s="55" t="s">
        <v>15</v>
      </c>
      <c r="B15" s="56">
        <v>46090.0</v>
      </c>
      <c r="C15" s="57"/>
      <c r="D15" s="57">
        <v>1928.0</v>
      </c>
      <c r="E15" s="58">
        <v>15280.0</v>
      </c>
      <c r="F15" s="57">
        <v>300.0</v>
      </c>
      <c r="G15" s="57"/>
      <c r="H15" s="57"/>
      <c r="I15" s="57"/>
      <c r="J15" s="62" t="s">
        <v>12</v>
      </c>
      <c r="K15" s="62"/>
      <c r="L15" s="62" t="s">
        <v>120</v>
      </c>
      <c r="M15" s="62" t="s">
        <v>143</v>
      </c>
      <c r="N15" s="62">
        <v>8.26170743E9</v>
      </c>
      <c r="O15" s="63">
        <v>46092.0</v>
      </c>
      <c r="P15" s="66"/>
      <c r="Q15" s="64">
        <v>200000.0</v>
      </c>
      <c r="R15" s="59"/>
      <c r="S15" s="57" t="s">
        <v>13</v>
      </c>
      <c r="T15" s="56"/>
      <c r="U15" s="60"/>
      <c r="V15" s="60"/>
      <c r="W15" s="60">
        <v>33.0</v>
      </c>
      <c r="X15" s="61"/>
      <c r="Y15" s="61"/>
      <c r="Z15" s="61"/>
      <c r="AA15" s="61"/>
      <c r="AB15" s="61"/>
      <c r="AC15" s="61"/>
      <c r="AD15" s="61"/>
    </row>
    <row r="16" ht="15.75" customHeight="1">
      <c r="A16" s="55" t="s">
        <v>51</v>
      </c>
      <c r="B16" s="56">
        <v>46090.0</v>
      </c>
      <c r="C16" s="57"/>
      <c r="D16" s="57">
        <v>1928.0</v>
      </c>
      <c r="E16" s="58">
        <v>30560.0</v>
      </c>
      <c r="F16" s="57">
        <v>600.0</v>
      </c>
      <c r="G16" s="57"/>
      <c r="H16" s="57"/>
      <c r="I16" s="57"/>
      <c r="J16" s="62" t="s">
        <v>12</v>
      </c>
      <c r="K16" s="62"/>
      <c r="L16" s="62" t="s">
        <v>144</v>
      </c>
      <c r="M16" s="62" t="s">
        <v>145</v>
      </c>
      <c r="N16" s="62">
        <v>3.411620837E9</v>
      </c>
      <c r="O16" s="63">
        <v>46092.0</v>
      </c>
      <c r="P16" s="67">
        <v>405130.0</v>
      </c>
      <c r="Q16" s="64">
        <v>300000.0</v>
      </c>
      <c r="R16" s="59">
        <f>P16-Q16</f>
        <v>105130</v>
      </c>
      <c r="S16" s="57" t="s">
        <v>13</v>
      </c>
      <c r="T16" s="56"/>
      <c r="U16" s="68">
        <v>14.5</v>
      </c>
      <c r="V16" s="60"/>
      <c r="W16" s="60">
        <v>25.0</v>
      </c>
      <c r="X16" s="61"/>
      <c r="Y16" s="61"/>
      <c r="Z16" s="61"/>
      <c r="AA16" s="61"/>
      <c r="AB16" s="61"/>
      <c r="AC16" s="61"/>
      <c r="AD16" s="61"/>
    </row>
    <row r="17" ht="15.75" customHeight="1">
      <c r="A17" s="55" t="s">
        <v>146</v>
      </c>
      <c r="B17" s="56">
        <v>46090.0</v>
      </c>
      <c r="C17" s="57"/>
      <c r="D17" s="57">
        <v>1928.0</v>
      </c>
      <c r="E17" s="58">
        <v>30790.0</v>
      </c>
      <c r="F17" s="57">
        <v>600.0</v>
      </c>
      <c r="G17" s="57"/>
      <c r="H17" s="57"/>
      <c r="I17" s="57"/>
      <c r="J17" s="57" t="s">
        <v>77</v>
      </c>
      <c r="K17" s="57"/>
      <c r="L17" s="57" t="s">
        <v>115</v>
      </c>
      <c r="M17" s="57" t="s">
        <v>147</v>
      </c>
      <c r="N17" s="57">
        <v>6.694034337E9</v>
      </c>
      <c r="O17" s="56">
        <v>46092.0</v>
      </c>
      <c r="P17" s="59">
        <v>298100.0</v>
      </c>
      <c r="Q17" s="59">
        <f>120000+178100</f>
        <v>298100</v>
      </c>
      <c r="R17" s="59">
        <f>+VENTA!$P17-VENTA!$Q17</f>
        <v>0</v>
      </c>
      <c r="S17" s="57" t="s">
        <v>30</v>
      </c>
      <c r="T17" s="56">
        <v>46120.0</v>
      </c>
      <c r="U17" s="60">
        <v>11.0</v>
      </c>
      <c r="V17" s="60"/>
      <c r="W17" s="60">
        <v>23.0</v>
      </c>
      <c r="X17" s="61"/>
      <c r="Y17" s="61"/>
      <c r="Z17" s="61"/>
      <c r="AA17" s="61"/>
      <c r="AB17" s="61"/>
      <c r="AC17" s="61"/>
      <c r="AD17" s="61"/>
    </row>
    <row r="18" ht="15.75" customHeight="1">
      <c r="A18" s="55" t="s">
        <v>56</v>
      </c>
      <c r="B18" s="56">
        <v>46091.0</v>
      </c>
      <c r="C18" s="57"/>
      <c r="D18" s="57">
        <v>1928.0</v>
      </c>
      <c r="E18" s="58">
        <v>30860.0</v>
      </c>
      <c r="F18" s="57">
        <v>600.0</v>
      </c>
      <c r="G18" s="57"/>
      <c r="H18" s="57"/>
      <c r="I18" s="57"/>
      <c r="J18" s="57" t="s">
        <v>29</v>
      </c>
      <c r="K18" s="57"/>
      <c r="L18" s="57" t="s">
        <v>148</v>
      </c>
      <c r="M18" s="57" t="s">
        <v>149</v>
      </c>
      <c r="N18" s="57">
        <v>4.422372733E9</v>
      </c>
      <c r="O18" s="56">
        <v>46093.0</v>
      </c>
      <c r="P18" s="59">
        <v>417600.0</v>
      </c>
      <c r="Q18" s="59">
        <v>417600.0</v>
      </c>
      <c r="R18" s="59">
        <f>+VENTA!$P18-VENTA!$Q18</f>
        <v>0</v>
      </c>
      <c r="S18" s="57" t="s">
        <v>30</v>
      </c>
      <c r="T18" s="56">
        <v>46100.0</v>
      </c>
      <c r="U18" s="60">
        <v>15.0</v>
      </c>
      <c r="V18" s="60"/>
      <c r="W18" s="60">
        <v>20.0</v>
      </c>
      <c r="X18" s="61"/>
      <c r="Y18" s="61"/>
      <c r="Z18" s="61"/>
      <c r="AA18" s="61"/>
      <c r="AB18" s="61"/>
      <c r="AC18" s="61"/>
      <c r="AD18" s="61"/>
    </row>
    <row r="19" ht="15.75" customHeight="1">
      <c r="A19" s="55" t="s">
        <v>150</v>
      </c>
      <c r="B19" s="56">
        <v>46091.0</v>
      </c>
      <c r="C19" s="57"/>
      <c r="D19" s="57">
        <v>1928.0</v>
      </c>
      <c r="E19" s="58">
        <v>30550.0</v>
      </c>
      <c r="F19" s="57">
        <v>400.0</v>
      </c>
      <c r="G19" s="57">
        <v>200.0</v>
      </c>
      <c r="H19" s="57"/>
      <c r="I19" s="57"/>
      <c r="J19" s="57" t="s">
        <v>151</v>
      </c>
      <c r="K19" s="57"/>
      <c r="L19" s="57" t="s">
        <v>152</v>
      </c>
      <c r="M19" s="57" t="s">
        <v>153</v>
      </c>
      <c r="N19" s="57">
        <v>4.521003379E9</v>
      </c>
      <c r="O19" s="56">
        <v>46093.0</v>
      </c>
      <c r="P19" s="59">
        <v>369000.0</v>
      </c>
      <c r="Q19" s="59">
        <f>108886+240000+20714</f>
        <v>369600</v>
      </c>
      <c r="R19" s="59">
        <f>+VENTA!$P19-VENTA!$Q19</f>
        <v>-600</v>
      </c>
      <c r="S19" s="57" t="s">
        <v>30</v>
      </c>
      <c r="T19" s="56">
        <v>46140.0</v>
      </c>
      <c r="U19" s="60">
        <v>16.0</v>
      </c>
      <c r="V19" s="60">
        <v>10.0</v>
      </c>
      <c r="W19" s="60">
        <v>23.0</v>
      </c>
      <c r="X19" s="61"/>
      <c r="Y19" s="61"/>
      <c r="Z19" s="61"/>
      <c r="AA19" s="61"/>
      <c r="AB19" s="61"/>
      <c r="AC19" s="61"/>
      <c r="AD19" s="61"/>
    </row>
    <row r="20" ht="15.75" customHeight="1">
      <c r="A20" s="55" t="s">
        <v>154</v>
      </c>
      <c r="B20" s="56">
        <v>46091.0</v>
      </c>
      <c r="C20" s="57"/>
      <c r="D20" s="57">
        <v>1928.0</v>
      </c>
      <c r="E20" s="58">
        <v>30600.0</v>
      </c>
      <c r="F20" s="57">
        <v>600.0</v>
      </c>
      <c r="G20" s="57"/>
      <c r="H20" s="57"/>
      <c r="I20" s="57"/>
      <c r="J20" s="57" t="s">
        <v>59</v>
      </c>
      <c r="K20" s="57"/>
      <c r="L20" s="57" t="s">
        <v>120</v>
      </c>
      <c r="M20" s="57" t="s">
        <v>155</v>
      </c>
      <c r="N20" s="57">
        <v>6.251463217E9</v>
      </c>
      <c r="O20" s="56">
        <v>46093.0</v>
      </c>
      <c r="P20" s="59">
        <v>444160.0</v>
      </c>
      <c r="Q20" s="59">
        <v>444160.0</v>
      </c>
      <c r="R20" s="59">
        <f>+VENTA!$P20-VENTA!$Q20</f>
        <v>0</v>
      </c>
      <c r="S20" s="57" t="s">
        <v>30</v>
      </c>
      <c r="T20" s="56">
        <v>46108.0</v>
      </c>
      <c r="U20" s="60">
        <v>18.0</v>
      </c>
      <c r="V20" s="60"/>
      <c r="W20" s="60">
        <v>33.0</v>
      </c>
      <c r="X20" s="61"/>
      <c r="Y20" s="61"/>
      <c r="Z20" s="61"/>
      <c r="AA20" s="61"/>
      <c r="AB20" s="61"/>
      <c r="AC20" s="61"/>
      <c r="AD20" s="61"/>
    </row>
    <row r="21" ht="15.75" customHeight="1">
      <c r="A21" s="55" t="s">
        <v>156</v>
      </c>
      <c r="B21" s="56">
        <v>46092.0</v>
      </c>
      <c r="C21" s="57"/>
      <c r="D21" s="57">
        <v>1928.0</v>
      </c>
      <c r="E21" s="58">
        <v>30900.0</v>
      </c>
      <c r="F21" s="57">
        <v>600.0</v>
      </c>
      <c r="G21" s="57"/>
      <c r="H21" s="57"/>
      <c r="I21" s="57"/>
      <c r="J21" s="62" t="s">
        <v>123</v>
      </c>
      <c r="K21" s="62"/>
      <c r="L21" s="62" t="s">
        <v>124</v>
      </c>
      <c r="M21" s="62" t="s">
        <v>157</v>
      </c>
      <c r="N21" s="62">
        <v>6.142256686E9</v>
      </c>
      <c r="O21" s="63">
        <v>46093.0</v>
      </c>
      <c r="P21" s="64">
        <v>413250.0</v>
      </c>
      <c r="Q21" s="64"/>
      <c r="R21" s="59">
        <f>+VENTA!$P21-VENTA!$Q21</f>
        <v>413250</v>
      </c>
      <c r="S21" s="57"/>
      <c r="T21" s="56"/>
      <c r="U21" s="60"/>
      <c r="V21" s="60"/>
      <c r="W21" s="60">
        <v>26.0</v>
      </c>
      <c r="X21" s="61"/>
      <c r="Y21" s="61"/>
      <c r="Z21" s="61"/>
      <c r="AA21" s="61"/>
      <c r="AB21" s="61"/>
      <c r="AC21" s="61"/>
      <c r="AD21" s="61"/>
    </row>
    <row r="22" ht="15.75" customHeight="1">
      <c r="A22" s="55" t="s">
        <v>158</v>
      </c>
      <c r="B22" s="56">
        <v>46092.0</v>
      </c>
      <c r="C22" s="57"/>
      <c r="D22" s="57">
        <v>1928.0</v>
      </c>
      <c r="E22" s="58">
        <v>30680.0</v>
      </c>
      <c r="F22" s="57">
        <v>600.0</v>
      </c>
      <c r="G22" s="57"/>
      <c r="H22" s="57"/>
      <c r="I22" s="57"/>
      <c r="J22" s="62" t="s">
        <v>159</v>
      </c>
      <c r="K22" s="62"/>
      <c r="L22" s="62" t="s">
        <v>160</v>
      </c>
      <c r="M22" s="62" t="s">
        <v>112</v>
      </c>
      <c r="N22" s="62">
        <v>6.442062694E9</v>
      </c>
      <c r="O22" s="63">
        <v>46094.0</v>
      </c>
      <c r="P22" s="64">
        <v>412050.0</v>
      </c>
      <c r="Q22" s="64"/>
      <c r="R22" s="59">
        <f>+VENTA!$P22-VENTA!$Q22</f>
        <v>412050</v>
      </c>
      <c r="S22" s="57" t="s">
        <v>126</v>
      </c>
      <c r="T22" s="56"/>
      <c r="U22" s="60">
        <v>15.0</v>
      </c>
      <c r="V22" s="60"/>
      <c r="W22" s="60">
        <v>23.5</v>
      </c>
      <c r="X22" s="61"/>
      <c r="Y22" s="61"/>
      <c r="Z22" s="61"/>
      <c r="AA22" s="61"/>
      <c r="AB22" s="61"/>
      <c r="AC22" s="61"/>
      <c r="AD22" s="61"/>
    </row>
    <row r="23" ht="15.75" customHeight="1">
      <c r="A23" s="55" t="s">
        <v>161</v>
      </c>
      <c r="B23" s="56">
        <v>46093.0</v>
      </c>
      <c r="C23" s="57"/>
      <c r="D23" s="57">
        <v>1928.0</v>
      </c>
      <c r="E23" s="58">
        <v>30590.0</v>
      </c>
      <c r="F23" s="57">
        <v>600.0</v>
      </c>
      <c r="G23" s="57"/>
      <c r="H23" s="57"/>
      <c r="I23" s="57"/>
      <c r="J23" s="57" t="s">
        <v>59</v>
      </c>
      <c r="K23" s="57"/>
      <c r="L23" s="57" t="s">
        <v>120</v>
      </c>
      <c r="M23" s="57" t="s">
        <v>162</v>
      </c>
      <c r="N23" s="57">
        <v>6.141004131E9</v>
      </c>
      <c r="O23" s="56">
        <v>46095.0</v>
      </c>
      <c r="P23" s="59">
        <v>403500.0</v>
      </c>
      <c r="Q23" s="59">
        <v>403500.0</v>
      </c>
      <c r="R23" s="59">
        <f>+VENTA!$P23-VENTA!$Q23</f>
        <v>0</v>
      </c>
      <c r="S23" s="57" t="s">
        <v>30</v>
      </c>
      <c r="T23" s="56">
        <v>46093.0</v>
      </c>
      <c r="U23" s="60">
        <v>15.0</v>
      </c>
      <c r="V23" s="60"/>
      <c r="W23" s="60">
        <v>33.0</v>
      </c>
      <c r="X23" s="61"/>
      <c r="Y23" s="61"/>
      <c r="Z23" s="61"/>
      <c r="AA23" s="61"/>
      <c r="AB23" s="61"/>
      <c r="AC23" s="61"/>
      <c r="AD23" s="61"/>
    </row>
    <row r="24" ht="15.75" customHeight="1">
      <c r="A24" s="55" t="s">
        <v>43</v>
      </c>
      <c r="B24" s="56">
        <v>46101.0</v>
      </c>
      <c r="C24" s="57"/>
      <c r="D24" s="57">
        <v>405.0</v>
      </c>
      <c r="E24" s="58">
        <v>30210.0</v>
      </c>
      <c r="F24" s="57">
        <v>600.0</v>
      </c>
      <c r="G24" s="57"/>
      <c r="H24" s="57"/>
      <c r="I24" s="57"/>
      <c r="J24" s="57" t="s">
        <v>42</v>
      </c>
      <c r="K24" s="57"/>
      <c r="L24" s="57" t="s">
        <v>163</v>
      </c>
      <c r="M24" s="57" t="s">
        <v>164</v>
      </c>
      <c r="N24" s="57">
        <v>7.611038417E9</v>
      </c>
      <c r="O24" s="56">
        <v>46103.0</v>
      </c>
      <c r="P24" s="59">
        <v>390880.0</v>
      </c>
      <c r="Q24" s="59">
        <v>400000.0</v>
      </c>
      <c r="R24" s="59"/>
      <c r="S24" s="57" t="s">
        <v>30</v>
      </c>
      <c r="T24" s="56">
        <v>46102.0</v>
      </c>
      <c r="U24" s="60"/>
      <c r="V24" s="60"/>
      <c r="W24" s="60">
        <v>20.0</v>
      </c>
      <c r="X24" s="61"/>
      <c r="Y24" s="61"/>
      <c r="Z24" s="61"/>
      <c r="AA24" s="61"/>
      <c r="AB24" s="61"/>
      <c r="AC24" s="61"/>
      <c r="AD24" s="61"/>
    </row>
    <row r="25" ht="15.75" customHeight="1">
      <c r="A25" s="55" t="s">
        <v>165</v>
      </c>
      <c r="B25" s="56">
        <v>46101.0</v>
      </c>
      <c r="C25" s="57"/>
      <c r="D25" s="57">
        <v>405.0</v>
      </c>
      <c r="E25" s="58">
        <v>30050.0</v>
      </c>
      <c r="F25" s="57">
        <v>600.0</v>
      </c>
      <c r="G25" s="57"/>
      <c r="H25" s="57"/>
      <c r="I25" s="57"/>
      <c r="J25" s="62" t="s">
        <v>79</v>
      </c>
      <c r="K25" s="62"/>
      <c r="L25" s="62" t="s">
        <v>166</v>
      </c>
      <c r="M25" s="62" t="s">
        <v>167</v>
      </c>
      <c r="N25" s="62">
        <v>4.441652219E9</v>
      </c>
      <c r="O25" s="63">
        <v>46104.0</v>
      </c>
      <c r="P25" s="66"/>
      <c r="Q25" s="64"/>
      <c r="R25" s="59">
        <f>+VENTA!$P25-VENTA!$Q25</f>
        <v>0</v>
      </c>
      <c r="S25" s="57"/>
      <c r="T25" s="56"/>
      <c r="U25" s="60"/>
      <c r="V25" s="60"/>
      <c r="W25" s="60">
        <v>30.0</v>
      </c>
      <c r="X25" s="61"/>
      <c r="Y25" s="61"/>
      <c r="Z25" s="61"/>
      <c r="AA25" s="61"/>
      <c r="AB25" s="61"/>
      <c r="AC25" s="61"/>
      <c r="AD25" s="61"/>
    </row>
    <row r="26" ht="15.75" customHeight="1">
      <c r="A26" s="55" t="s">
        <v>168</v>
      </c>
      <c r="B26" s="56">
        <v>46101.0</v>
      </c>
      <c r="C26" s="57"/>
      <c r="D26" s="57">
        <v>405.0</v>
      </c>
      <c r="E26" s="58">
        <v>30120.0</v>
      </c>
      <c r="F26" s="57">
        <v>600.0</v>
      </c>
      <c r="G26" s="57"/>
      <c r="H26" s="57"/>
      <c r="I26" s="57"/>
      <c r="J26" s="57" t="s">
        <v>29</v>
      </c>
      <c r="K26" s="57"/>
      <c r="L26" s="57" t="s">
        <v>148</v>
      </c>
      <c r="M26" s="57" t="s">
        <v>169</v>
      </c>
      <c r="N26" s="57">
        <v>6.44172043E9</v>
      </c>
      <c r="O26" s="56">
        <v>46104.0</v>
      </c>
      <c r="P26" s="59">
        <v>412200.0</v>
      </c>
      <c r="Q26" s="59">
        <v>412200.0</v>
      </c>
      <c r="R26" s="59">
        <f>+VENTA!$P26-VENTA!$Q26</f>
        <v>0</v>
      </c>
      <c r="S26" s="57" t="s">
        <v>30</v>
      </c>
      <c r="T26" s="56">
        <v>46104.0</v>
      </c>
      <c r="U26" s="60">
        <v>15.0</v>
      </c>
      <c r="V26" s="60"/>
      <c r="W26" s="60">
        <v>20.0</v>
      </c>
      <c r="X26" s="61"/>
      <c r="Y26" s="61"/>
      <c r="Z26" s="61"/>
      <c r="AA26" s="61"/>
      <c r="AB26" s="61"/>
      <c r="AC26" s="61"/>
      <c r="AD26" s="61"/>
    </row>
    <row r="27" ht="15.75" customHeight="1">
      <c r="A27" s="55" t="s">
        <v>170</v>
      </c>
      <c r="B27" s="56">
        <v>46101.0</v>
      </c>
      <c r="C27" s="57"/>
      <c r="D27" s="57">
        <v>405.0</v>
      </c>
      <c r="E27" s="58">
        <v>29920.0</v>
      </c>
      <c r="F27" s="57">
        <v>600.0</v>
      </c>
      <c r="G27" s="57"/>
      <c r="H27" s="57"/>
      <c r="I27" s="57"/>
      <c r="J27" s="57" t="s">
        <v>37</v>
      </c>
      <c r="K27" s="57"/>
      <c r="L27" s="57" t="s">
        <v>171</v>
      </c>
      <c r="M27" s="57" t="s">
        <v>172</v>
      </c>
      <c r="N27" s="57">
        <v>5.662215067E9</v>
      </c>
      <c r="O27" s="56">
        <v>46104.0</v>
      </c>
      <c r="P27" s="59">
        <v>375200.0</v>
      </c>
      <c r="Q27" s="59">
        <v>375200.0</v>
      </c>
      <c r="R27" s="59">
        <f>+VENTA!$P27-VENTA!$Q27</f>
        <v>0</v>
      </c>
      <c r="S27" s="57" t="s">
        <v>30</v>
      </c>
      <c r="T27" s="56">
        <v>46128.0</v>
      </c>
      <c r="U27" s="60">
        <v>14.0</v>
      </c>
      <c r="V27" s="60"/>
      <c r="W27" s="60">
        <v>18.0</v>
      </c>
      <c r="X27" s="61"/>
      <c r="Y27" s="61"/>
      <c r="Z27" s="61"/>
      <c r="AA27" s="61"/>
      <c r="AB27" s="61"/>
      <c r="AC27" s="61"/>
      <c r="AD27" s="61"/>
    </row>
    <row r="28" ht="15.75" customHeight="1">
      <c r="A28" s="55" t="s">
        <v>165</v>
      </c>
      <c r="B28" s="56">
        <v>46101.0</v>
      </c>
      <c r="C28" s="57"/>
      <c r="D28" s="57">
        <v>405.0</v>
      </c>
      <c r="E28" s="58">
        <v>30050.0</v>
      </c>
      <c r="F28" s="57">
        <v>600.0</v>
      </c>
      <c r="G28" s="57"/>
      <c r="H28" s="57"/>
      <c r="I28" s="57"/>
      <c r="J28" s="62" t="s">
        <v>79</v>
      </c>
      <c r="K28" s="62"/>
      <c r="L28" s="62" t="s">
        <v>166</v>
      </c>
      <c r="M28" s="62" t="s">
        <v>173</v>
      </c>
      <c r="N28" s="62">
        <v>4.772948609E9</v>
      </c>
      <c r="O28" s="63">
        <v>46104.0</v>
      </c>
      <c r="P28" s="66"/>
      <c r="Q28" s="64"/>
      <c r="R28" s="59">
        <f>+VENTA!$P28-VENTA!$Q28</f>
        <v>0</v>
      </c>
      <c r="S28" s="57"/>
      <c r="T28" s="56"/>
      <c r="U28" s="60"/>
      <c r="V28" s="60"/>
      <c r="W28" s="60">
        <v>30.0</v>
      </c>
      <c r="X28" s="61"/>
      <c r="Y28" s="61"/>
      <c r="Z28" s="61"/>
      <c r="AA28" s="61"/>
      <c r="AB28" s="61"/>
      <c r="AC28" s="61"/>
      <c r="AD28" s="61"/>
    </row>
    <row r="29" ht="15.75" customHeight="1">
      <c r="A29" s="55" t="s">
        <v>174</v>
      </c>
      <c r="B29" s="56">
        <v>46104.0</v>
      </c>
      <c r="C29" s="57"/>
      <c r="D29" s="57">
        <v>405.0</v>
      </c>
      <c r="E29" s="58">
        <v>31160.0</v>
      </c>
      <c r="F29" s="57">
        <v>500.0</v>
      </c>
      <c r="G29" s="57">
        <v>100.0</v>
      </c>
      <c r="H29" s="57"/>
      <c r="I29" s="57"/>
      <c r="J29" s="57" t="s">
        <v>110</v>
      </c>
      <c r="K29" s="57"/>
      <c r="L29" s="57" t="s">
        <v>111</v>
      </c>
      <c r="M29" s="57" t="s">
        <v>175</v>
      </c>
      <c r="N29" s="57">
        <v>3.334703236E9</v>
      </c>
      <c r="O29" s="56">
        <f>+VENTA!$B29+2</f>
        <v>46106</v>
      </c>
      <c r="P29" s="59">
        <v>443744.0</v>
      </c>
      <c r="Q29" s="59">
        <v>443744.0</v>
      </c>
      <c r="R29" s="59">
        <f>+VENTA!$P29-VENTA!$Q29</f>
        <v>0</v>
      </c>
      <c r="S29" s="57" t="s">
        <v>30</v>
      </c>
      <c r="T29" s="56">
        <v>46107.0</v>
      </c>
      <c r="U29" s="60">
        <v>16.0</v>
      </c>
      <c r="V29" s="60">
        <v>12.0</v>
      </c>
      <c r="W29" s="60">
        <v>22.0</v>
      </c>
      <c r="X29" s="61"/>
      <c r="Y29" s="61"/>
      <c r="Z29" s="61"/>
      <c r="AA29" s="61"/>
      <c r="AB29" s="61"/>
      <c r="AC29" s="61"/>
      <c r="AD29" s="61"/>
    </row>
    <row r="30" ht="15.75" customHeight="1">
      <c r="A30" s="55" t="s">
        <v>176</v>
      </c>
      <c r="B30" s="56">
        <v>46106.0</v>
      </c>
      <c r="C30" s="57"/>
      <c r="D30" s="57">
        <v>405.0</v>
      </c>
      <c r="E30" s="58">
        <v>31440.0</v>
      </c>
      <c r="F30" s="57">
        <v>600.0</v>
      </c>
      <c r="G30" s="57"/>
      <c r="H30" s="57"/>
      <c r="I30" s="57"/>
      <c r="J30" s="62" t="s">
        <v>79</v>
      </c>
      <c r="K30" s="62"/>
      <c r="L30" s="62" t="s">
        <v>118</v>
      </c>
      <c r="M30" s="62" t="s">
        <v>177</v>
      </c>
      <c r="N30" s="62">
        <v>8.444934909E9</v>
      </c>
      <c r="O30" s="63">
        <v>46108.0</v>
      </c>
      <c r="P30" s="66"/>
      <c r="Q30" s="64"/>
      <c r="R30" s="59">
        <f>+VENTA!$P30-VENTA!$Q30</f>
        <v>0</v>
      </c>
      <c r="S30" s="57"/>
      <c r="T30" s="56"/>
      <c r="U30" s="60"/>
      <c r="V30" s="60"/>
      <c r="W30" s="60">
        <v>25.0</v>
      </c>
      <c r="X30" s="61"/>
      <c r="Y30" s="61"/>
      <c r="Z30" s="61"/>
      <c r="AA30" s="61"/>
      <c r="AB30" s="61"/>
      <c r="AC30" s="61"/>
      <c r="AD30" s="61"/>
    </row>
    <row r="31" ht="15.75" customHeight="1">
      <c r="A31" s="55" t="s">
        <v>178</v>
      </c>
      <c r="B31" s="56">
        <v>46106.0</v>
      </c>
      <c r="C31" s="57"/>
      <c r="D31" s="57">
        <v>405.0</v>
      </c>
      <c r="E31" s="58">
        <v>31000.0</v>
      </c>
      <c r="F31" s="57">
        <v>600.0</v>
      </c>
      <c r="G31" s="57"/>
      <c r="H31" s="57"/>
      <c r="I31" s="57"/>
      <c r="J31" s="57" t="s">
        <v>47</v>
      </c>
      <c r="K31" s="57"/>
      <c r="L31" s="57" t="s">
        <v>120</v>
      </c>
      <c r="M31" s="57" t="s">
        <v>179</v>
      </c>
      <c r="N31" s="57">
        <v>1.5092748188E10</v>
      </c>
      <c r="O31" s="56">
        <f>+VENTA!$B31+2</f>
        <v>46108</v>
      </c>
      <c r="P31" s="59">
        <v>490968.0</v>
      </c>
      <c r="Q31" s="59">
        <f>200000+287600+3368</f>
        <v>490968</v>
      </c>
      <c r="R31" s="59">
        <f>+VENTA!$P31-VENTA!$Q31</f>
        <v>0</v>
      </c>
      <c r="S31" s="57" t="s">
        <v>30</v>
      </c>
      <c r="T31" s="56">
        <v>46121.0</v>
      </c>
      <c r="U31" s="60">
        <v>18.0</v>
      </c>
      <c r="V31" s="60"/>
      <c r="W31" s="60">
        <v>25.0</v>
      </c>
      <c r="X31" s="61"/>
      <c r="Y31" s="61"/>
      <c r="Z31" s="61"/>
      <c r="AA31" s="61"/>
      <c r="AB31" s="61"/>
      <c r="AC31" s="61"/>
      <c r="AD31" s="61"/>
    </row>
    <row r="32" ht="15.75" customHeight="1">
      <c r="A32" s="55" t="s">
        <v>180</v>
      </c>
      <c r="B32" s="56">
        <v>46107.0</v>
      </c>
      <c r="C32" s="57"/>
      <c r="D32" s="57">
        <v>405.0</v>
      </c>
      <c r="E32" s="58">
        <v>30870.0</v>
      </c>
      <c r="F32" s="57">
        <v>300.0</v>
      </c>
      <c r="G32" s="57">
        <v>300.0</v>
      </c>
      <c r="H32" s="57"/>
      <c r="I32" s="57"/>
      <c r="J32" s="62" t="s">
        <v>23</v>
      </c>
      <c r="K32" s="62"/>
      <c r="L32" s="62" t="s">
        <v>107</v>
      </c>
      <c r="M32" s="62" t="s">
        <v>181</v>
      </c>
      <c r="N32" s="62">
        <v>5.545389067E9</v>
      </c>
      <c r="O32" s="63">
        <v>46109.0</v>
      </c>
      <c r="P32" s="64">
        <v>382050.0</v>
      </c>
      <c r="Q32" s="64">
        <f>100000+53065</f>
        <v>153065</v>
      </c>
      <c r="R32" s="59">
        <f>+VENTA!$P32-VENTA!$Q32</f>
        <v>228985</v>
      </c>
      <c r="S32" s="57" t="s">
        <v>126</v>
      </c>
      <c r="T32" s="56"/>
      <c r="U32" s="60"/>
      <c r="V32" s="60"/>
      <c r="W32" s="60">
        <v>22.0</v>
      </c>
      <c r="X32" s="61"/>
      <c r="Y32" s="61"/>
      <c r="Z32" s="61"/>
      <c r="AA32" s="61"/>
      <c r="AB32" s="61"/>
      <c r="AC32" s="61"/>
      <c r="AD32" s="61"/>
    </row>
    <row r="33" ht="15.75" customHeight="1">
      <c r="A33" s="55" t="s">
        <v>182</v>
      </c>
      <c r="B33" s="56">
        <v>46107.0</v>
      </c>
      <c r="C33" s="57"/>
      <c r="D33" s="57">
        <v>405.0</v>
      </c>
      <c r="E33" s="58">
        <v>31150.0</v>
      </c>
      <c r="F33" s="57"/>
      <c r="G33" s="57">
        <v>600.0</v>
      </c>
      <c r="H33" s="57"/>
      <c r="I33" s="57"/>
      <c r="J33" s="57" t="s">
        <v>183</v>
      </c>
      <c r="K33" s="57"/>
      <c r="L33" s="57" t="s">
        <v>184</v>
      </c>
      <c r="M33" s="57" t="s">
        <v>185</v>
      </c>
      <c r="N33" s="57">
        <v>6.682258643E9</v>
      </c>
      <c r="O33" s="56">
        <v>46109.0</v>
      </c>
      <c r="P33" s="59">
        <v>381510.0</v>
      </c>
      <c r="Q33" s="59">
        <f>300000+82050</f>
        <v>382050</v>
      </c>
      <c r="R33" s="59"/>
      <c r="S33" s="57" t="s">
        <v>30</v>
      </c>
      <c r="T33" s="56">
        <v>46128.0</v>
      </c>
      <c r="U33" s="60"/>
      <c r="V33" s="60">
        <v>13.5</v>
      </c>
      <c r="W33" s="60">
        <v>22.0</v>
      </c>
      <c r="X33" s="61"/>
      <c r="Y33" s="61"/>
      <c r="Z33" s="61"/>
      <c r="AA33" s="61"/>
      <c r="AB33" s="61"/>
      <c r="AC33" s="61"/>
      <c r="AD33" s="61"/>
    </row>
    <row r="34" ht="15.75" customHeight="1">
      <c r="A34" s="55" t="s">
        <v>186</v>
      </c>
      <c r="B34" s="56">
        <v>46107.0</v>
      </c>
      <c r="C34" s="57"/>
      <c r="D34" s="57">
        <v>405.0</v>
      </c>
      <c r="E34" s="58">
        <v>31080.0</v>
      </c>
      <c r="F34" s="57">
        <v>600.0</v>
      </c>
      <c r="G34" s="57"/>
      <c r="H34" s="57"/>
      <c r="I34" s="57"/>
      <c r="J34" s="57" t="s">
        <v>187</v>
      </c>
      <c r="K34" s="57"/>
      <c r="L34" s="57" t="s">
        <v>120</v>
      </c>
      <c r="M34" s="57" t="s">
        <v>188</v>
      </c>
      <c r="N34" s="57">
        <v>6.251037565E9</v>
      </c>
      <c r="O34" s="56">
        <v>46109.0</v>
      </c>
      <c r="P34" s="59">
        <v>473040.0</v>
      </c>
      <c r="Q34" s="59">
        <v>473040.0</v>
      </c>
      <c r="R34" s="59">
        <f>+VENTA!$P34-VENTA!$Q34</f>
        <v>0</v>
      </c>
      <c r="S34" s="57" t="s">
        <v>30</v>
      </c>
      <c r="T34" s="56">
        <v>46125.0</v>
      </c>
      <c r="U34" s="60"/>
      <c r="V34" s="60"/>
      <c r="W34" s="60">
        <v>25.0</v>
      </c>
      <c r="X34" s="61"/>
      <c r="Y34" s="61"/>
      <c r="Z34" s="61"/>
      <c r="AA34" s="61"/>
      <c r="AB34" s="61"/>
      <c r="AC34" s="61"/>
      <c r="AD34" s="61"/>
    </row>
    <row r="35" ht="15.75" customHeight="1">
      <c r="A35" s="55" t="s">
        <v>189</v>
      </c>
      <c r="B35" s="56">
        <v>46107.0</v>
      </c>
      <c r="C35" s="57"/>
      <c r="D35" s="57">
        <v>405.0</v>
      </c>
      <c r="E35" s="58">
        <v>30670.0</v>
      </c>
      <c r="F35" s="57">
        <v>300.0</v>
      </c>
      <c r="G35" s="57">
        <v>300.0</v>
      </c>
      <c r="H35" s="57"/>
      <c r="I35" s="57"/>
      <c r="J35" s="57" t="s">
        <v>44</v>
      </c>
      <c r="K35" s="57"/>
      <c r="L35" s="57" t="s">
        <v>190</v>
      </c>
      <c r="M35" s="57" t="s">
        <v>191</v>
      </c>
      <c r="N35" s="57">
        <v>2.41103871E9</v>
      </c>
      <c r="O35" s="56">
        <v>46109.0</v>
      </c>
      <c r="P35" s="59">
        <v>418950.0</v>
      </c>
      <c r="Q35" s="59">
        <f>68950+90000+90000+90000+80000</f>
        <v>418950</v>
      </c>
      <c r="R35" s="59">
        <f>+VENTA!$P35-VENTA!$Q35</f>
        <v>0</v>
      </c>
      <c r="S35" s="57" t="s">
        <v>30</v>
      </c>
      <c r="T35" s="56">
        <v>46107.0</v>
      </c>
      <c r="U35" s="60">
        <v>18.0</v>
      </c>
      <c r="V35" s="60">
        <v>13.5</v>
      </c>
      <c r="W35" s="60">
        <v>26.0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5" t="s">
        <v>192</v>
      </c>
      <c r="B36" s="56">
        <v>46107.0</v>
      </c>
      <c r="C36" s="57"/>
      <c r="D36" s="57">
        <v>405.0</v>
      </c>
      <c r="E36" s="58">
        <v>30880.0</v>
      </c>
      <c r="F36" s="57"/>
      <c r="G36" s="57">
        <v>600.0</v>
      </c>
      <c r="H36" s="57"/>
      <c r="I36" s="57"/>
      <c r="J36" s="57" t="s">
        <v>73</v>
      </c>
      <c r="K36" s="57"/>
      <c r="L36" s="57" t="s">
        <v>193</v>
      </c>
      <c r="M36" s="57" t="s">
        <v>194</v>
      </c>
      <c r="N36" s="57">
        <v>5.57965895E9</v>
      </c>
      <c r="O36" s="56">
        <v>46109.0</v>
      </c>
      <c r="P36" s="59">
        <v>411320.0</v>
      </c>
      <c r="Q36" s="59">
        <f>+VENTA!$P36</f>
        <v>411320</v>
      </c>
      <c r="R36" s="59">
        <f>+VENTA!$P36-VENTA!$Q36</f>
        <v>0</v>
      </c>
      <c r="S36" s="57" t="s">
        <v>30</v>
      </c>
      <c r="T36" s="56">
        <v>46119.0</v>
      </c>
      <c r="U36" s="60"/>
      <c r="V36" s="60">
        <v>14.0</v>
      </c>
      <c r="W36" s="60">
        <v>20.0</v>
      </c>
      <c r="X36" s="61"/>
      <c r="Y36" s="61"/>
      <c r="Z36" s="61"/>
      <c r="AA36" s="61"/>
      <c r="AB36" s="61"/>
      <c r="AC36" s="61"/>
      <c r="AD36" s="61"/>
    </row>
    <row r="37" ht="15.75" customHeight="1">
      <c r="A37" s="55" t="s">
        <v>195</v>
      </c>
      <c r="B37" s="56">
        <v>46111.0</v>
      </c>
      <c r="C37" s="57"/>
      <c r="D37" s="57" t="s">
        <v>196</v>
      </c>
      <c r="E37" s="58">
        <v>30310.0</v>
      </c>
      <c r="F37" s="57"/>
      <c r="G37" s="57">
        <v>600.0</v>
      </c>
      <c r="H37" s="57"/>
      <c r="I37" s="57"/>
      <c r="J37" s="62" t="s">
        <v>197</v>
      </c>
      <c r="K37" s="62"/>
      <c r="L37" s="62" t="s">
        <v>198</v>
      </c>
      <c r="M37" s="62" t="s">
        <v>199</v>
      </c>
      <c r="N37" s="62">
        <v>7.260040279E9</v>
      </c>
      <c r="O37" s="63">
        <v>46113.0</v>
      </c>
      <c r="P37" s="66"/>
      <c r="Q37" s="64">
        <v>370000.0</v>
      </c>
      <c r="R37" s="59"/>
      <c r="S37" s="57"/>
      <c r="T37" s="56"/>
      <c r="U37" s="60"/>
      <c r="V37" s="60"/>
      <c r="W37" s="60">
        <v>23.0</v>
      </c>
    </row>
    <row r="38" ht="15.75" customHeight="1">
      <c r="A38" s="55" t="s">
        <v>200</v>
      </c>
      <c r="B38" s="56">
        <v>46112.0</v>
      </c>
      <c r="C38" s="57"/>
      <c r="D38" s="57" t="s">
        <v>196</v>
      </c>
      <c r="E38" s="58">
        <v>30030.0</v>
      </c>
      <c r="F38" s="57">
        <v>600.0</v>
      </c>
      <c r="G38" s="57"/>
      <c r="H38" s="57"/>
      <c r="I38" s="57"/>
      <c r="J38" s="62" t="s">
        <v>79</v>
      </c>
      <c r="K38" s="62"/>
      <c r="L38" s="62" t="s">
        <v>118</v>
      </c>
      <c r="M38" s="62" t="s">
        <v>66</v>
      </c>
      <c r="N38" s="62">
        <v>4.721612703E9</v>
      </c>
      <c r="O38" s="63">
        <v>46118.0</v>
      </c>
      <c r="P38" s="66"/>
      <c r="Q38" s="64"/>
      <c r="R38" s="59">
        <f>+VENTA!$P38-VENTA!$Q38</f>
        <v>0</v>
      </c>
      <c r="S38" s="57"/>
      <c r="T38" s="56"/>
      <c r="U38" s="60"/>
      <c r="V38" s="60"/>
      <c r="W38" s="60"/>
    </row>
    <row r="39" ht="15.75" customHeight="1">
      <c r="A39" s="55" t="s">
        <v>201</v>
      </c>
      <c r="B39" s="56">
        <v>46135.0</v>
      </c>
      <c r="C39" s="57"/>
      <c r="D39" s="57"/>
      <c r="E39" s="58">
        <v>29990.0</v>
      </c>
      <c r="F39" s="57"/>
      <c r="G39" s="57"/>
      <c r="H39" s="57"/>
      <c r="I39" s="57"/>
      <c r="J39" s="57" t="s">
        <v>73</v>
      </c>
      <c r="K39" s="57"/>
      <c r="L39" s="57" t="s">
        <v>193</v>
      </c>
      <c r="M39" s="57" t="s">
        <v>202</v>
      </c>
      <c r="N39" s="57">
        <v>6.688609045E9</v>
      </c>
      <c r="O39" s="56"/>
      <c r="P39" s="59"/>
      <c r="Q39" s="59"/>
      <c r="R39" s="59">
        <f>+VENTA!$P39-VENTA!$Q39</f>
        <v>0</v>
      </c>
      <c r="S39" s="57"/>
      <c r="T39" s="56"/>
      <c r="U39" s="60"/>
      <c r="V39" s="60"/>
      <c r="W39" s="60"/>
    </row>
    <row r="40" ht="15.75" customHeight="1">
      <c r="E40" s="69"/>
      <c r="F40" s="69"/>
      <c r="G40" s="69"/>
      <c r="H40" s="70">
        <f>SUM(H3:H39)</f>
        <v>0</v>
      </c>
      <c r="I40" s="71"/>
      <c r="K40" s="72"/>
      <c r="L40" s="72"/>
      <c r="M40" s="72"/>
      <c r="N40" s="72"/>
      <c r="O40" s="72"/>
      <c r="P40" s="73"/>
      <c r="Q40" s="73"/>
      <c r="R40" s="73"/>
      <c r="W40" s="74"/>
    </row>
    <row r="41" ht="15.75" customHeight="1">
      <c r="Q41" s="74"/>
      <c r="W41" s="74"/>
    </row>
    <row r="42" ht="15.75" customHeight="1">
      <c r="E42" s="75"/>
      <c r="F42" s="75" t="s">
        <v>203</v>
      </c>
      <c r="W42" s="74"/>
    </row>
    <row r="43" ht="15.75" customHeight="1">
      <c r="J43" s="76"/>
      <c r="K43" s="72"/>
      <c r="L43" s="72"/>
      <c r="M43" s="72"/>
      <c r="N43" s="72"/>
      <c r="Q43" s="73"/>
      <c r="W43" s="74"/>
    </row>
    <row r="44" ht="15.75" customHeight="1">
      <c r="J44" s="76"/>
      <c r="W44" s="74"/>
    </row>
    <row r="45" ht="15.75" customHeight="1">
      <c r="J45" s="76"/>
      <c r="W45" s="74"/>
    </row>
    <row r="46" ht="15.75" customHeight="1">
      <c r="E46" s="76"/>
      <c r="W46" s="74"/>
    </row>
    <row r="47" ht="15.75" customHeight="1">
      <c r="O47" s="76"/>
      <c r="W47" s="74"/>
    </row>
    <row r="48" ht="15.75" customHeight="1">
      <c r="K48" s="73"/>
      <c r="O48" s="76"/>
      <c r="W48" s="74"/>
    </row>
    <row r="49" ht="15.75" customHeight="1">
      <c r="O49" s="76"/>
      <c r="W49" s="74"/>
    </row>
    <row r="50" ht="15.75" customHeight="1">
      <c r="W50" s="74"/>
    </row>
    <row r="51" ht="15.75" customHeight="1">
      <c r="W51" s="74"/>
    </row>
    <row r="52" ht="15.75" customHeight="1">
      <c r="W52" s="74"/>
    </row>
    <row r="53" ht="15.75" customHeight="1">
      <c r="W53" s="74"/>
    </row>
    <row r="54" ht="15.75" customHeight="1">
      <c r="W54" s="74"/>
    </row>
    <row r="55" ht="15.75" customHeight="1">
      <c r="W55" s="74"/>
    </row>
    <row r="56" ht="15.75" customHeight="1">
      <c r="W56" s="74"/>
    </row>
    <row r="57" ht="15.75" customHeight="1">
      <c r="W57" s="74"/>
    </row>
    <row r="58" ht="15.75" customHeight="1">
      <c r="W58" s="74"/>
    </row>
    <row r="59" ht="15.75" customHeight="1">
      <c r="W59" s="74"/>
    </row>
    <row r="60" ht="15.75" customHeight="1">
      <c r="W60" s="74"/>
    </row>
    <row r="61" ht="15.75" customHeight="1">
      <c r="W61" s="74"/>
    </row>
    <row r="62" ht="15.75" customHeight="1">
      <c r="W62" s="74"/>
    </row>
    <row r="63" ht="15.75" customHeight="1">
      <c r="W63" s="74"/>
    </row>
    <row r="64" ht="15.75" customHeight="1">
      <c r="W64" s="74"/>
    </row>
    <row r="65" ht="15.75" customHeight="1">
      <c r="W65" s="74"/>
    </row>
    <row r="66" ht="15.75" customHeight="1">
      <c r="W66" s="74"/>
    </row>
    <row r="67" ht="15.75" customHeight="1">
      <c r="W67" s="74"/>
    </row>
    <row r="68" ht="15.75" customHeight="1">
      <c r="W68" s="74"/>
    </row>
    <row r="69" ht="15.75" customHeight="1">
      <c r="W69" s="74"/>
    </row>
    <row r="70" ht="15.75" customHeight="1">
      <c r="W70" s="74"/>
    </row>
    <row r="71" ht="15.75" customHeight="1">
      <c r="W71" s="74"/>
    </row>
    <row r="72" ht="15.75" customHeight="1">
      <c r="W72" s="74"/>
    </row>
    <row r="73" ht="15.75" customHeight="1">
      <c r="W73" s="74"/>
    </row>
    <row r="74" ht="15.75" customHeight="1">
      <c r="W74" s="74"/>
    </row>
    <row r="75" ht="15.75" customHeight="1">
      <c r="W75" s="74"/>
    </row>
    <row r="76" ht="15.75" customHeight="1">
      <c r="W76" s="74"/>
    </row>
    <row r="77" ht="15.75" customHeight="1">
      <c r="W77" s="74"/>
    </row>
    <row r="78" ht="15.75" customHeight="1">
      <c r="W78" s="74"/>
    </row>
    <row r="79" ht="15.75" customHeight="1">
      <c r="W79" s="74"/>
    </row>
    <row r="80" ht="15.75" customHeight="1">
      <c r="W80" s="74"/>
    </row>
    <row r="81" ht="15.75" customHeight="1">
      <c r="W81" s="74"/>
    </row>
    <row r="82" ht="15.75" customHeight="1">
      <c r="W82" s="74"/>
    </row>
    <row r="83" ht="15.75" customHeight="1">
      <c r="W83" s="74"/>
    </row>
    <row r="84" ht="15.75" customHeight="1">
      <c r="W84" s="74"/>
    </row>
    <row r="85" ht="15.75" customHeight="1">
      <c r="W85" s="74"/>
    </row>
    <row r="86" ht="15.75" customHeight="1">
      <c r="W86" s="74"/>
    </row>
    <row r="87" ht="15.75" customHeight="1">
      <c r="W87" s="74"/>
    </row>
    <row r="88" ht="15.75" customHeight="1">
      <c r="W88" s="74"/>
    </row>
    <row r="89" ht="15.75" customHeight="1">
      <c r="W89" s="74"/>
    </row>
    <row r="90" ht="15.75" customHeight="1">
      <c r="W90" s="74"/>
    </row>
    <row r="91" ht="15.75" customHeight="1">
      <c r="W91" s="74"/>
    </row>
    <row r="92" ht="15.75" customHeight="1">
      <c r="W92" s="74"/>
    </row>
    <row r="93" ht="15.75" customHeight="1">
      <c r="W93" s="74"/>
    </row>
    <row r="94" ht="15.75" customHeight="1">
      <c r="W94" s="74"/>
    </row>
    <row r="95" ht="15.75" customHeight="1">
      <c r="W95" s="74"/>
    </row>
    <row r="96" ht="15.75" customHeight="1">
      <c r="W96" s="74"/>
    </row>
    <row r="97" ht="15.75" customHeight="1">
      <c r="W97" s="74"/>
    </row>
    <row r="98" ht="15.75" customHeight="1">
      <c r="W98" s="74"/>
    </row>
    <row r="99" ht="15.75" customHeight="1">
      <c r="W99" s="74"/>
    </row>
    <row r="100" ht="15.75" customHeight="1">
      <c r="W100" s="74"/>
    </row>
    <row r="101" ht="15.75" customHeight="1">
      <c r="W101" s="74"/>
    </row>
    <row r="102" ht="15.75" customHeight="1">
      <c r="W102" s="74"/>
    </row>
    <row r="103" ht="15.75" customHeight="1">
      <c r="W103" s="74"/>
    </row>
    <row r="104" ht="15.75" customHeight="1">
      <c r="W104" s="74"/>
    </row>
    <row r="105" ht="15.75" customHeight="1">
      <c r="W105" s="74"/>
    </row>
    <row r="106" ht="15.75" customHeight="1">
      <c r="W106" s="74"/>
    </row>
    <row r="107" ht="15.75" customHeight="1">
      <c r="W107" s="74"/>
    </row>
    <row r="108" ht="15.75" customHeight="1">
      <c r="W108" s="74"/>
    </row>
    <row r="109" ht="15.75" customHeight="1">
      <c r="W109" s="74"/>
    </row>
    <row r="110" ht="15.75" customHeight="1">
      <c r="W110" s="74"/>
    </row>
    <row r="111" ht="15.75" customHeight="1">
      <c r="W111" s="74"/>
    </row>
    <row r="112" ht="15.75" customHeight="1">
      <c r="W112" s="74"/>
    </row>
    <row r="113" ht="15.75" customHeight="1">
      <c r="W113" s="74"/>
    </row>
    <row r="114" ht="15.75" customHeight="1">
      <c r="W114" s="74"/>
    </row>
    <row r="115" ht="15.75" customHeight="1">
      <c r="W115" s="74"/>
    </row>
    <row r="116" ht="15.75" customHeight="1">
      <c r="W116" s="74"/>
    </row>
    <row r="117" ht="15.75" customHeight="1">
      <c r="W117" s="74"/>
    </row>
    <row r="118" ht="15.75" customHeight="1">
      <c r="W118" s="74"/>
    </row>
    <row r="119" ht="15.75" customHeight="1">
      <c r="W119" s="74"/>
    </row>
    <row r="120" ht="15.75" customHeight="1">
      <c r="W120" s="74"/>
    </row>
    <row r="121" ht="15.75" customHeight="1">
      <c r="W121" s="74"/>
    </row>
    <row r="122" ht="15.75" customHeight="1">
      <c r="W122" s="74"/>
    </row>
    <row r="123" ht="15.75" customHeight="1">
      <c r="W123" s="74"/>
    </row>
    <row r="124" ht="15.75" customHeight="1">
      <c r="W124" s="74"/>
    </row>
    <row r="125" ht="15.75" customHeight="1">
      <c r="W125" s="74"/>
    </row>
    <row r="126" ht="15.75" customHeight="1">
      <c r="W126" s="74"/>
    </row>
    <row r="127" ht="15.75" customHeight="1">
      <c r="W127" s="74"/>
    </row>
    <row r="128" ht="15.75" customHeight="1">
      <c r="W128" s="74"/>
    </row>
    <row r="129" ht="15.75" customHeight="1">
      <c r="W129" s="74"/>
    </row>
    <row r="130" ht="15.75" customHeight="1">
      <c r="W130" s="74"/>
    </row>
    <row r="131" ht="15.75" customHeight="1">
      <c r="W131" s="74"/>
    </row>
    <row r="132" ht="15.75" customHeight="1">
      <c r="W132" s="74"/>
    </row>
    <row r="133" ht="15.75" customHeight="1">
      <c r="W133" s="74"/>
    </row>
    <row r="134" ht="15.75" customHeight="1">
      <c r="W134" s="74"/>
    </row>
    <row r="135" ht="15.75" customHeight="1">
      <c r="W135" s="74"/>
    </row>
    <row r="136" ht="15.75" customHeight="1">
      <c r="W136" s="74"/>
    </row>
    <row r="137" ht="15.75" customHeight="1">
      <c r="W137" s="74"/>
    </row>
    <row r="138" ht="15.75" customHeight="1">
      <c r="W138" s="74"/>
    </row>
    <row r="139" ht="15.75" customHeight="1">
      <c r="W139" s="74"/>
    </row>
    <row r="140" ht="15.75" customHeight="1">
      <c r="W140" s="74"/>
    </row>
    <row r="141" ht="15.75" customHeight="1">
      <c r="W141" s="74"/>
    </row>
    <row r="142" ht="15.75" customHeight="1">
      <c r="W142" s="74"/>
    </row>
    <row r="143" ht="15.75" customHeight="1">
      <c r="W143" s="74"/>
    </row>
    <row r="144" ht="15.75" customHeight="1">
      <c r="W144" s="74"/>
    </row>
    <row r="145" ht="15.75" customHeight="1">
      <c r="W145" s="74"/>
    </row>
    <row r="146" ht="15.75" customHeight="1">
      <c r="W146" s="74"/>
    </row>
    <row r="147" ht="15.75" customHeight="1">
      <c r="W147" s="74"/>
    </row>
    <row r="148" ht="15.75" customHeight="1">
      <c r="W148" s="74"/>
    </row>
    <row r="149" ht="15.75" customHeight="1">
      <c r="W149" s="74"/>
    </row>
    <row r="150" ht="15.75" customHeight="1">
      <c r="W150" s="74"/>
    </row>
    <row r="151" ht="15.75" customHeight="1">
      <c r="W151" s="74"/>
    </row>
    <row r="152" ht="15.75" customHeight="1">
      <c r="W152" s="74"/>
    </row>
    <row r="153" ht="15.75" customHeight="1">
      <c r="W153" s="74"/>
    </row>
    <row r="154" ht="15.75" customHeight="1">
      <c r="W154" s="74"/>
    </row>
    <row r="155" ht="15.75" customHeight="1">
      <c r="W155" s="74"/>
    </row>
    <row r="156" ht="15.75" customHeight="1">
      <c r="W156" s="74"/>
    </row>
    <row r="157" ht="15.75" customHeight="1">
      <c r="W157" s="74"/>
    </row>
    <row r="158" ht="15.75" customHeight="1">
      <c r="W158" s="74"/>
    </row>
    <row r="159" ht="15.75" customHeight="1">
      <c r="W159" s="74"/>
    </row>
    <row r="160" ht="15.75" customHeight="1">
      <c r="W160" s="74"/>
    </row>
    <row r="161" ht="15.75" customHeight="1">
      <c r="W161" s="74"/>
    </row>
    <row r="162" ht="15.75" customHeight="1">
      <c r="W162" s="74"/>
    </row>
    <row r="163" ht="15.75" customHeight="1">
      <c r="W163" s="74"/>
    </row>
    <row r="164" ht="15.75" customHeight="1">
      <c r="W164" s="74"/>
    </row>
    <row r="165" ht="15.75" customHeight="1">
      <c r="W165" s="74"/>
    </row>
    <row r="166" ht="15.75" customHeight="1">
      <c r="W166" s="74"/>
    </row>
    <row r="167" ht="15.75" customHeight="1">
      <c r="W167" s="74"/>
    </row>
    <row r="168" ht="15.75" customHeight="1">
      <c r="W168" s="74"/>
    </row>
    <row r="169" ht="15.75" customHeight="1">
      <c r="W169" s="74"/>
    </row>
    <row r="170" ht="15.75" customHeight="1">
      <c r="W170" s="74"/>
    </row>
    <row r="171" ht="15.75" customHeight="1">
      <c r="W171" s="74"/>
    </row>
    <row r="172" ht="15.75" customHeight="1">
      <c r="W172" s="74"/>
    </row>
    <row r="173" ht="15.75" customHeight="1">
      <c r="W173" s="74"/>
    </row>
    <row r="174" ht="15.75" customHeight="1">
      <c r="W174" s="74"/>
    </row>
    <row r="175" ht="15.75" customHeight="1">
      <c r="W175" s="74"/>
    </row>
    <row r="176" ht="15.75" customHeight="1">
      <c r="W176" s="74"/>
    </row>
    <row r="177" ht="15.75" customHeight="1">
      <c r="W177" s="74"/>
    </row>
    <row r="178" ht="15.75" customHeight="1">
      <c r="W178" s="74"/>
    </row>
    <row r="179" ht="15.75" customHeight="1">
      <c r="W179" s="74"/>
    </row>
    <row r="180" ht="15.75" customHeight="1">
      <c r="W180" s="74"/>
    </row>
    <row r="181" ht="15.75" customHeight="1">
      <c r="W181" s="74"/>
    </row>
    <row r="182" ht="15.75" customHeight="1">
      <c r="W182" s="74"/>
    </row>
    <row r="183" ht="15.75" customHeight="1">
      <c r="W183" s="74"/>
    </row>
    <row r="184" ht="15.75" customHeight="1">
      <c r="W184" s="74"/>
    </row>
    <row r="185" ht="15.75" customHeight="1">
      <c r="W185" s="74"/>
    </row>
    <row r="186" ht="15.75" customHeight="1">
      <c r="W186" s="74"/>
    </row>
    <row r="187" ht="15.75" customHeight="1">
      <c r="W187" s="74"/>
    </row>
    <row r="188" ht="15.75" customHeight="1">
      <c r="W188" s="74"/>
    </row>
    <row r="189" ht="15.75" customHeight="1">
      <c r="W189" s="74"/>
    </row>
    <row r="190" ht="15.75" customHeight="1">
      <c r="W190" s="74"/>
    </row>
    <row r="191" ht="15.75" customHeight="1">
      <c r="W191" s="74"/>
    </row>
    <row r="192" ht="15.75" customHeight="1">
      <c r="W192" s="74"/>
    </row>
    <row r="193" ht="15.75" customHeight="1">
      <c r="W193" s="74"/>
    </row>
    <row r="194" ht="15.75" customHeight="1">
      <c r="W194" s="74"/>
    </row>
    <row r="195" ht="15.75" customHeight="1">
      <c r="W195" s="74"/>
    </row>
    <row r="196" ht="15.75" customHeight="1">
      <c r="W196" s="74"/>
    </row>
    <row r="197" ht="15.75" customHeight="1">
      <c r="W197" s="74"/>
    </row>
    <row r="198" ht="15.75" customHeight="1">
      <c r="W198" s="74"/>
    </row>
    <row r="199" ht="15.75" customHeight="1">
      <c r="W199" s="74"/>
    </row>
    <row r="200" ht="15.75" customHeight="1">
      <c r="W200" s="74"/>
    </row>
    <row r="201" ht="15.75" customHeight="1">
      <c r="W201" s="74"/>
    </row>
    <row r="202" ht="15.75" customHeight="1">
      <c r="W202" s="74"/>
    </row>
    <row r="203" ht="15.75" customHeight="1">
      <c r="W203" s="74"/>
    </row>
    <row r="204" ht="15.75" customHeight="1">
      <c r="W204" s="74"/>
    </row>
    <row r="205" ht="15.75" customHeight="1">
      <c r="W205" s="74"/>
    </row>
    <row r="206" ht="15.75" customHeight="1">
      <c r="W206" s="74"/>
    </row>
    <row r="207" ht="15.75" customHeight="1">
      <c r="W207" s="74"/>
    </row>
    <row r="208" ht="15.75" customHeight="1">
      <c r="W208" s="74"/>
    </row>
    <row r="209" ht="15.75" customHeight="1">
      <c r="W209" s="74"/>
    </row>
    <row r="210" ht="15.75" customHeight="1">
      <c r="W210" s="74"/>
    </row>
    <row r="211" ht="15.75" customHeight="1">
      <c r="W211" s="74"/>
    </row>
    <row r="212" ht="15.75" customHeight="1">
      <c r="W212" s="74"/>
    </row>
    <row r="213" ht="15.75" customHeight="1">
      <c r="W213" s="74"/>
    </row>
    <row r="214" ht="15.75" customHeight="1">
      <c r="W214" s="74"/>
    </row>
    <row r="215" ht="15.75" customHeight="1">
      <c r="W215" s="74"/>
    </row>
    <row r="216" ht="15.75" customHeight="1">
      <c r="W216" s="74"/>
    </row>
    <row r="217" ht="15.75" customHeight="1">
      <c r="W217" s="74"/>
    </row>
    <row r="218" ht="15.75" customHeight="1">
      <c r="W218" s="74"/>
    </row>
    <row r="219" ht="15.75" customHeight="1">
      <c r="W219" s="74"/>
    </row>
    <row r="220" ht="15.75" customHeight="1">
      <c r="W220" s="74"/>
    </row>
    <row r="221" ht="15.75" customHeight="1">
      <c r="W221" s="74"/>
    </row>
    <row r="222" ht="15.75" customHeight="1">
      <c r="W222" s="74"/>
    </row>
    <row r="223" ht="15.75" customHeight="1">
      <c r="W223" s="74"/>
    </row>
    <row r="224" ht="15.75" customHeight="1">
      <c r="W224" s="74"/>
    </row>
    <row r="225" ht="15.75" customHeight="1">
      <c r="W225" s="74"/>
    </row>
    <row r="226" ht="15.75" customHeight="1">
      <c r="W226" s="74"/>
    </row>
    <row r="227" ht="15.75" customHeight="1">
      <c r="W227" s="74"/>
    </row>
    <row r="228" ht="15.75" customHeight="1">
      <c r="W228" s="74"/>
    </row>
    <row r="229" ht="15.75" customHeight="1">
      <c r="W229" s="74"/>
    </row>
    <row r="230" ht="15.75" customHeight="1">
      <c r="W230" s="74"/>
    </row>
    <row r="231" ht="15.75" customHeight="1">
      <c r="W231" s="74"/>
    </row>
    <row r="232" ht="15.75" customHeight="1">
      <c r="W232" s="74"/>
    </row>
    <row r="233" ht="15.75" customHeight="1">
      <c r="W233" s="74"/>
    </row>
    <row r="234" ht="15.75" customHeight="1">
      <c r="W234" s="74"/>
    </row>
    <row r="235" ht="15.75" customHeight="1">
      <c r="W235" s="74"/>
    </row>
    <row r="236" ht="15.75" customHeight="1">
      <c r="W236" s="74"/>
    </row>
    <row r="237" ht="15.75" customHeight="1">
      <c r="W237" s="74"/>
    </row>
    <row r="238" ht="15.75" customHeight="1">
      <c r="W238" s="74"/>
    </row>
    <row r="239" ht="15.75" customHeight="1">
      <c r="W239" s="74"/>
    </row>
    <row r="240" ht="15.75" customHeight="1">
      <c r="W240" s="74"/>
    </row>
    <row r="241" ht="15.75" customHeight="1">
      <c r="W241" s="74"/>
    </row>
    <row r="242" ht="15.75" customHeight="1">
      <c r="W242" s="74"/>
    </row>
    <row r="243" ht="15.75" customHeight="1">
      <c r="W243" s="74"/>
    </row>
    <row r="244" ht="15.75" customHeight="1">
      <c r="W244" s="74"/>
    </row>
    <row r="245" ht="15.75" customHeight="1">
      <c r="W245" s="74"/>
    </row>
    <row r="246" ht="15.75" customHeight="1">
      <c r="W246" s="74"/>
    </row>
    <row r="247" ht="15.75" customHeight="1">
      <c r="W247" s="74"/>
    </row>
    <row r="248" ht="15.75" customHeight="1">
      <c r="W248" s="74"/>
    </row>
    <row r="249" ht="15.75" customHeight="1">
      <c r="W249" s="74"/>
    </row>
    <row r="250" ht="15.75" customHeight="1">
      <c r="W250" s="74"/>
    </row>
    <row r="251" ht="15.75" customHeight="1">
      <c r="W251" s="74"/>
    </row>
    <row r="252" ht="15.75" customHeight="1">
      <c r="W252" s="74"/>
    </row>
    <row r="253" ht="15.75" customHeight="1">
      <c r="W253" s="74"/>
    </row>
    <row r="254" ht="15.75" customHeight="1">
      <c r="W254" s="74"/>
    </row>
    <row r="255" ht="15.75" customHeight="1">
      <c r="W255" s="74"/>
    </row>
    <row r="256" ht="15.75" customHeight="1">
      <c r="W256" s="74"/>
    </row>
    <row r="257" ht="15.75" customHeight="1">
      <c r="W257" s="74"/>
    </row>
    <row r="258" ht="15.75" customHeight="1">
      <c r="W258" s="74"/>
    </row>
    <row r="259" ht="15.75" customHeight="1">
      <c r="W259" s="74"/>
    </row>
    <row r="260" ht="15.75" customHeight="1">
      <c r="W260" s="74"/>
    </row>
    <row r="261" ht="15.75" customHeight="1">
      <c r="W261" s="74"/>
    </row>
    <row r="262" ht="15.75" customHeight="1">
      <c r="W262" s="74"/>
    </row>
    <row r="263" ht="15.75" customHeight="1">
      <c r="W263" s="74"/>
    </row>
    <row r="264" ht="15.75" customHeight="1">
      <c r="W264" s="74"/>
    </row>
    <row r="265" ht="15.75" customHeight="1">
      <c r="W265" s="74"/>
    </row>
    <row r="266" ht="15.75" customHeight="1">
      <c r="W266" s="74"/>
    </row>
    <row r="267" ht="15.75" customHeight="1">
      <c r="W267" s="74"/>
    </row>
    <row r="268" ht="15.75" customHeight="1">
      <c r="W268" s="74"/>
    </row>
    <row r="269" ht="15.75" customHeight="1">
      <c r="W269" s="74"/>
    </row>
    <row r="270" ht="15.75" customHeight="1">
      <c r="W270" s="74"/>
    </row>
    <row r="271" ht="15.75" customHeight="1">
      <c r="W271" s="74"/>
    </row>
    <row r="272" ht="15.75" customHeight="1">
      <c r="W272" s="74"/>
    </row>
    <row r="273" ht="15.75" customHeight="1">
      <c r="W273" s="74"/>
    </row>
    <row r="274" ht="15.75" customHeight="1">
      <c r="W274" s="74"/>
    </row>
    <row r="275" ht="15.75" customHeight="1">
      <c r="W275" s="74"/>
    </row>
    <row r="276" ht="15.75" customHeight="1">
      <c r="W276" s="74"/>
    </row>
    <row r="277" ht="15.75" customHeight="1">
      <c r="W277" s="74"/>
    </row>
    <row r="278" ht="15.75" customHeight="1">
      <c r="W278" s="74"/>
    </row>
    <row r="279" ht="15.75" customHeight="1">
      <c r="W279" s="74"/>
    </row>
    <row r="280" ht="15.75" customHeight="1">
      <c r="W280" s="74"/>
    </row>
    <row r="281" ht="15.75" customHeight="1">
      <c r="W281" s="74"/>
    </row>
    <row r="282" ht="15.75" customHeight="1">
      <c r="W282" s="74"/>
    </row>
    <row r="283" ht="15.75" customHeight="1">
      <c r="W283" s="74"/>
    </row>
    <row r="284" ht="15.75" customHeight="1">
      <c r="W284" s="74"/>
    </row>
    <row r="285" ht="15.75" customHeight="1">
      <c r="W285" s="74"/>
    </row>
    <row r="286" ht="15.75" customHeight="1">
      <c r="W286" s="74"/>
    </row>
    <row r="287" ht="15.75" customHeight="1">
      <c r="W287" s="74"/>
    </row>
    <row r="288" ht="15.75" customHeight="1">
      <c r="W288" s="74"/>
    </row>
    <row r="289" ht="15.75" customHeight="1">
      <c r="W289" s="74"/>
    </row>
    <row r="290" ht="15.75" customHeight="1">
      <c r="W290" s="74"/>
    </row>
    <row r="291" ht="15.75" customHeight="1">
      <c r="W291" s="74"/>
    </row>
    <row r="292" ht="15.75" customHeight="1">
      <c r="W292" s="74"/>
    </row>
    <row r="293" ht="15.75" customHeight="1">
      <c r="W293" s="74"/>
    </row>
    <row r="294" ht="15.75" customHeight="1">
      <c r="W294" s="74"/>
    </row>
    <row r="295" ht="15.75" customHeight="1">
      <c r="W295" s="74"/>
    </row>
    <row r="296" ht="15.75" customHeight="1">
      <c r="W296" s="74"/>
    </row>
    <row r="297" ht="15.75" customHeight="1">
      <c r="W297" s="74"/>
    </row>
    <row r="298" ht="15.75" customHeight="1">
      <c r="W298" s="74"/>
    </row>
    <row r="299" ht="15.75" customHeight="1">
      <c r="W299" s="74"/>
    </row>
    <row r="300" ht="15.75" customHeight="1">
      <c r="W300" s="74"/>
    </row>
    <row r="301" ht="15.75" customHeight="1">
      <c r="W301" s="74"/>
    </row>
    <row r="302" ht="15.75" customHeight="1">
      <c r="W302" s="74"/>
    </row>
    <row r="303" ht="15.75" customHeight="1">
      <c r="W303" s="74"/>
    </row>
    <row r="304" ht="15.75" customHeight="1">
      <c r="W304" s="74"/>
    </row>
    <row r="305" ht="15.75" customHeight="1">
      <c r="W305" s="74"/>
    </row>
    <row r="306" ht="15.75" customHeight="1">
      <c r="W306" s="74"/>
    </row>
    <row r="307" ht="15.75" customHeight="1">
      <c r="W307" s="74"/>
    </row>
    <row r="308" ht="15.75" customHeight="1">
      <c r="W308" s="74"/>
    </row>
    <row r="309" ht="15.75" customHeight="1">
      <c r="W309" s="74"/>
    </row>
    <row r="310" ht="15.75" customHeight="1">
      <c r="W310" s="74"/>
    </row>
    <row r="311" ht="15.75" customHeight="1">
      <c r="W311" s="74"/>
    </row>
    <row r="312" ht="15.75" customHeight="1">
      <c r="W312" s="74"/>
    </row>
    <row r="313" ht="15.75" customHeight="1">
      <c r="W313" s="74"/>
    </row>
    <row r="314" ht="15.75" customHeight="1">
      <c r="W314" s="74"/>
    </row>
    <row r="315" ht="15.75" customHeight="1">
      <c r="W315" s="74"/>
    </row>
    <row r="316" ht="15.75" customHeight="1">
      <c r="W316" s="74"/>
    </row>
    <row r="317" ht="15.75" customHeight="1">
      <c r="W317" s="74"/>
    </row>
    <row r="318" ht="15.75" customHeight="1">
      <c r="W318" s="74"/>
    </row>
    <row r="319" ht="15.75" customHeight="1">
      <c r="W319" s="74"/>
    </row>
    <row r="320" ht="15.75" customHeight="1">
      <c r="W320" s="74"/>
    </row>
    <row r="321" ht="15.75" customHeight="1">
      <c r="W321" s="74"/>
    </row>
    <row r="322" ht="15.75" customHeight="1">
      <c r="W322" s="74"/>
    </row>
    <row r="323" ht="15.75" customHeight="1">
      <c r="W323" s="74"/>
    </row>
    <row r="324" ht="15.75" customHeight="1">
      <c r="W324" s="74"/>
    </row>
    <row r="325" ht="15.75" customHeight="1">
      <c r="W325" s="74"/>
    </row>
    <row r="326" ht="15.75" customHeight="1">
      <c r="W326" s="74"/>
    </row>
    <row r="327" ht="15.75" customHeight="1">
      <c r="W327" s="74"/>
    </row>
    <row r="328" ht="15.75" customHeight="1">
      <c r="W328" s="74"/>
    </row>
    <row r="329" ht="15.75" customHeight="1">
      <c r="W329" s="74"/>
    </row>
    <row r="330" ht="15.75" customHeight="1">
      <c r="W330" s="74"/>
    </row>
    <row r="331" ht="15.75" customHeight="1">
      <c r="W331" s="74"/>
    </row>
    <row r="332" ht="15.75" customHeight="1">
      <c r="W332" s="74"/>
    </row>
    <row r="333" ht="15.75" customHeight="1">
      <c r="W333" s="74"/>
    </row>
    <row r="334" ht="15.75" customHeight="1">
      <c r="W334" s="74"/>
    </row>
    <row r="335" ht="15.75" customHeight="1">
      <c r="W335" s="74"/>
    </row>
    <row r="336" ht="15.75" customHeight="1">
      <c r="W336" s="74"/>
    </row>
    <row r="337" ht="15.75" customHeight="1">
      <c r="W337" s="74"/>
    </row>
    <row r="338" ht="15.75" customHeight="1">
      <c r="W338" s="74"/>
    </row>
    <row r="339" ht="15.75" customHeight="1">
      <c r="W339" s="74"/>
    </row>
    <row r="340" ht="15.75" customHeight="1">
      <c r="W340" s="74"/>
    </row>
    <row r="341" ht="15.75" customHeight="1">
      <c r="W341" s="74"/>
    </row>
    <row r="342" ht="15.75" customHeight="1">
      <c r="W342" s="74"/>
    </row>
    <row r="343" ht="15.75" customHeight="1">
      <c r="W343" s="74"/>
    </row>
    <row r="344" ht="15.75" customHeight="1">
      <c r="W344" s="74"/>
    </row>
    <row r="345" ht="15.75" customHeight="1">
      <c r="W345" s="74"/>
    </row>
    <row r="346" ht="15.75" customHeight="1">
      <c r="W346" s="74"/>
    </row>
    <row r="347" ht="15.75" customHeight="1">
      <c r="W347" s="74"/>
    </row>
    <row r="348" ht="15.75" customHeight="1">
      <c r="W348" s="74"/>
    </row>
    <row r="349" ht="15.75" customHeight="1">
      <c r="W349" s="74"/>
    </row>
    <row r="350" ht="15.75" customHeight="1">
      <c r="W350" s="74"/>
    </row>
    <row r="351" ht="15.75" customHeight="1">
      <c r="W351" s="74"/>
    </row>
    <row r="352" ht="15.75" customHeight="1">
      <c r="W352" s="74"/>
    </row>
    <row r="353" ht="15.75" customHeight="1">
      <c r="W353" s="74"/>
    </row>
    <row r="354" ht="15.75" customHeight="1">
      <c r="W354" s="74"/>
    </row>
    <row r="355" ht="15.75" customHeight="1">
      <c r="W355" s="74"/>
    </row>
    <row r="356" ht="15.75" customHeight="1">
      <c r="W356" s="74"/>
    </row>
    <row r="357" ht="15.75" customHeight="1">
      <c r="W357" s="74"/>
    </row>
    <row r="358" ht="15.75" customHeight="1">
      <c r="W358" s="74"/>
    </row>
    <row r="359" ht="15.75" customHeight="1">
      <c r="W359" s="74"/>
    </row>
    <row r="360" ht="15.75" customHeight="1">
      <c r="W360" s="74"/>
    </row>
    <row r="361" ht="15.75" customHeight="1">
      <c r="W361" s="74"/>
    </row>
    <row r="362" ht="15.75" customHeight="1">
      <c r="W362" s="74"/>
    </row>
    <row r="363" ht="15.75" customHeight="1">
      <c r="W363" s="74"/>
    </row>
    <row r="364" ht="15.75" customHeight="1">
      <c r="W364" s="74"/>
    </row>
    <row r="365" ht="15.75" customHeight="1">
      <c r="W365" s="74"/>
    </row>
    <row r="366" ht="15.75" customHeight="1">
      <c r="W366" s="74"/>
    </row>
    <row r="367" ht="15.75" customHeight="1">
      <c r="W367" s="74"/>
    </row>
    <row r="368" ht="15.75" customHeight="1">
      <c r="W368" s="74"/>
    </row>
    <row r="369" ht="15.75" customHeight="1">
      <c r="W369" s="74"/>
    </row>
    <row r="370" ht="15.75" customHeight="1">
      <c r="W370" s="74"/>
    </row>
    <row r="371" ht="15.75" customHeight="1">
      <c r="W371" s="74"/>
    </row>
    <row r="372" ht="15.75" customHeight="1">
      <c r="W372" s="74"/>
    </row>
    <row r="373" ht="15.75" customHeight="1">
      <c r="W373" s="74"/>
    </row>
    <row r="374" ht="15.75" customHeight="1">
      <c r="W374" s="74"/>
    </row>
    <row r="375" ht="15.75" customHeight="1">
      <c r="W375" s="74"/>
    </row>
    <row r="376" ht="15.75" customHeight="1">
      <c r="W376" s="74"/>
    </row>
    <row r="377" ht="15.75" customHeight="1">
      <c r="W377" s="74"/>
    </row>
    <row r="378" ht="15.75" customHeight="1">
      <c r="W378" s="74"/>
    </row>
    <row r="379" ht="15.75" customHeight="1">
      <c r="W379" s="74"/>
    </row>
    <row r="380" ht="15.75" customHeight="1">
      <c r="W380" s="74"/>
    </row>
    <row r="381" ht="15.75" customHeight="1">
      <c r="W381" s="74"/>
    </row>
    <row r="382" ht="15.75" customHeight="1">
      <c r="W382" s="74"/>
    </row>
    <row r="383" ht="15.75" customHeight="1">
      <c r="W383" s="74"/>
    </row>
    <row r="384" ht="15.75" customHeight="1">
      <c r="W384" s="74"/>
    </row>
    <row r="385" ht="15.75" customHeight="1">
      <c r="W385" s="74"/>
    </row>
    <row r="386" ht="15.75" customHeight="1">
      <c r="W386" s="74"/>
    </row>
    <row r="387" ht="15.75" customHeight="1">
      <c r="W387" s="74"/>
    </row>
    <row r="388" ht="15.75" customHeight="1">
      <c r="W388" s="74"/>
    </row>
    <row r="389" ht="15.75" customHeight="1">
      <c r="W389" s="74"/>
    </row>
    <row r="390" ht="15.75" customHeight="1">
      <c r="W390" s="74"/>
    </row>
    <row r="391" ht="15.75" customHeight="1">
      <c r="W391" s="74"/>
    </row>
    <row r="392" ht="15.75" customHeight="1">
      <c r="W392" s="74"/>
    </row>
    <row r="393" ht="15.75" customHeight="1">
      <c r="W393" s="74"/>
    </row>
    <row r="394" ht="15.75" customHeight="1">
      <c r="W394" s="74"/>
    </row>
    <row r="395" ht="15.75" customHeight="1">
      <c r="W395" s="74"/>
    </row>
    <row r="396" ht="15.75" customHeight="1">
      <c r="W396" s="74"/>
    </row>
    <row r="397" ht="15.75" customHeight="1">
      <c r="W397" s="74"/>
    </row>
    <row r="398" ht="15.75" customHeight="1">
      <c r="W398" s="74"/>
    </row>
    <row r="399" ht="15.75" customHeight="1">
      <c r="W399" s="74"/>
    </row>
    <row r="400" ht="15.75" customHeight="1">
      <c r="W400" s="74"/>
    </row>
    <row r="401" ht="15.75" customHeight="1">
      <c r="W401" s="74"/>
    </row>
    <row r="402" ht="15.75" customHeight="1">
      <c r="W402" s="74"/>
    </row>
    <row r="403" ht="15.75" customHeight="1">
      <c r="W403" s="74"/>
    </row>
    <row r="404" ht="15.75" customHeight="1">
      <c r="W404" s="74"/>
    </row>
    <row r="405" ht="15.75" customHeight="1">
      <c r="W405" s="74"/>
    </row>
    <row r="406" ht="15.75" customHeight="1">
      <c r="W406" s="74"/>
    </row>
    <row r="407" ht="15.75" customHeight="1">
      <c r="W407" s="74"/>
    </row>
    <row r="408" ht="15.75" customHeight="1">
      <c r="W408" s="74"/>
    </row>
    <row r="409" ht="15.75" customHeight="1">
      <c r="W409" s="74"/>
    </row>
    <row r="410" ht="15.75" customHeight="1">
      <c r="W410" s="74"/>
    </row>
    <row r="411" ht="15.75" customHeight="1">
      <c r="W411" s="74"/>
    </row>
    <row r="412" ht="15.75" customHeight="1">
      <c r="W412" s="74"/>
    </row>
    <row r="413" ht="15.75" customHeight="1">
      <c r="W413" s="74"/>
    </row>
    <row r="414" ht="15.75" customHeight="1">
      <c r="W414" s="74"/>
    </row>
    <row r="415" ht="15.75" customHeight="1">
      <c r="W415" s="74"/>
    </row>
    <row r="416" ht="15.75" customHeight="1">
      <c r="W416" s="74"/>
    </row>
    <row r="417" ht="15.75" customHeight="1">
      <c r="W417" s="74"/>
    </row>
    <row r="418" ht="15.75" customHeight="1">
      <c r="W418" s="74"/>
    </row>
    <row r="419" ht="15.75" customHeight="1">
      <c r="W419" s="74"/>
    </row>
    <row r="420" ht="15.75" customHeight="1">
      <c r="W420" s="74"/>
    </row>
    <row r="421" ht="15.75" customHeight="1">
      <c r="W421" s="74"/>
    </row>
    <row r="422" ht="15.75" customHeight="1">
      <c r="W422" s="74"/>
    </row>
    <row r="423" ht="15.75" customHeight="1">
      <c r="W423" s="74"/>
    </row>
    <row r="424" ht="15.75" customHeight="1">
      <c r="W424" s="74"/>
    </row>
    <row r="425" ht="15.75" customHeight="1">
      <c r="W425" s="74"/>
    </row>
    <row r="426" ht="15.75" customHeight="1">
      <c r="W426" s="74"/>
    </row>
    <row r="427" ht="15.75" customHeight="1">
      <c r="W427" s="74"/>
    </row>
    <row r="428" ht="15.75" customHeight="1">
      <c r="W428" s="74"/>
    </row>
    <row r="429" ht="15.75" customHeight="1">
      <c r="W429" s="74"/>
    </row>
    <row r="430" ht="15.75" customHeight="1">
      <c r="W430" s="74"/>
    </row>
    <row r="431" ht="15.75" customHeight="1">
      <c r="W431" s="74"/>
    </row>
    <row r="432" ht="15.75" customHeight="1">
      <c r="W432" s="74"/>
    </row>
    <row r="433" ht="15.75" customHeight="1">
      <c r="W433" s="74"/>
    </row>
    <row r="434" ht="15.75" customHeight="1">
      <c r="W434" s="74"/>
    </row>
    <row r="435" ht="15.75" customHeight="1">
      <c r="W435" s="74"/>
    </row>
    <row r="436" ht="15.75" customHeight="1">
      <c r="W436" s="74"/>
    </row>
    <row r="437" ht="15.75" customHeight="1">
      <c r="W437" s="74"/>
    </row>
    <row r="438" ht="15.75" customHeight="1">
      <c r="W438" s="74"/>
    </row>
    <row r="439" ht="15.75" customHeight="1">
      <c r="W439" s="74"/>
    </row>
    <row r="440" ht="15.75" customHeight="1">
      <c r="W440" s="74"/>
    </row>
    <row r="441" ht="15.75" customHeight="1">
      <c r="W441" s="74"/>
    </row>
    <row r="442" ht="15.75" customHeight="1">
      <c r="W442" s="74"/>
    </row>
    <row r="443" ht="15.75" customHeight="1">
      <c r="W443" s="74"/>
    </row>
    <row r="444" ht="15.75" customHeight="1">
      <c r="W444" s="74"/>
    </row>
    <row r="445" ht="15.75" customHeight="1">
      <c r="W445" s="74"/>
    </row>
    <row r="446" ht="15.75" customHeight="1">
      <c r="W446" s="74"/>
    </row>
    <row r="447" ht="15.75" customHeight="1">
      <c r="W447" s="74"/>
    </row>
    <row r="448" ht="15.75" customHeight="1">
      <c r="W448" s="74"/>
    </row>
    <row r="449" ht="15.75" customHeight="1">
      <c r="W449" s="74"/>
    </row>
    <row r="450" ht="15.75" customHeight="1">
      <c r="W450" s="74"/>
    </row>
    <row r="451" ht="15.75" customHeight="1">
      <c r="W451" s="74"/>
    </row>
    <row r="452" ht="15.75" customHeight="1">
      <c r="W452" s="74"/>
    </row>
    <row r="453" ht="15.75" customHeight="1">
      <c r="W453" s="74"/>
    </row>
    <row r="454" ht="15.75" customHeight="1">
      <c r="W454" s="74"/>
    </row>
    <row r="455" ht="15.75" customHeight="1">
      <c r="W455" s="74"/>
    </row>
    <row r="456" ht="15.75" customHeight="1">
      <c r="W456" s="74"/>
    </row>
    <row r="457" ht="15.75" customHeight="1">
      <c r="W457" s="74"/>
    </row>
    <row r="458" ht="15.75" customHeight="1">
      <c r="W458" s="74"/>
    </row>
    <row r="459" ht="15.75" customHeight="1">
      <c r="W459" s="74"/>
    </row>
    <row r="460" ht="15.75" customHeight="1">
      <c r="W460" s="74"/>
    </row>
    <row r="461" ht="15.75" customHeight="1">
      <c r="W461" s="74"/>
    </row>
    <row r="462" ht="15.75" customHeight="1">
      <c r="W462" s="74"/>
    </row>
    <row r="463" ht="15.75" customHeight="1">
      <c r="W463" s="74"/>
    </row>
    <row r="464" ht="15.75" customHeight="1">
      <c r="W464" s="74"/>
    </row>
    <row r="465" ht="15.75" customHeight="1">
      <c r="W465" s="74"/>
    </row>
    <row r="466" ht="15.75" customHeight="1">
      <c r="W466" s="74"/>
    </row>
    <row r="467" ht="15.75" customHeight="1">
      <c r="W467" s="74"/>
    </row>
    <row r="468" ht="15.75" customHeight="1">
      <c r="W468" s="74"/>
    </row>
    <row r="469" ht="15.75" customHeight="1">
      <c r="W469" s="74"/>
    </row>
    <row r="470" ht="15.75" customHeight="1">
      <c r="W470" s="74"/>
    </row>
    <row r="471" ht="15.75" customHeight="1">
      <c r="W471" s="74"/>
    </row>
    <row r="472" ht="15.75" customHeight="1">
      <c r="W472" s="74"/>
    </row>
    <row r="473" ht="15.75" customHeight="1">
      <c r="W473" s="74"/>
    </row>
    <row r="474" ht="15.75" customHeight="1">
      <c r="W474" s="74"/>
    </row>
    <row r="475" ht="15.75" customHeight="1">
      <c r="W475" s="74"/>
    </row>
    <row r="476" ht="15.75" customHeight="1">
      <c r="W476" s="74"/>
    </row>
    <row r="477" ht="15.75" customHeight="1">
      <c r="W477" s="74"/>
    </row>
    <row r="478" ht="15.75" customHeight="1">
      <c r="W478" s="74"/>
    </row>
    <row r="479" ht="15.75" customHeight="1">
      <c r="W479" s="74"/>
    </row>
    <row r="480" ht="15.75" customHeight="1">
      <c r="W480" s="74"/>
    </row>
    <row r="481" ht="15.75" customHeight="1">
      <c r="W481" s="74"/>
    </row>
    <row r="482" ht="15.75" customHeight="1">
      <c r="W482" s="74"/>
    </row>
    <row r="483" ht="15.75" customHeight="1">
      <c r="W483" s="74"/>
    </row>
    <row r="484" ht="15.75" customHeight="1">
      <c r="W484" s="74"/>
    </row>
    <row r="485" ht="15.75" customHeight="1">
      <c r="W485" s="74"/>
    </row>
    <row r="486" ht="15.75" customHeight="1">
      <c r="W486" s="74"/>
    </row>
    <row r="487" ht="15.75" customHeight="1">
      <c r="W487" s="74"/>
    </row>
    <row r="488" ht="15.75" customHeight="1">
      <c r="W488" s="74"/>
    </row>
    <row r="489" ht="15.75" customHeight="1">
      <c r="W489" s="74"/>
    </row>
    <row r="490" ht="15.75" customHeight="1">
      <c r="W490" s="74"/>
    </row>
    <row r="491" ht="15.75" customHeight="1">
      <c r="W491" s="74"/>
    </row>
    <row r="492" ht="15.75" customHeight="1">
      <c r="W492" s="74"/>
    </row>
    <row r="493" ht="15.75" customHeight="1">
      <c r="W493" s="74"/>
    </row>
    <row r="494" ht="15.75" customHeight="1">
      <c r="W494" s="74"/>
    </row>
    <row r="495" ht="15.75" customHeight="1">
      <c r="W495" s="74"/>
    </row>
    <row r="496" ht="15.75" customHeight="1">
      <c r="W496" s="74"/>
    </row>
    <row r="497" ht="15.75" customHeight="1">
      <c r="W497" s="74"/>
    </row>
    <row r="498" ht="15.75" customHeight="1">
      <c r="W498" s="74"/>
    </row>
    <row r="499" ht="15.75" customHeight="1">
      <c r="W499" s="74"/>
    </row>
    <row r="500" ht="15.75" customHeight="1">
      <c r="W500" s="74"/>
    </row>
    <row r="501" ht="15.75" customHeight="1">
      <c r="W501" s="74"/>
    </row>
    <row r="502" ht="15.75" customHeight="1">
      <c r="W502" s="74"/>
    </row>
    <row r="503" ht="15.75" customHeight="1">
      <c r="W503" s="74"/>
    </row>
    <row r="504" ht="15.75" customHeight="1">
      <c r="W504" s="74"/>
    </row>
    <row r="505" ht="15.75" customHeight="1">
      <c r="W505" s="74"/>
    </row>
    <row r="506" ht="15.75" customHeight="1">
      <c r="W506" s="74"/>
    </row>
    <row r="507" ht="15.75" customHeight="1">
      <c r="W507" s="74"/>
    </row>
    <row r="508" ht="15.75" customHeight="1">
      <c r="W508" s="74"/>
    </row>
    <row r="509" ht="15.75" customHeight="1">
      <c r="W509" s="74"/>
    </row>
    <row r="510" ht="15.75" customHeight="1">
      <c r="W510" s="74"/>
    </row>
    <row r="511" ht="15.75" customHeight="1">
      <c r="W511" s="74"/>
    </row>
    <row r="512" ht="15.75" customHeight="1">
      <c r="W512" s="74"/>
    </row>
    <row r="513" ht="15.75" customHeight="1">
      <c r="W513" s="74"/>
    </row>
    <row r="514" ht="15.75" customHeight="1">
      <c r="W514" s="74"/>
    </row>
    <row r="515" ht="15.75" customHeight="1">
      <c r="W515" s="74"/>
    </row>
    <row r="516" ht="15.75" customHeight="1">
      <c r="W516" s="74"/>
    </row>
    <row r="517" ht="15.75" customHeight="1">
      <c r="W517" s="74"/>
    </row>
    <row r="518" ht="15.75" customHeight="1">
      <c r="W518" s="74"/>
    </row>
    <row r="519" ht="15.75" customHeight="1">
      <c r="W519" s="74"/>
    </row>
    <row r="520" ht="15.75" customHeight="1">
      <c r="W520" s="74"/>
    </row>
    <row r="521" ht="15.75" customHeight="1">
      <c r="W521" s="74"/>
    </row>
    <row r="522" ht="15.75" customHeight="1">
      <c r="W522" s="74"/>
    </row>
    <row r="523" ht="15.75" customHeight="1">
      <c r="W523" s="74"/>
    </row>
    <row r="524" ht="15.75" customHeight="1">
      <c r="W524" s="74"/>
    </row>
    <row r="525" ht="15.75" customHeight="1">
      <c r="W525" s="74"/>
    </row>
    <row r="526" ht="15.75" customHeight="1">
      <c r="W526" s="74"/>
    </row>
    <row r="527" ht="15.75" customHeight="1">
      <c r="W527" s="74"/>
    </row>
    <row r="528" ht="15.75" customHeight="1">
      <c r="W528" s="74"/>
    </row>
    <row r="529" ht="15.75" customHeight="1">
      <c r="W529" s="74"/>
    </row>
    <row r="530" ht="15.75" customHeight="1">
      <c r="W530" s="74"/>
    </row>
    <row r="531" ht="15.75" customHeight="1">
      <c r="W531" s="74"/>
    </row>
    <row r="532" ht="15.75" customHeight="1">
      <c r="W532" s="74"/>
    </row>
    <row r="533" ht="15.75" customHeight="1">
      <c r="W533" s="74"/>
    </row>
    <row r="534" ht="15.75" customHeight="1">
      <c r="W534" s="74"/>
    </row>
    <row r="535" ht="15.75" customHeight="1">
      <c r="W535" s="74"/>
    </row>
    <row r="536" ht="15.75" customHeight="1">
      <c r="W536" s="74"/>
    </row>
    <row r="537" ht="15.75" customHeight="1">
      <c r="W537" s="74"/>
    </row>
    <row r="538" ht="15.75" customHeight="1">
      <c r="W538" s="74"/>
    </row>
    <row r="539" ht="15.75" customHeight="1">
      <c r="W539" s="74"/>
    </row>
    <row r="540" ht="15.75" customHeight="1">
      <c r="W540" s="74"/>
    </row>
    <row r="541" ht="15.75" customHeight="1">
      <c r="W541" s="74"/>
    </row>
    <row r="542" ht="15.75" customHeight="1">
      <c r="W542" s="74"/>
    </row>
    <row r="543" ht="15.75" customHeight="1">
      <c r="W543" s="74"/>
    </row>
    <row r="544" ht="15.75" customHeight="1">
      <c r="W544" s="74"/>
    </row>
    <row r="545" ht="15.75" customHeight="1">
      <c r="W545" s="74"/>
    </row>
    <row r="546" ht="15.75" customHeight="1">
      <c r="W546" s="74"/>
    </row>
    <row r="547" ht="15.75" customHeight="1">
      <c r="W547" s="74"/>
    </row>
    <row r="548" ht="15.75" customHeight="1">
      <c r="W548" s="74"/>
    </row>
    <row r="549" ht="15.75" customHeight="1">
      <c r="W549" s="74"/>
    </row>
    <row r="550" ht="15.75" customHeight="1">
      <c r="W550" s="74"/>
    </row>
    <row r="551" ht="15.75" customHeight="1">
      <c r="W551" s="74"/>
    </row>
    <row r="552" ht="15.75" customHeight="1">
      <c r="W552" s="74"/>
    </row>
    <row r="553" ht="15.75" customHeight="1">
      <c r="W553" s="74"/>
    </row>
    <row r="554" ht="15.75" customHeight="1">
      <c r="W554" s="74"/>
    </row>
    <row r="555" ht="15.75" customHeight="1">
      <c r="W555" s="74"/>
    </row>
    <row r="556" ht="15.75" customHeight="1">
      <c r="W556" s="74"/>
    </row>
    <row r="557" ht="15.75" customHeight="1">
      <c r="W557" s="74"/>
    </row>
    <row r="558" ht="15.75" customHeight="1">
      <c r="W558" s="74"/>
    </row>
    <row r="559" ht="15.75" customHeight="1">
      <c r="W559" s="74"/>
    </row>
    <row r="560" ht="15.75" customHeight="1">
      <c r="W560" s="74"/>
    </row>
    <row r="561" ht="15.75" customHeight="1">
      <c r="W561" s="74"/>
    </row>
    <row r="562" ht="15.75" customHeight="1">
      <c r="W562" s="74"/>
    </row>
    <row r="563" ht="15.75" customHeight="1">
      <c r="W563" s="74"/>
    </row>
    <row r="564" ht="15.75" customHeight="1">
      <c r="W564" s="74"/>
    </row>
    <row r="565" ht="15.75" customHeight="1">
      <c r="W565" s="74"/>
    </row>
    <row r="566" ht="15.75" customHeight="1">
      <c r="W566" s="74"/>
    </row>
    <row r="567" ht="15.75" customHeight="1">
      <c r="W567" s="74"/>
    </row>
    <row r="568" ht="15.75" customHeight="1">
      <c r="W568" s="74"/>
    </row>
    <row r="569" ht="15.75" customHeight="1">
      <c r="W569" s="74"/>
    </row>
    <row r="570" ht="15.75" customHeight="1">
      <c r="W570" s="74"/>
    </row>
    <row r="571" ht="15.75" customHeight="1">
      <c r="W571" s="74"/>
    </row>
    <row r="572" ht="15.75" customHeight="1">
      <c r="W572" s="74"/>
    </row>
    <row r="573" ht="15.75" customHeight="1">
      <c r="W573" s="74"/>
    </row>
    <row r="574" ht="15.75" customHeight="1">
      <c r="W574" s="74"/>
    </row>
    <row r="575" ht="15.75" customHeight="1">
      <c r="W575" s="74"/>
    </row>
    <row r="576" ht="15.75" customHeight="1">
      <c r="W576" s="74"/>
    </row>
    <row r="577" ht="15.75" customHeight="1">
      <c r="W577" s="74"/>
    </row>
    <row r="578" ht="15.75" customHeight="1">
      <c r="W578" s="74"/>
    </row>
    <row r="579" ht="15.75" customHeight="1">
      <c r="W579" s="74"/>
    </row>
    <row r="580" ht="15.75" customHeight="1">
      <c r="W580" s="74"/>
    </row>
    <row r="581" ht="15.75" customHeight="1">
      <c r="W581" s="74"/>
    </row>
    <row r="582" ht="15.75" customHeight="1">
      <c r="W582" s="74"/>
    </row>
    <row r="583" ht="15.75" customHeight="1">
      <c r="W583" s="74"/>
    </row>
    <row r="584" ht="15.75" customHeight="1">
      <c r="W584" s="74"/>
    </row>
    <row r="585" ht="15.75" customHeight="1">
      <c r="W585" s="74"/>
    </row>
    <row r="586" ht="15.75" customHeight="1">
      <c r="W586" s="74"/>
    </row>
    <row r="587" ht="15.75" customHeight="1">
      <c r="W587" s="74"/>
    </row>
    <row r="588" ht="15.75" customHeight="1">
      <c r="W588" s="74"/>
    </row>
    <row r="589" ht="15.75" customHeight="1">
      <c r="W589" s="74"/>
    </row>
    <row r="590" ht="15.75" customHeight="1">
      <c r="W590" s="74"/>
    </row>
    <row r="591" ht="15.75" customHeight="1">
      <c r="W591" s="74"/>
    </row>
    <row r="592" ht="15.75" customHeight="1">
      <c r="W592" s="74"/>
    </row>
    <row r="593" ht="15.75" customHeight="1">
      <c r="W593" s="74"/>
    </row>
    <row r="594" ht="15.75" customHeight="1">
      <c r="W594" s="74"/>
    </row>
    <row r="595" ht="15.75" customHeight="1">
      <c r="W595" s="74"/>
    </row>
    <row r="596" ht="15.75" customHeight="1">
      <c r="W596" s="74"/>
    </row>
    <row r="597" ht="15.75" customHeight="1">
      <c r="W597" s="74"/>
    </row>
    <row r="598" ht="15.75" customHeight="1">
      <c r="W598" s="74"/>
    </row>
    <row r="599" ht="15.75" customHeight="1">
      <c r="W599" s="74"/>
    </row>
    <row r="600" ht="15.75" customHeight="1">
      <c r="W600" s="74"/>
    </row>
    <row r="601" ht="15.75" customHeight="1">
      <c r="W601" s="74"/>
    </row>
    <row r="602" ht="15.75" customHeight="1">
      <c r="W602" s="74"/>
    </row>
    <row r="603" ht="15.75" customHeight="1">
      <c r="W603" s="74"/>
    </row>
    <row r="604" ht="15.75" customHeight="1">
      <c r="W604" s="74"/>
    </row>
    <row r="605" ht="15.75" customHeight="1">
      <c r="W605" s="74"/>
    </row>
    <row r="606" ht="15.75" customHeight="1">
      <c r="W606" s="74"/>
    </row>
    <row r="607" ht="15.75" customHeight="1">
      <c r="W607" s="74"/>
    </row>
    <row r="608" ht="15.75" customHeight="1">
      <c r="W608" s="74"/>
    </row>
    <row r="609" ht="15.75" customHeight="1">
      <c r="W609" s="74"/>
    </row>
    <row r="610" ht="15.75" customHeight="1">
      <c r="W610" s="74"/>
    </row>
    <row r="611" ht="15.75" customHeight="1">
      <c r="W611" s="74"/>
    </row>
    <row r="612" ht="15.75" customHeight="1">
      <c r="W612" s="74"/>
    </row>
    <row r="613" ht="15.75" customHeight="1">
      <c r="W613" s="74"/>
    </row>
    <row r="614" ht="15.75" customHeight="1">
      <c r="W614" s="74"/>
    </row>
    <row r="615" ht="15.75" customHeight="1">
      <c r="W615" s="74"/>
    </row>
    <row r="616" ht="15.75" customHeight="1">
      <c r="W616" s="74"/>
    </row>
    <row r="617" ht="15.75" customHeight="1">
      <c r="W617" s="74"/>
    </row>
    <row r="618" ht="15.75" customHeight="1">
      <c r="W618" s="74"/>
    </row>
    <row r="619" ht="15.75" customHeight="1">
      <c r="W619" s="74"/>
    </row>
    <row r="620" ht="15.75" customHeight="1">
      <c r="W620" s="74"/>
    </row>
    <row r="621" ht="15.75" customHeight="1">
      <c r="W621" s="74"/>
    </row>
    <row r="622" ht="15.75" customHeight="1">
      <c r="W622" s="74"/>
    </row>
    <row r="623" ht="15.75" customHeight="1">
      <c r="W623" s="74"/>
    </row>
    <row r="624" ht="15.75" customHeight="1">
      <c r="W624" s="74"/>
    </row>
    <row r="625" ht="15.75" customHeight="1">
      <c r="W625" s="74"/>
    </row>
    <row r="626" ht="15.75" customHeight="1">
      <c r="W626" s="74"/>
    </row>
    <row r="627" ht="15.75" customHeight="1">
      <c r="W627" s="74"/>
    </row>
    <row r="628" ht="15.75" customHeight="1">
      <c r="W628" s="74"/>
    </row>
    <row r="629" ht="15.75" customHeight="1">
      <c r="W629" s="74"/>
    </row>
    <row r="630" ht="15.75" customHeight="1">
      <c r="W630" s="74"/>
    </row>
    <row r="631" ht="15.75" customHeight="1">
      <c r="W631" s="74"/>
    </row>
    <row r="632" ht="15.75" customHeight="1">
      <c r="W632" s="74"/>
    </row>
    <row r="633" ht="15.75" customHeight="1">
      <c r="W633" s="74"/>
    </row>
    <row r="634" ht="15.75" customHeight="1">
      <c r="W634" s="74"/>
    </row>
    <row r="635" ht="15.75" customHeight="1">
      <c r="W635" s="74"/>
    </row>
    <row r="636" ht="15.75" customHeight="1">
      <c r="W636" s="74"/>
    </row>
    <row r="637" ht="15.75" customHeight="1">
      <c r="W637" s="74"/>
    </row>
    <row r="638" ht="15.75" customHeight="1">
      <c r="W638" s="74"/>
    </row>
    <row r="639" ht="15.75" customHeight="1">
      <c r="W639" s="74"/>
    </row>
    <row r="640" ht="15.75" customHeight="1">
      <c r="W640" s="74"/>
    </row>
    <row r="641" ht="15.75" customHeight="1">
      <c r="W641" s="74"/>
    </row>
    <row r="642" ht="15.75" customHeight="1">
      <c r="W642" s="74"/>
    </row>
    <row r="643" ht="15.75" customHeight="1">
      <c r="W643" s="74"/>
    </row>
    <row r="644" ht="15.75" customHeight="1">
      <c r="W644" s="74"/>
    </row>
    <row r="645" ht="15.75" customHeight="1">
      <c r="W645" s="74"/>
    </row>
    <row r="646" ht="15.75" customHeight="1">
      <c r="W646" s="74"/>
    </row>
    <row r="647" ht="15.75" customHeight="1">
      <c r="W647" s="74"/>
    </row>
    <row r="648" ht="15.75" customHeight="1">
      <c r="W648" s="74"/>
    </row>
    <row r="649" ht="15.75" customHeight="1">
      <c r="W649" s="74"/>
    </row>
    <row r="650" ht="15.75" customHeight="1">
      <c r="W650" s="74"/>
    </row>
    <row r="651" ht="15.75" customHeight="1">
      <c r="W651" s="74"/>
    </row>
    <row r="652" ht="15.75" customHeight="1">
      <c r="W652" s="74"/>
    </row>
    <row r="653" ht="15.75" customHeight="1">
      <c r="W653" s="74"/>
    </row>
    <row r="654" ht="15.75" customHeight="1">
      <c r="W654" s="74"/>
    </row>
    <row r="655" ht="15.75" customHeight="1">
      <c r="W655" s="74"/>
    </row>
    <row r="656" ht="15.75" customHeight="1">
      <c r="W656" s="74"/>
    </row>
    <row r="657" ht="15.75" customHeight="1">
      <c r="W657" s="74"/>
    </row>
    <row r="658" ht="15.75" customHeight="1">
      <c r="W658" s="74"/>
    </row>
    <row r="659" ht="15.75" customHeight="1">
      <c r="W659" s="74"/>
    </row>
    <row r="660" ht="15.75" customHeight="1">
      <c r="W660" s="74"/>
    </row>
    <row r="661" ht="15.75" customHeight="1">
      <c r="W661" s="74"/>
    </row>
    <row r="662" ht="15.75" customHeight="1">
      <c r="W662" s="74"/>
    </row>
    <row r="663" ht="15.75" customHeight="1">
      <c r="W663" s="74"/>
    </row>
    <row r="664" ht="15.75" customHeight="1">
      <c r="W664" s="74"/>
    </row>
    <row r="665" ht="15.75" customHeight="1">
      <c r="W665" s="74"/>
    </row>
    <row r="666" ht="15.75" customHeight="1">
      <c r="W666" s="74"/>
    </row>
    <row r="667" ht="15.75" customHeight="1">
      <c r="W667" s="74"/>
    </row>
    <row r="668" ht="15.75" customHeight="1">
      <c r="W668" s="74"/>
    </row>
    <row r="669" ht="15.75" customHeight="1">
      <c r="W669" s="74"/>
    </row>
    <row r="670" ht="15.75" customHeight="1">
      <c r="W670" s="74"/>
    </row>
    <row r="671" ht="15.75" customHeight="1">
      <c r="W671" s="74"/>
    </row>
    <row r="672" ht="15.75" customHeight="1">
      <c r="W672" s="74"/>
    </row>
    <row r="673" ht="15.75" customHeight="1">
      <c r="W673" s="74"/>
    </row>
    <row r="674" ht="15.75" customHeight="1">
      <c r="W674" s="74"/>
    </row>
    <row r="675" ht="15.75" customHeight="1">
      <c r="W675" s="74"/>
    </row>
    <row r="676" ht="15.75" customHeight="1">
      <c r="W676" s="74"/>
    </row>
    <row r="677" ht="15.75" customHeight="1">
      <c r="W677" s="74"/>
    </row>
    <row r="678" ht="15.75" customHeight="1">
      <c r="W678" s="74"/>
    </row>
    <row r="679" ht="15.75" customHeight="1">
      <c r="W679" s="74"/>
    </row>
    <row r="680" ht="15.75" customHeight="1">
      <c r="W680" s="74"/>
    </row>
    <row r="681" ht="15.75" customHeight="1">
      <c r="W681" s="74"/>
    </row>
    <row r="682" ht="15.75" customHeight="1">
      <c r="W682" s="74"/>
    </row>
    <row r="683" ht="15.75" customHeight="1">
      <c r="W683" s="74"/>
    </row>
    <row r="684" ht="15.75" customHeight="1">
      <c r="W684" s="74"/>
    </row>
    <row r="685" ht="15.75" customHeight="1">
      <c r="W685" s="74"/>
    </row>
    <row r="686" ht="15.75" customHeight="1">
      <c r="W686" s="74"/>
    </row>
    <row r="687" ht="15.75" customHeight="1">
      <c r="W687" s="74"/>
    </row>
    <row r="688" ht="15.75" customHeight="1">
      <c r="W688" s="74"/>
    </row>
    <row r="689" ht="15.75" customHeight="1">
      <c r="W689" s="74"/>
    </row>
    <row r="690" ht="15.75" customHeight="1">
      <c r="W690" s="74"/>
    </row>
    <row r="691" ht="15.75" customHeight="1">
      <c r="W691" s="74"/>
    </row>
    <row r="692" ht="15.75" customHeight="1">
      <c r="W692" s="74"/>
    </row>
    <row r="693" ht="15.75" customHeight="1">
      <c r="W693" s="74"/>
    </row>
    <row r="694" ht="15.75" customHeight="1">
      <c r="W694" s="74"/>
    </row>
    <row r="695" ht="15.75" customHeight="1">
      <c r="W695" s="74"/>
    </row>
    <row r="696" ht="15.75" customHeight="1">
      <c r="W696" s="74"/>
    </row>
    <row r="697" ht="15.75" customHeight="1">
      <c r="W697" s="74"/>
    </row>
    <row r="698" ht="15.75" customHeight="1">
      <c r="W698" s="74"/>
    </row>
    <row r="699" ht="15.75" customHeight="1">
      <c r="W699" s="74"/>
    </row>
    <row r="700" ht="15.75" customHeight="1">
      <c r="W700" s="74"/>
    </row>
    <row r="701" ht="15.75" customHeight="1">
      <c r="W701" s="74"/>
    </row>
    <row r="702" ht="15.75" customHeight="1">
      <c r="W702" s="74"/>
    </row>
    <row r="703" ht="15.75" customHeight="1">
      <c r="W703" s="74"/>
    </row>
    <row r="704" ht="15.75" customHeight="1">
      <c r="W704" s="74"/>
    </row>
    <row r="705" ht="15.75" customHeight="1">
      <c r="W705" s="74"/>
    </row>
    <row r="706" ht="15.75" customHeight="1">
      <c r="W706" s="74"/>
    </row>
    <row r="707" ht="15.75" customHeight="1">
      <c r="W707" s="74"/>
    </row>
    <row r="708" ht="15.75" customHeight="1">
      <c r="W708" s="74"/>
    </row>
    <row r="709" ht="15.75" customHeight="1">
      <c r="W709" s="74"/>
    </row>
    <row r="710" ht="15.75" customHeight="1">
      <c r="W710" s="74"/>
    </row>
    <row r="711" ht="15.75" customHeight="1">
      <c r="W711" s="74"/>
    </row>
    <row r="712" ht="15.75" customHeight="1">
      <c r="W712" s="74"/>
    </row>
    <row r="713" ht="15.75" customHeight="1">
      <c r="W713" s="74"/>
    </row>
    <row r="714" ht="15.75" customHeight="1">
      <c r="W714" s="74"/>
    </row>
    <row r="715" ht="15.75" customHeight="1">
      <c r="W715" s="74"/>
    </row>
    <row r="716" ht="15.75" customHeight="1">
      <c r="W716" s="74"/>
    </row>
    <row r="717" ht="15.75" customHeight="1">
      <c r="W717" s="74"/>
    </row>
    <row r="718" ht="15.75" customHeight="1">
      <c r="W718" s="74"/>
    </row>
    <row r="719" ht="15.75" customHeight="1">
      <c r="W719" s="74"/>
    </row>
    <row r="720" ht="15.75" customHeight="1">
      <c r="W720" s="74"/>
    </row>
    <row r="721" ht="15.75" customHeight="1">
      <c r="W721" s="74"/>
    </row>
    <row r="722" ht="15.75" customHeight="1">
      <c r="W722" s="74"/>
    </row>
    <row r="723" ht="15.75" customHeight="1">
      <c r="W723" s="74"/>
    </row>
    <row r="724" ht="15.75" customHeight="1">
      <c r="W724" s="74"/>
    </row>
    <row r="725" ht="15.75" customHeight="1">
      <c r="W725" s="74"/>
    </row>
    <row r="726" ht="15.75" customHeight="1">
      <c r="W726" s="74"/>
    </row>
    <row r="727" ht="15.75" customHeight="1">
      <c r="W727" s="74"/>
    </row>
    <row r="728" ht="15.75" customHeight="1">
      <c r="W728" s="74"/>
    </row>
    <row r="729" ht="15.75" customHeight="1">
      <c r="W729" s="74"/>
    </row>
    <row r="730" ht="15.75" customHeight="1">
      <c r="W730" s="74"/>
    </row>
    <row r="731" ht="15.75" customHeight="1">
      <c r="W731" s="74"/>
    </row>
    <row r="732" ht="15.75" customHeight="1">
      <c r="W732" s="74"/>
    </row>
    <row r="733" ht="15.75" customHeight="1">
      <c r="W733" s="74"/>
    </row>
    <row r="734" ht="15.75" customHeight="1">
      <c r="W734" s="74"/>
    </row>
    <row r="735" ht="15.75" customHeight="1">
      <c r="W735" s="74"/>
    </row>
    <row r="736" ht="15.75" customHeight="1">
      <c r="W736" s="74"/>
    </row>
    <row r="737" ht="15.75" customHeight="1">
      <c r="W737" s="74"/>
    </row>
    <row r="738" ht="15.75" customHeight="1">
      <c r="W738" s="74"/>
    </row>
    <row r="739" ht="15.75" customHeight="1">
      <c r="W739" s="74"/>
    </row>
    <row r="740" ht="15.75" customHeight="1">
      <c r="W740" s="74"/>
    </row>
    <row r="741" ht="15.75" customHeight="1">
      <c r="W741" s="74"/>
    </row>
    <row r="742" ht="15.75" customHeight="1">
      <c r="W742" s="74"/>
    </row>
    <row r="743" ht="15.75" customHeight="1">
      <c r="W743" s="74"/>
    </row>
    <row r="744" ht="15.75" customHeight="1">
      <c r="W744" s="74"/>
    </row>
    <row r="745" ht="15.75" customHeight="1">
      <c r="W745" s="74"/>
    </row>
    <row r="746" ht="15.75" customHeight="1">
      <c r="W746" s="74"/>
    </row>
    <row r="747" ht="15.75" customHeight="1">
      <c r="W747" s="74"/>
    </row>
    <row r="748" ht="15.75" customHeight="1">
      <c r="W748" s="74"/>
    </row>
    <row r="749" ht="15.75" customHeight="1">
      <c r="W749" s="74"/>
    </row>
    <row r="750" ht="15.75" customHeight="1">
      <c r="W750" s="74"/>
    </row>
    <row r="751" ht="15.75" customHeight="1">
      <c r="W751" s="74"/>
    </row>
    <row r="752" ht="15.75" customHeight="1">
      <c r="W752" s="74"/>
    </row>
    <row r="753" ht="15.75" customHeight="1">
      <c r="W753" s="74"/>
    </row>
    <row r="754" ht="15.75" customHeight="1">
      <c r="W754" s="74"/>
    </row>
    <row r="755" ht="15.75" customHeight="1">
      <c r="W755" s="74"/>
    </row>
    <row r="756" ht="15.75" customHeight="1">
      <c r="W756" s="74"/>
    </row>
    <row r="757" ht="15.75" customHeight="1">
      <c r="W757" s="74"/>
    </row>
    <row r="758" ht="15.75" customHeight="1">
      <c r="W758" s="74"/>
    </row>
    <row r="759" ht="15.75" customHeight="1">
      <c r="W759" s="74"/>
    </row>
    <row r="760" ht="15.75" customHeight="1">
      <c r="W760" s="74"/>
    </row>
    <row r="761" ht="15.75" customHeight="1">
      <c r="W761" s="74"/>
    </row>
    <row r="762" ht="15.75" customHeight="1">
      <c r="W762" s="74"/>
    </row>
    <row r="763" ht="15.75" customHeight="1">
      <c r="W763" s="74"/>
    </row>
    <row r="764" ht="15.75" customHeight="1">
      <c r="W764" s="74"/>
    </row>
    <row r="765" ht="15.75" customHeight="1">
      <c r="W765" s="74"/>
    </row>
    <row r="766" ht="15.75" customHeight="1">
      <c r="W766" s="74"/>
    </row>
    <row r="767" ht="15.75" customHeight="1">
      <c r="W767" s="74"/>
    </row>
    <row r="768" ht="15.75" customHeight="1">
      <c r="W768" s="74"/>
    </row>
    <row r="769" ht="15.75" customHeight="1">
      <c r="W769" s="74"/>
    </row>
    <row r="770" ht="15.75" customHeight="1">
      <c r="W770" s="74"/>
    </row>
    <row r="771" ht="15.75" customHeight="1">
      <c r="W771" s="74"/>
    </row>
    <row r="772" ht="15.75" customHeight="1">
      <c r="W772" s="74"/>
    </row>
    <row r="773" ht="15.75" customHeight="1">
      <c r="W773" s="74"/>
    </row>
    <row r="774" ht="15.75" customHeight="1">
      <c r="W774" s="74"/>
    </row>
    <row r="775" ht="15.75" customHeight="1">
      <c r="W775" s="74"/>
    </row>
    <row r="776" ht="15.75" customHeight="1">
      <c r="W776" s="74"/>
    </row>
    <row r="777" ht="15.75" customHeight="1">
      <c r="W777" s="74"/>
    </row>
    <row r="778" ht="15.75" customHeight="1">
      <c r="W778" s="74"/>
    </row>
    <row r="779" ht="15.75" customHeight="1">
      <c r="W779" s="74"/>
    </row>
    <row r="780" ht="15.75" customHeight="1">
      <c r="W780" s="74"/>
    </row>
    <row r="781" ht="15.75" customHeight="1">
      <c r="W781" s="74"/>
    </row>
    <row r="782" ht="15.75" customHeight="1">
      <c r="W782" s="74"/>
    </row>
    <row r="783" ht="15.75" customHeight="1">
      <c r="W783" s="74"/>
    </row>
    <row r="784" ht="15.75" customHeight="1">
      <c r="W784" s="74"/>
    </row>
    <row r="785" ht="15.75" customHeight="1">
      <c r="W785" s="74"/>
    </row>
    <row r="786" ht="15.75" customHeight="1">
      <c r="W786" s="74"/>
    </row>
    <row r="787" ht="15.75" customHeight="1">
      <c r="W787" s="74"/>
    </row>
    <row r="788" ht="15.75" customHeight="1">
      <c r="W788" s="74"/>
    </row>
    <row r="789" ht="15.75" customHeight="1">
      <c r="W789" s="74"/>
    </row>
    <row r="790" ht="15.75" customHeight="1">
      <c r="W790" s="74"/>
    </row>
    <row r="791" ht="15.75" customHeight="1">
      <c r="W791" s="74"/>
    </row>
    <row r="792" ht="15.75" customHeight="1">
      <c r="W792" s="74"/>
    </row>
    <row r="793" ht="15.75" customHeight="1">
      <c r="W793" s="74"/>
    </row>
    <row r="794" ht="15.75" customHeight="1">
      <c r="W794" s="74"/>
    </row>
    <row r="795" ht="15.75" customHeight="1">
      <c r="W795" s="74"/>
    </row>
    <row r="796" ht="15.75" customHeight="1">
      <c r="W796" s="74"/>
    </row>
    <row r="797" ht="15.75" customHeight="1">
      <c r="W797" s="74"/>
    </row>
    <row r="798" ht="15.75" customHeight="1">
      <c r="W798" s="74"/>
    </row>
    <row r="799" ht="15.75" customHeight="1">
      <c r="W799" s="74"/>
    </row>
    <row r="800" ht="15.75" customHeight="1">
      <c r="W800" s="74"/>
    </row>
    <row r="801" ht="15.75" customHeight="1">
      <c r="W801" s="74"/>
    </row>
    <row r="802" ht="15.75" customHeight="1">
      <c r="W802" s="74"/>
    </row>
    <row r="803" ht="15.75" customHeight="1">
      <c r="W803" s="74"/>
    </row>
    <row r="804" ht="15.75" customHeight="1">
      <c r="W804" s="74"/>
    </row>
    <row r="805" ht="15.75" customHeight="1">
      <c r="W805" s="74"/>
    </row>
    <row r="806" ht="15.75" customHeight="1">
      <c r="W806" s="74"/>
    </row>
    <row r="807" ht="15.75" customHeight="1">
      <c r="W807" s="74"/>
    </row>
    <row r="808" ht="15.75" customHeight="1">
      <c r="W808" s="74"/>
    </row>
    <row r="809" ht="15.75" customHeight="1">
      <c r="W809" s="74"/>
    </row>
    <row r="810" ht="15.75" customHeight="1">
      <c r="W810" s="74"/>
    </row>
    <row r="811" ht="15.75" customHeight="1">
      <c r="W811" s="74"/>
    </row>
    <row r="812" ht="15.75" customHeight="1">
      <c r="W812" s="74"/>
    </row>
    <row r="813" ht="15.75" customHeight="1">
      <c r="W813" s="74"/>
    </row>
    <row r="814" ht="15.75" customHeight="1">
      <c r="W814" s="74"/>
    </row>
    <row r="815" ht="15.75" customHeight="1">
      <c r="W815" s="74"/>
    </row>
    <row r="816" ht="15.75" customHeight="1">
      <c r="W816" s="74"/>
    </row>
    <row r="817" ht="15.75" customHeight="1">
      <c r="W817" s="74"/>
    </row>
    <row r="818" ht="15.75" customHeight="1">
      <c r="W818" s="74"/>
    </row>
    <row r="819" ht="15.75" customHeight="1">
      <c r="W819" s="74"/>
    </row>
    <row r="820" ht="15.75" customHeight="1">
      <c r="W820" s="74"/>
    </row>
    <row r="821" ht="15.75" customHeight="1">
      <c r="W821" s="74"/>
    </row>
    <row r="822" ht="15.75" customHeight="1">
      <c r="W822" s="74"/>
    </row>
    <row r="823" ht="15.75" customHeight="1">
      <c r="W823" s="74"/>
    </row>
    <row r="824" ht="15.75" customHeight="1">
      <c r="W824" s="74"/>
    </row>
    <row r="825" ht="15.75" customHeight="1">
      <c r="W825" s="74"/>
    </row>
    <row r="826" ht="15.75" customHeight="1">
      <c r="W826" s="74"/>
    </row>
    <row r="827" ht="15.75" customHeight="1">
      <c r="W827" s="74"/>
    </row>
    <row r="828" ht="15.75" customHeight="1">
      <c r="W828" s="74"/>
    </row>
    <row r="829" ht="15.75" customHeight="1">
      <c r="W829" s="74"/>
    </row>
    <row r="830" ht="15.75" customHeight="1">
      <c r="W830" s="74"/>
    </row>
    <row r="831" ht="15.75" customHeight="1">
      <c r="W831" s="74"/>
    </row>
    <row r="832" ht="15.75" customHeight="1">
      <c r="W832" s="74"/>
    </row>
    <row r="833" ht="15.75" customHeight="1">
      <c r="W833" s="74"/>
    </row>
    <row r="834" ht="15.75" customHeight="1">
      <c r="W834" s="74"/>
    </row>
    <row r="835" ht="15.75" customHeight="1">
      <c r="W835" s="74"/>
    </row>
    <row r="836" ht="15.75" customHeight="1">
      <c r="W836" s="74"/>
    </row>
    <row r="837" ht="15.75" customHeight="1">
      <c r="W837" s="74"/>
    </row>
    <row r="838" ht="15.75" customHeight="1">
      <c r="W838" s="74"/>
    </row>
    <row r="839" ht="15.75" customHeight="1">
      <c r="W839" s="74"/>
    </row>
    <row r="840" ht="15.75" customHeight="1">
      <c r="W840" s="74"/>
    </row>
    <row r="841" ht="15.75" customHeight="1">
      <c r="W841" s="74"/>
    </row>
    <row r="842" ht="15.75" customHeight="1">
      <c r="W842" s="74"/>
    </row>
    <row r="843" ht="15.75" customHeight="1">
      <c r="W843" s="74"/>
    </row>
    <row r="844" ht="15.75" customHeight="1">
      <c r="W844" s="74"/>
    </row>
    <row r="845" ht="15.75" customHeight="1">
      <c r="W845" s="74"/>
    </row>
    <row r="846" ht="15.75" customHeight="1">
      <c r="W846" s="74"/>
    </row>
    <row r="847" ht="15.75" customHeight="1">
      <c r="W847" s="74"/>
    </row>
    <row r="848" ht="15.75" customHeight="1">
      <c r="W848" s="74"/>
    </row>
    <row r="849" ht="15.75" customHeight="1">
      <c r="W849" s="74"/>
    </row>
    <row r="850" ht="15.75" customHeight="1">
      <c r="W850" s="74"/>
    </row>
    <row r="851" ht="15.75" customHeight="1">
      <c r="W851" s="74"/>
    </row>
    <row r="852" ht="15.75" customHeight="1">
      <c r="W852" s="74"/>
    </row>
    <row r="853" ht="15.75" customHeight="1">
      <c r="W853" s="74"/>
    </row>
    <row r="854" ht="15.75" customHeight="1">
      <c r="W854" s="74"/>
    </row>
    <row r="855" ht="15.75" customHeight="1">
      <c r="W855" s="74"/>
    </row>
    <row r="856" ht="15.75" customHeight="1">
      <c r="W856" s="74"/>
    </row>
    <row r="857" ht="15.75" customHeight="1">
      <c r="W857" s="74"/>
    </row>
    <row r="858" ht="15.75" customHeight="1">
      <c r="W858" s="74"/>
    </row>
    <row r="859" ht="15.75" customHeight="1">
      <c r="W859" s="74"/>
    </row>
    <row r="860" ht="15.75" customHeight="1">
      <c r="W860" s="74"/>
    </row>
    <row r="861" ht="15.75" customHeight="1">
      <c r="W861" s="74"/>
    </row>
    <row r="862" ht="15.75" customHeight="1">
      <c r="W862" s="74"/>
    </row>
    <row r="863" ht="15.75" customHeight="1">
      <c r="W863" s="74"/>
    </row>
    <row r="864" ht="15.75" customHeight="1">
      <c r="W864" s="74"/>
    </row>
    <row r="865" ht="15.75" customHeight="1">
      <c r="W865" s="74"/>
    </row>
    <row r="866" ht="15.75" customHeight="1">
      <c r="W866" s="74"/>
    </row>
    <row r="867" ht="15.75" customHeight="1">
      <c r="W867" s="74"/>
    </row>
    <row r="868" ht="15.75" customHeight="1">
      <c r="W868" s="74"/>
    </row>
    <row r="869" ht="15.75" customHeight="1">
      <c r="W869" s="74"/>
    </row>
    <row r="870" ht="15.75" customHeight="1">
      <c r="W870" s="74"/>
    </row>
    <row r="871" ht="15.75" customHeight="1">
      <c r="W871" s="74"/>
    </row>
    <row r="872" ht="15.75" customHeight="1">
      <c r="W872" s="74"/>
    </row>
    <row r="873" ht="15.75" customHeight="1">
      <c r="W873" s="74"/>
    </row>
    <row r="874" ht="15.75" customHeight="1">
      <c r="W874" s="74"/>
    </row>
    <row r="875" ht="15.75" customHeight="1">
      <c r="W875" s="74"/>
    </row>
    <row r="876" ht="15.75" customHeight="1">
      <c r="W876" s="74"/>
    </row>
    <row r="877" ht="15.75" customHeight="1">
      <c r="W877" s="74"/>
    </row>
    <row r="878" ht="15.75" customHeight="1">
      <c r="W878" s="74"/>
    </row>
    <row r="879" ht="15.75" customHeight="1">
      <c r="W879" s="74"/>
    </row>
    <row r="880" ht="15.75" customHeight="1">
      <c r="W880" s="74"/>
    </row>
    <row r="881" ht="15.75" customHeight="1">
      <c r="W881" s="74"/>
    </row>
    <row r="882" ht="15.75" customHeight="1">
      <c r="W882" s="74"/>
    </row>
    <row r="883" ht="15.75" customHeight="1">
      <c r="W883" s="74"/>
    </row>
    <row r="884" ht="15.75" customHeight="1">
      <c r="W884" s="74"/>
    </row>
    <row r="885" ht="15.75" customHeight="1">
      <c r="W885" s="74"/>
    </row>
    <row r="886" ht="15.75" customHeight="1">
      <c r="W886" s="74"/>
    </row>
    <row r="887" ht="15.75" customHeight="1">
      <c r="W887" s="74"/>
    </row>
    <row r="888" ht="15.75" customHeight="1">
      <c r="W888" s="74"/>
    </row>
    <row r="889" ht="15.75" customHeight="1">
      <c r="W889" s="74"/>
    </row>
    <row r="890" ht="15.75" customHeight="1">
      <c r="W890" s="74"/>
    </row>
    <row r="891" ht="15.75" customHeight="1">
      <c r="W891" s="74"/>
    </row>
    <row r="892" ht="15.75" customHeight="1">
      <c r="W892" s="74"/>
    </row>
    <row r="893" ht="15.75" customHeight="1">
      <c r="W893" s="74"/>
    </row>
    <row r="894" ht="15.75" customHeight="1">
      <c r="W894" s="74"/>
    </row>
    <row r="895" ht="15.75" customHeight="1">
      <c r="W895" s="74"/>
    </row>
    <row r="896" ht="15.75" customHeight="1">
      <c r="W896" s="74"/>
    </row>
    <row r="897" ht="15.75" customHeight="1">
      <c r="W897" s="74"/>
    </row>
    <row r="898" ht="15.75" customHeight="1">
      <c r="W898" s="74"/>
    </row>
    <row r="899" ht="15.75" customHeight="1">
      <c r="W899" s="74"/>
    </row>
    <row r="900" ht="15.75" customHeight="1">
      <c r="W900" s="74"/>
    </row>
    <row r="901" ht="15.75" customHeight="1">
      <c r="W901" s="74"/>
    </row>
    <row r="902" ht="15.75" customHeight="1">
      <c r="W902" s="74"/>
    </row>
    <row r="903" ht="15.75" customHeight="1">
      <c r="W903" s="74"/>
    </row>
    <row r="904" ht="15.75" customHeight="1">
      <c r="W904" s="74"/>
    </row>
    <row r="905" ht="15.75" customHeight="1">
      <c r="W905" s="74"/>
    </row>
    <row r="906" ht="15.75" customHeight="1">
      <c r="W906" s="74"/>
    </row>
    <row r="907" ht="15.75" customHeight="1">
      <c r="W907" s="74"/>
    </row>
    <row r="908" ht="15.75" customHeight="1">
      <c r="W908" s="74"/>
    </row>
    <row r="909" ht="15.75" customHeight="1">
      <c r="W909" s="74"/>
    </row>
    <row r="910" ht="15.75" customHeight="1">
      <c r="W910" s="74"/>
    </row>
    <row r="911" ht="15.75" customHeight="1">
      <c r="W911" s="74"/>
    </row>
    <row r="912" ht="15.75" customHeight="1">
      <c r="W912" s="74"/>
    </row>
    <row r="913" ht="15.75" customHeight="1">
      <c r="W913" s="74"/>
    </row>
    <row r="914" ht="15.75" customHeight="1">
      <c r="W914" s="74"/>
    </row>
    <row r="915" ht="15.75" customHeight="1">
      <c r="W915" s="74"/>
    </row>
    <row r="916" ht="15.75" customHeight="1">
      <c r="W916" s="74"/>
    </row>
    <row r="917" ht="15.75" customHeight="1">
      <c r="W917" s="74"/>
    </row>
    <row r="918" ht="15.75" customHeight="1">
      <c r="W918" s="74"/>
    </row>
    <row r="919" ht="15.75" customHeight="1">
      <c r="W919" s="74"/>
    </row>
    <row r="920" ht="15.75" customHeight="1">
      <c r="W920" s="74"/>
    </row>
    <row r="921" ht="15.75" customHeight="1">
      <c r="W921" s="74"/>
    </row>
    <row r="922" ht="15.75" customHeight="1">
      <c r="W922" s="74"/>
    </row>
    <row r="923" ht="15.75" customHeight="1">
      <c r="W923" s="74"/>
    </row>
    <row r="924" ht="15.75" customHeight="1">
      <c r="W924" s="74"/>
    </row>
    <row r="925" ht="15.75" customHeight="1">
      <c r="W925" s="74"/>
    </row>
    <row r="926" ht="15.75" customHeight="1">
      <c r="W926" s="74"/>
    </row>
    <row r="927" ht="15.75" customHeight="1">
      <c r="W927" s="74"/>
    </row>
    <row r="928" ht="15.75" customHeight="1">
      <c r="W928" s="74"/>
    </row>
    <row r="929" ht="15.75" customHeight="1">
      <c r="W929" s="74"/>
    </row>
    <row r="930" ht="15.75" customHeight="1">
      <c r="W930" s="74"/>
    </row>
    <row r="931" ht="15.75" customHeight="1">
      <c r="W931" s="74"/>
    </row>
    <row r="932" ht="15.75" customHeight="1">
      <c r="W932" s="74"/>
    </row>
    <row r="933" ht="15.75" customHeight="1">
      <c r="W933" s="74"/>
    </row>
    <row r="934" ht="15.75" customHeight="1">
      <c r="W934" s="74"/>
    </row>
    <row r="935" ht="15.75" customHeight="1">
      <c r="W935" s="74"/>
    </row>
    <row r="936" ht="15.75" customHeight="1">
      <c r="W936" s="74"/>
    </row>
    <row r="937" ht="15.75" customHeight="1">
      <c r="W937" s="74"/>
    </row>
    <row r="938" ht="15.75" customHeight="1">
      <c r="W938" s="74"/>
    </row>
    <row r="939" ht="15.75" customHeight="1">
      <c r="W939" s="74"/>
    </row>
    <row r="940" ht="15.75" customHeight="1">
      <c r="W940" s="74"/>
    </row>
    <row r="941" ht="15.75" customHeight="1">
      <c r="W941" s="74"/>
    </row>
    <row r="942" ht="15.75" customHeight="1">
      <c r="W942" s="74"/>
    </row>
    <row r="943" ht="15.75" customHeight="1">
      <c r="W943" s="74"/>
    </row>
    <row r="944" ht="15.75" customHeight="1">
      <c r="W944" s="74"/>
    </row>
    <row r="945" ht="15.75" customHeight="1">
      <c r="W945" s="74"/>
    </row>
    <row r="946" ht="15.75" customHeight="1">
      <c r="W946" s="74"/>
    </row>
    <row r="947" ht="15.75" customHeight="1">
      <c r="W947" s="74"/>
    </row>
    <row r="948" ht="15.75" customHeight="1">
      <c r="W948" s="74"/>
    </row>
    <row r="949" ht="15.75" customHeight="1">
      <c r="W949" s="74"/>
    </row>
    <row r="950" ht="15.75" customHeight="1">
      <c r="W950" s="74"/>
    </row>
    <row r="951" ht="15.75" customHeight="1">
      <c r="W951" s="74"/>
    </row>
    <row r="952" ht="15.75" customHeight="1">
      <c r="W952" s="74"/>
    </row>
    <row r="953" ht="15.75" customHeight="1">
      <c r="W953" s="74"/>
    </row>
    <row r="954" ht="15.75" customHeight="1">
      <c r="W954" s="74"/>
    </row>
    <row r="955" ht="15.75" customHeight="1">
      <c r="W955" s="74"/>
    </row>
    <row r="956" ht="15.75" customHeight="1">
      <c r="W956" s="74"/>
    </row>
    <row r="957" ht="15.75" customHeight="1">
      <c r="W957" s="74"/>
    </row>
    <row r="958" ht="15.75" customHeight="1">
      <c r="W958" s="74"/>
    </row>
    <row r="959" ht="15.75" customHeight="1">
      <c r="W959" s="74"/>
    </row>
    <row r="960" ht="15.75" customHeight="1">
      <c r="W960" s="74"/>
    </row>
    <row r="961" ht="15.75" customHeight="1">
      <c r="W961" s="74"/>
    </row>
    <row r="962" ht="15.75" customHeight="1">
      <c r="W962" s="74"/>
    </row>
    <row r="963" ht="15.75" customHeight="1">
      <c r="W963" s="74"/>
    </row>
    <row r="964" ht="15.75" customHeight="1">
      <c r="W964" s="74"/>
    </row>
    <row r="965" ht="15.75" customHeight="1">
      <c r="W965" s="74"/>
    </row>
    <row r="966" ht="15.75" customHeight="1">
      <c r="W966" s="74"/>
    </row>
    <row r="967" ht="15.75" customHeight="1">
      <c r="W967" s="74"/>
    </row>
    <row r="968" ht="15.75" customHeight="1">
      <c r="W968" s="74"/>
    </row>
    <row r="969" ht="15.75" customHeight="1">
      <c r="W969" s="74"/>
    </row>
    <row r="970" ht="15.75" customHeight="1">
      <c r="W970" s="74"/>
    </row>
    <row r="971" ht="15.75" customHeight="1">
      <c r="W971" s="74"/>
    </row>
    <row r="972" ht="15.75" customHeight="1">
      <c r="W972" s="74"/>
    </row>
    <row r="973" ht="15.75" customHeight="1">
      <c r="W973" s="74"/>
    </row>
    <row r="974" ht="15.75" customHeight="1">
      <c r="W974" s="74"/>
    </row>
    <row r="975" ht="15.75" customHeight="1">
      <c r="W975" s="74"/>
    </row>
    <row r="976" ht="15.75" customHeight="1">
      <c r="W976" s="74"/>
    </row>
    <row r="977" ht="15.75" customHeight="1">
      <c r="W977" s="74"/>
    </row>
    <row r="978" ht="15.75" customHeight="1">
      <c r="W978" s="74"/>
    </row>
    <row r="979" ht="15.75" customHeight="1">
      <c r="W979" s="74"/>
    </row>
    <row r="980" ht="15.75" customHeight="1">
      <c r="W980" s="74"/>
    </row>
    <row r="981" ht="15.75" customHeight="1">
      <c r="W981" s="74"/>
    </row>
    <row r="982" ht="15.75" customHeight="1">
      <c r="W982" s="74"/>
    </row>
    <row r="983" ht="15.75" customHeight="1">
      <c r="W983" s="74"/>
    </row>
    <row r="984" ht="15.75" customHeight="1">
      <c r="W984" s="74"/>
    </row>
    <row r="985" ht="15.75" customHeight="1">
      <c r="W985" s="74"/>
    </row>
    <row r="986" ht="15.75" customHeight="1">
      <c r="W986" s="74"/>
    </row>
    <row r="987" ht="15.75" customHeight="1">
      <c r="W987" s="74"/>
    </row>
    <row r="988" ht="15.75" customHeight="1">
      <c r="W988" s="74"/>
    </row>
    <row r="989" ht="15.75" customHeight="1">
      <c r="W989" s="74"/>
    </row>
    <row r="990" ht="15.75" customHeight="1">
      <c r="W990" s="74"/>
    </row>
    <row r="991" ht="15.75" customHeight="1">
      <c r="W991" s="74"/>
    </row>
    <row r="992" ht="15.75" customHeight="1">
      <c r="W992" s="74"/>
    </row>
    <row r="993" ht="15.75" customHeight="1">
      <c r="W993" s="74"/>
    </row>
    <row r="994" ht="15.75" customHeight="1">
      <c r="W994" s="74"/>
    </row>
    <row r="995" ht="15.75" customHeight="1">
      <c r="W995" s="74"/>
    </row>
    <row r="996" ht="15.75" customHeight="1">
      <c r="W996" s="74"/>
    </row>
    <row r="997" ht="15.75" customHeight="1">
      <c r="W997" s="74"/>
    </row>
    <row r="998" ht="15.75" customHeight="1">
      <c r="W998" s="74"/>
    </row>
    <row r="999" ht="15.75" customHeight="1">
      <c r="W999" s="74"/>
    </row>
    <row r="1000" ht="15.75" customHeight="1">
      <c r="W1000" s="74"/>
    </row>
  </sheetData>
  <mergeCells count="1">
    <mergeCell ref="A1:S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77" t="s">
        <v>204</v>
      </c>
    </row>
    <row r="2" ht="12.75" customHeight="1">
      <c r="A2" s="78" t="s">
        <v>205</v>
      </c>
    </row>
    <row r="3" ht="12.75" customHeight="1">
      <c r="A3" s="79" t="s">
        <v>206</v>
      </c>
    </row>
    <row r="4" ht="12.75" customHeight="1">
      <c r="A4" s="80" t="s">
        <v>207</v>
      </c>
    </row>
    <row r="5" ht="12.75" customHeight="1"/>
    <row r="6" ht="12.75" customHeight="1">
      <c r="A6" s="81" t="s">
        <v>1</v>
      </c>
      <c r="B6" s="81" t="s">
        <v>208</v>
      </c>
      <c r="C6" s="81" t="s">
        <v>97</v>
      </c>
      <c r="D6" s="81" t="s">
        <v>209</v>
      </c>
      <c r="E6" s="81" t="s">
        <v>210</v>
      </c>
      <c r="F6" s="81" t="s">
        <v>211</v>
      </c>
      <c r="G6" s="81" t="s">
        <v>212</v>
      </c>
      <c r="H6" s="81" t="s">
        <v>213</v>
      </c>
    </row>
    <row r="7" ht="12.75" customHeight="1">
      <c r="A7" s="82" t="s">
        <v>214</v>
      </c>
      <c r="B7" s="82" t="s">
        <v>215</v>
      </c>
      <c r="C7" s="82" t="s">
        <v>216</v>
      </c>
      <c r="D7" s="82">
        <v>1.0</v>
      </c>
      <c r="E7" s="82">
        <v>600.0</v>
      </c>
      <c r="F7" s="83">
        <v>30320.0</v>
      </c>
      <c r="G7" s="83">
        <v>942.91</v>
      </c>
      <c r="H7" s="83">
        <v>29377.0</v>
      </c>
    </row>
    <row r="8" ht="12.75" customHeight="1">
      <c r="A8" s="82" t="s">
        <v>214</v>
      </c>
      <c r="B8" s="82" t="s">
        <v>217</v>
      </c>
      <c r="C8" s="82" t="s">
        <v>216</v>
      </c>
      <c r="D8" s="82">
        <v>1.0</v>
      </c>
      <c r="E8" s="82">
        <v>504.0</v>
      </c>
      <c r="F8" s="83">
        <v>25470.0</v>
      </c>
      <c r="G8" s="83">
        <v>1309.1</v>
      </c>
      <c r="H8" s="83">
        <v>24161.0</v>
      </c>
    </row>
    <row r="9" ht="12.75" customHeight="1">
      <c r="A9" s="82" t="s">
        <v>218</v>
      </c>
      <c r="B9" s="82" t="s">
        <v>219</v>
      </c>
      <c r="C9" s="82" t="s">
        <v>216</v>
      </c>
      <c r="D9" s="82">
        <v>1.0</v>
      </c>
      <c r="E9" s="82">
        <v>600.0</v>
      </c>
      <c r="F9" s="83">
        <v>30190.0</v>
      </c>
      <c r="G9" s="83">
        <v>1301.15</v>
      </c>
      <c r="H9" s="83">
        <v>28889.0</v>
      </c>
    </row>
    <row r="10" ht="12.75" customHeight="1">
      <c r="A10" s="82" t="s">
        <v>218</v>
      </c>
      <c r="B10" s="82" t="s">
        <v>220</v>
      </c>
      <c r="C10" s="82" t="s">
        <v>216</v>
      </c>
      <c r="D10" s="82">
        <v>1.0</v>
      </c>
      <c r="E10" s="82">
        <v>600.0</v>
      </c>
      <c r="F10" s="83">
        <v>30230.0</v>
      </c>
      <c r="G10" s="83">
        <v>876.63</v>
      </c>
      <c r="H10" s="83">
        <v>29353.0</v>
      </c>
    </row>
    <row r="11" ht="12.75" customHeight="1">
      <c r="A11" s="82" t="s">
        <v>218</v>
      </c>
      <c r="B11" s="82" t="s">
        <v>221</v>
      </c>
      <c r="C11" s="82" t="s">
        <v>216</v>
      </c>
      <c r="D11" s="82">
        <v>1.0</v>
      </c>
      <c r="E11" s="82">
        <v>300.0</v>
      </c>
      <c r="F11" s="83">
        <v>15170.0</v>
      </c>
      <c r="G11" s="83">
        <v>782.74</v>
      </c>
      <c r="H11" s="83">
        <v>14387.0</v>
      </c>
    </row>
    <row r="12" ht="12.75" customHeight="1">
      <c r="A12" s="82" t="s">
        <v>222</v>
      </c>
      <c r="B12" s="82" t="s">
        <v>223</v>
      </c>
      <c r="C12" s="82" t="s">
        <v>216</v>
      </c>
      <c r="D12" s="82">
        <v>1.0</v>
      </c>
      <c r="E12" s="82">
        <v>600.0</v>
      </c>
      <c r="F12" s="83">
        <v>29970.0</v>
      </c>
      <c r="G12" s="83">
        <v>857.14</v>
      </c>
      <c r="H12" s="83">
        <v>29113.0</v>
      </c>
    </row>
    <row r="13" ht="12.75" customHeight="1">
      <c r="A13" s="82" t="s">
        <v>222</v>
      </c>
      <c r="B13" s="82" t="s">
        <v>224</v>
      </c>
      <c r="C13" s="82" t="s">
        <v>216</v>
      </c>
      <c r="D13" s="82">
        <v>1.0</v>
      </c>
      <c r="E13" s="82">
        <v>600.0</v>
      </c>
      <c r="F13" s="83">
        <v>30040.0</v>
      </c>
      <c r="G13" s="83">
        <v>420.52</v>
      </c>
      <c r="H13" s="83">
        <v>29619.0</v>
      </c>
    </row>
    <row r="14" ht="12.75" customHeight="1">
      <c r="A14" s="82" t="s">
        <v>222</v>
      </c>
      <c r="B14" s="82" t="s">
        <v>225</v>
      </c>
      <c r="C14" s="82" t="s">
        <v>216</v>
      </c>
      <c r="D14" s="82">
        <v>1.0</v>
      </c>
      <c r="E14" s="82">
        <v>600.0</v>
      </c>
      <c r="F14" s="83">
        <v>30460.0</v>
      </c>
      <c r="G14" s="83">
        <v>590.88</v>
      </c>
      <c r="H14" s="83">
        <v>29869.0</v>
      </c>
    </row>
    <row r="15" ht="12.75" customHeight="1">
      <c r="A15" s="82" t="s">
        <v>226</v>
      </c>
      <c r="B15" s="82" t="s">
        <v>227</v>
      </c>
      <c r="C15" s="82" t="s">
        <v>216</v>
      </c>
      <c r="D15" s="82">
        <v>1.0</v>
      </c>
      <c r="E15" s="82">
        <v>600.0</v>
      </c>
      <c r="F15" s="83">
        <v>29850.0</v>
      </c>
      <c r="G15" s="83">
        <v>2334.24</v>
      </c>
      <c r="H15" s="83">
        <v>27516.0</v>
      </c>
    </row>
    <row r="16" ht="12.75" customHeight="1">
      <c r="A16" s="82" t="s">
        <v>226</v>
      </c>
      <c r="B16" s="82" t="s">
        <v>228</v>
      </c>
      <c r="C16" s="82" t="s">
        <v>216</v>
      </c>
      <c r="D16" s="82">
        <v>1.0</v>
      </c>
      <c r="E16" s="82">
        <v>600.0</v>
      </c>
      <c r="F16" s="83">
        <v>30480.0</v>
      </c>
      <c r="G16" s="83">
        <v>746.72</v>
      </c>
      <c r="H16" s="83">
        <v>29733.0</v>
      </c>
    </row>
    <row r="17" ht="12.75" customHeight="1">
      <c r="A17" s="82" t="s">
        <v>226</v>
      </c>
      <c r="B17" s="82" t="s">
        <v>229</v>
      </c>
      <c r="C17" s="82" t="s">
        <v>216</v>
      </c>
      <c r="D17" s="82">
        <v>1.0</v>
      </c>
      <c r="E17" s="82">
        <v>600.0</v>
      </c>
      <c r="F17" s="83">
        <v>30220.0</v>
      </c>
      <c r="G17" s="83">
        <v>1680.26</v>
      </c>
      <c r="H17" s="83">
        <v>28540.0</v>
      </c>
    </row>
    <row r="18" ht="12.75" customHeight="1">
      <c r="A18" s="82" t="s">
        <v>230</v>
      </c>
      <c r="B18" s="82" t="s">
        <v>231</v>
      </c>
      <c r="C18" s="82" t="s">
        <v>216</v>
      </c>
      <c r="D18" s="82">
        <v>1.0</v>
      </c>
      <c r="E18" s="82">
        <v>600.0</v>
      </c>
      <c r="F18" s="83">
        <v>30570.0</v>
      </c>
      <c r="G18" s="83">
        <v>388.23</v>
      </c>
      <c r="H18" s="83">
        <v>30182.0</v>
      </c>
    </row>
    <row r="19" ht="12.75" customHeight="1">
      <c r="A19" s="82" t="s">
        <v>230</v>
      </c>
      <c r="B19" s="82" t="s">
        <v>232</v>
      </c>
      <c r="C19" s="82" t="s">
        <v>216</v>
      </c>
      <c r="D19" s="82">
        <v>1.0</v>
      </c>
      <c r="E19" s="82">
        <v>600.0</v>
      </c>
      <c r="F19" s="83">
        <v>30470.0</v>
      </c>
      <c r="G19" s="83">
        <v>1197.42</v>
      </c>
      <c r="H19" s="83">
        <v>29273.0</v>
      </c>
    </row>
    <row r="20" ht="12.75" customHeight="1">
      <c r="A20" s="82" t="s">
        <v>230</v>
      </c>
      <c r="B20" s="82" t="s">
        <v>233</v>
      </c>
      <c r="C20" s="82" t="s">
        <v>216</v>
      </c>
      <c r="D20" s="82">
        <v>1.0</v>
      </c>
      <c r="E20" s="82">
        <v>600.0</v>
      </c>
      <c r="F20" s="83">
        <v>30380.0</v>
      </c>
      <c r="G20" s="83">
        <v>941.76</v>
      </c>
      <c r="H20" s="83">
        <v>29438.0</v>
      </c>
    </row>
    <row r="21" ht="12.75" customHeight="1">
      <c r="A21" s="82" t="s">
        <v>234</v>
      </c>
      <c r="B21" s="82" t="s">
        <v>235</v>
      </c>
      <c r="C21" s="82" t="s">
        <v>216</v>
      </c>
      <c r="D21" s="82">
        <v>1.0</v>
      </c>
      <c r="E21" s="82">
        <v>600.0</v>
      </c>
      <c r="F21" s="83">
        <v>30270.0</v>
      </c>
      <c r="G21" s="83">
        <v>1713.26</v>
      </c>
      <c r="H21" s="83">
        <v>28557.0</v>
      </c>
    </row>
    <row r="22" ht="12.75" customHeight="1">
      <c r="A22" s="82" t="s">
        <v>234</v>
      </c>
      <c r="B22" s="82" t="s">
        <v>236</v>
      </c>
      <c r="C22" s="82" t="s">
        <v>216</v>
      </c>
      <c r="D22" s="82">
        <v>1.0</v>
      </c>
      <c r="E22" s="82">
        <v>600.0</v>
      </c>
      <c r="F22" s="83">
        <v>30020.0</v>
      </c>
      <c r="G22" s="83">
        <v>1230.79</v>
      </c>
      <c r="H22" s="83">
        <v>28789.0</v>
      </c>
    </row>
    <row r="23" ht="12.75" customHeight="1">
      <c r="A23" s="82" t="s">
        <v>234</v>
      </c>
      <c r="B23" s="82" t="s">
        <v>237</v>
      </c>
      <c r="C23" s="82" t="s">
        <v>216</v>
      </c>
      <c r="D23" s="82">
        <v>1.0</v>
      </c>
      <c r="E23" s="82">
        <v>600.0</v>
      </c>
      <c r="F23" s="83">
        <v>30250.0</v>
      </c>
      <c r="G23" s="83">
        <v>807.69</v>
      </c>
      <c r="H23" s="83">
        <v>29442.0</v>
      </c>
    </row>
    <row r="24" ht="12.75" customHeight="1">
      <c r="A24" s="82" t="s">
        <v>238</v>
      </c>
      <c r="B24" s="82" t="s">
        <v>239</v>
      </c>
      <c r="C24" s="82" t="s">
        <v>216</v>
      </c>
      <c r="D24" s="82">
        <v>1.0</v>
      </c>
      <c r="E24" s="82">
        <v>163.0</v>
      </c>
      <c r="F24" s="83">
        <v>8280.0</v>
      </c>
      <c r="G24" s="83">
        <v>380.08</v>
      </c>
      <c r="H24" s="83">
        <v>7900.0</v>
      </c>
    </row>
    <row r="25" ht="12.75" customHeight="1">
      <c r="A25" s="82" t="s">
        <v>238</v>
      </c>
      <c r="B25" s="82" t="s">
        <v>240</v>
      </c>
      <c r="C25" s="82" t="s">
        <v>216</v>
      </c>
      <c r="D25" s="82">
        <v>1.0</v>
      </c>
      <c r="E25" s="82">
        <v>600.0</v>
      </c>
      <c r="F25" s="83">
        <v>30220.0</v>
      </c>
      <c r="G25" s="83">
        <v>876.35</v>
      </c>
      <c r="H25" s="83">
        <v>29344.0</v>
      </c>
    </row>
    <row r="26" ht="12.75" customHeight="1">
      <c r="A26" s="82" t="s">
        <v>238</v>
      </c>
      <c r="B26" s="82" t="s">
        <v>241</v>
      </c>
      <c r="C26" s="82" t="s">
        <v>216</v>
      </c>
      <c r="D26" s="82">
        <v>1.0</v>
      </c>
      <c r="E26" s="82">
        <v>288.0</v>
      </c>
      <c r="F26" s="83">
        <v>13950.0</v>
      </c>
      <c r="G26" s="83">
        <v>525.92</v>
      </c>
      <c r="H26" s="83">
        <v>13424.0</v>
      </c>
    </row>
    <row r="27" ht="12.75" customHeight="1">
      <c r="A27" s="82" t="s">
        <v>242</v>
      </c>
      <c r="B27" s="82" t="s">
        <v>243</v>
      </c>
      <c r="C27" s="82" t="s">
        <v>216</v>
      </c>
      <c r="D27" s="82">
        <v>1.0</v>
      </c>
      <c r="E27" s="82">
        <v>600.0</v>
      </c>
      <c r="F27" s="83">
        <v>30920.0</v>
      </c>
      <c r="G27" s="83">
        <v>1372.82</v>
      </c>
      <c r="H27" s="83">
        <v>29547.0</v>
      </c>
    </row>
    <row r="28" ht="12.75" customHeight="1">
      <c r="A28" s="82" t="s">
        <v>242</v>
      </c>
      <c r="B28" s="82" t="s">
        <v>244</v>
      </c>
      <c r="C28" s="82" t="s">
        <v>216</v>
      </c>
      <c r="D28" s="82">
        <v>1.0</v>
      </c>
      <c r="E28" s="82">
        <v>615.0</v>
      </c>
      <c r="F28" s="83">
        <v>30940.0</v>
      </c>
      <c r="G28" s="83">
        <v>1113.8</v>
      </c>
      <c r="H28" s="83">
        <v>29826.0</v>
      </c>
    </row>
    <row r="29" ht="12.75" customHeight="1">
      <c r="A29" s="82" t="s">
        <v>245</v>
      </c>
      <c r="B29" s="82" t="s">
        <v>246</v>
      </c>
      <c r="C29" s="82" t="s">
        <v>216</v>
      </c>
      <c r="D29" s="82">
        <v>1.0</v>
      </c>
      <c r="E29" s="82">
        <v>600.0</v>
      </c>
      <c r="F29" s="83">
        <v>31030.0</v>
      </c>
      <c r="G29" s="83">
        <v>1272.2</v>
      </c>
      <c r="H29" s="83">
        <v>29758.0</v>
      </c>
    </row>
    <row r="30" ht="12.75" customHeight="1">
      <c r="A30" s="82" t="s">
        <v>245</v>
      </c>
      <c r="B30" s="82" t="s">
        <v>247</v>
      </c>
      <c r="C30" s="82" t="s">
        <v>216</v>
      </c>
      <c r="D30" s="82">
        <v>1.0</v>
      </c>
      <c r="E30" s="82">
        <v>600.0</v>
      </c>
      <c r="F30" s="83">
        <v>31500.0</v>
      </c>
      <c r="G30" s="83">
        <v>1165.47</v>
      </c>
      <c r="H30" s="83">
        <v>30335.0</v>
      </c>
    </row>
    <row r="31" ht="12.75" customHeight="1">
      <c r="A31" s="82" t="s">
        <v>245</v>
      </c>
      <c r="B31" s="82" t="s">
        <v>248</v>
      </c>
      <c r="C31" s="82" t="s">
        <v>216</v>
      </c>
      <c r="D31" s="82">
        <v>1.0</v>
      </c>
      <c r="E31" s="82">
        <v>600.0</v>
      </c>
      <c r="F31" s="83">
        <v>30240.0</v>
      </c>
      <c r="G31" s="83">
        <v>1179.36</v>
      </c>
      <c r="H31" s="83">
        <v>29061.0</v>
      </c>
    </row>
    <row r="32" ht="12.75" customHeight="1">
      <c r="A32" s="82" t="s">
        <v>245</v>
      </c>
      <c r="B32" s="82" t="s">
        <v>249</v>
      </c>
      <c r="C32" s="82" t="s">
        <v>216</v>
      </c>
      <c r="D32" s="82">
        <v>1.0</v>
      </c>
      <c r="E32" s="82">
        <v>600.0</v>
      </c>
      <c r="F32" s="83">
        <v>30870.0</v>
      </c>
      <c r="G32" s="83">
        <v>1219.37</v>
      </c>
      <c r="H32" s="83">
        <v>29651.0</v>
      </c>
    </row>
    <row r="33" ht="12.75" customHeight="1">
      <c r="A33" s="82" t="s">
        <v>245</v>
      </c>
      <c r="B33" s="82" t="s">
        <v>250</v>
      </c>
      <c r="C33" s="82" t="s">
        <v>216</v>
      </c>
      <c r="D33" s="82">
        <v>1.0</v>
      </c>
      <c r="E33" s="82">
        <v>600.0</v>
      </c>
      <c r="F33" s="83">
        <v>30040.0</v>
      </c>
      <c r="G33" s="83">
        <v>1216.62</v>
      </c>
      <c r="H33" s="83">
        <v>28823.0</v>
      </c>
    </row>
    <row r="34" ht="12.75" customHeight="1">
      <c r="A34" s="82" t="s">
        <v>245</v>
      </c>
      <c r="B34" s="82" t="s">
        <v>251</v>
      </c>
      <c r="C34" s="82" t="s">
        <v>216</v>
      </c>
      <c r="D34" s="82">
        <v>1.0</v>
      </c>
      <c r="E34" s="82">
        <v>356.0</v>
      </c>
      <c r="F34" s="83">
        <v>28040.0</v>
      </c>
      <c r="G34" s="83">
        <v>1065.48</v>
      </c>
      <c r="H34" s="83">
        <v>26975.0</v>
      </c>
    </row>
    <row r="35" ht="12.75" customHeight="1">
      <c r="A35" s="82" t="s">
        <v>252</v>
      </c>
      <c r="B35" s="82" t="s">
        <v>253</v>
      </c>
      <c r="C35" s="82" t="s">
        <v>216</v>
      </c>
      <c r="D35" s="82">
        <v>1.0</v>
      </c>
      <c r="E35" s="82">
        <v>600.0</v>
      </c>
      <c r="F35" s="83">
        <v>32110.0</v>
      </c>
      <c r="G35" s="83">
        <v>1139.91</v>
      </c>
      <c r="H35" s="83">
        <v>30970.0</v>
      </c>
    </row>
    <row r="36" ht="12.75" customHeight="1">
      <c r="A36" s="82" t="s">
        <v>252</v>
      </c>
      <c r="B36" s="82" t="s">
        <v>254</v>
      </c>
      <c r="C36" s="82" t="s">
        <v>216</v>
      </c>
      <c r="D36" s="82">
        <v>1.0</v>
      </c>
      <c r="E36" s="82">
        <v>600.0</v>
      </c>
      <c r="F36" s="83">
        <v>30410.0</v>
      </c>
      <c r="G36" s="83">
        <v>842.36</v>
      </c>
      <c r="H36" s="83">
        <v>29568.0</v>
      </c>
    </row>
    <row r="37" ht="12.75" customHeight="1">
      <c r="A37" s="82" t="s">
        <v>252</v>
      </c>
      <c r="B37" s="82" t="s">
        <v>255</v>
      </c>
      <c r="C37" s="82" t="s">
        <v>216</v>
      </c>
      <c r="D37" s="82">
        <v>1.0</v>
      </c>
      <c r="E37" s="82">
        <v>600.0</v>
      </c>
      <c r="F37" s="83">
        <v>30550.0</v>
      </c>
      <c r="G37" s="83">
        <v>1108.93</v>
      </c>
      <c r="H37" s="83">
        <v>29441.0</v>
      </c>
    </row>
    <row r="38" ht="12.75" customHeight="1">
      <c r="A38" s="82" t="s">
        <v>256</v>
      </c>
      <c r="B38" s="82" t="s">
        <v>257</v>
      </c>
      <c r="C38" s="82" t="s">
        <v>216</v>
      </c>
      <c r="D38" s="82">
        <v>1.0</v>
      </c>
      <c r="E38" s="82">
        <v>168.0</v>
      </c>
      <c r="F38" s="83">
        <v>8320.0</v>
      </c>
      <c r="G38" s="83">
        <v>332.8</v>
      </c>
      <c r="H38" s="83">
        <v>7987.0</v>
      </c>
    </row>
    <row r="39" ht="12.75" customHeight="1">
      <c r="A39" s="82" t="s">
        <v>258</v>
      </c>
      <c r="B39" s="82" t="s">
        <v>259</v>
      </c>
      <c r="C39" s="82" t="s">
        <v>216</v>
      </c>
      <c r="D39" s="82">
        <v>1.0</v>
      </c>
      <c r="E39" s="82">
        <v>300.0</v>
      </c>
      <c r="F39" s="83">
        <v>15270.0</v>
      </c>
      <c r="G39" s="83">
        <v>442.83</v>
      </c>
      <c r="H39" s="83">
        <v>14827.0</v>
      </c>
    </row>
    <row r="40" ht="12.75" customHeight="1">
      <c r="A40" s="82" t="s">
        <v>258</v>
      </c>
      <c r="B40" s="82" t="s">
        <v>260</v>
      </c>
      <c r="C40" s="82" t="s">
        <v>216</v>
      </c>
      <c r="D40" s="82">
        <v>1.0</v>
      </c>
      <c r="E40" s="82">
        <v>600.0</v>
      </c>
      <c r="F40" s="83">
        <v>30610.0</v>
      </c>
      <c r="G40" s="83">
        <v>1255.01</v>
      </c>
      <c r="H40" s="83">
        <v>29355.0</v>
      </c>
    </row>
    <row r="41" ht="12.75" customHeight="1">
      <c r="A41" s="82" t="s">
        <v>261</v>
      </c>
      <c r="B41" s="82" t="s">
        <v>262</v>
      </c>
      <c r="C41" s="82" t="s">
        <v>216</v>
      </c>
      <c r="D41" s="82">
        <v>1.0</v>
      </c>
      <c r="E41" s="82">
        <v>354.0</v>
      </c>
      <c r="F41" s="83">
        <v>17790.0</v>
      </c>
      <c r="G41" s="83">
        <v>640.44</v>
      </c>
      <c r="H41" s="83">
        <v>17150.0</v>
      </c>
    </row>
    <row r="42" ht="12.75" customHeight="1">
      <c r="A42" s="82" t="s">
        <v>261</v>
      </c>
      <c r="B42" s="82" t="s">
        <v>263</v>
      </c>
      <c r="C42" s="82" t="s">
        <v>216</v>
      </c>
      <c r="D42" s="82">
        <v>1.0</v>
      </c>
      <c r="E42" s="82">
        <v>595.0</v>
      </c>
      <c r="F42" s="83">
        <v>30920.0</v>
      </c>
      <c r="G42" s="83">
        <v>1595.47</v>
      </c>
      <c r="H42" s="83">
        <v>29325.0</v>
      </c>
    </row>
    <row r="43" ht="12.75" customHeight="1">
      <c r="A43" s="82" t="s">
        <v>261</v>
      </c>
      <c r="B43" s="82" t="s">
        <v>264</v>
      </c>
      <c r="C43" s="82" t="s">
        <v>216</v>
      </c>
      <c r="D43" s="82">
        <v>1.0</v>
      </c>
      <c r="E43" s="82">
        <v>600.0</v>
      </c>
      <c r="F43" s="83">
        <v>29760.0</v>
      </c>
      <c r="G43" s="83">
        <v>925.56</v>
      </c>
      <c r="H43" s="83">
        <v>28834.0</v>
      </c>
    </row>
    <row r="44" ht="12.75" customHeight="1">
      <c r="A44" s="82" t="s">
        <v>261</v>
      </c>
      <c r="B44" s="82" t="s">
        <v>265</v>
      </c>
      <c r="C44" s="82" t="s">
        <v>216</v>
      </c>
      <c r="D44" s="82">
        <v>1.0</v>
      </c>
      <c r="E44" s="82">
        <v>600.0</v>
      </c>
      <c r="F44" s="83">
        <v>30430.0</v>
      </c>
      <c r="G44" s="83">
        <v>1351.05</v>
      </c>
      <c r="H44" s="83">
        <v>29079.0</v>
      </c>
    </row>
    <row r="45" ht="12.75" customHeight="1">
      <c r="A45" s="82" t="s">
        <v>261</v>
      </c>
      <c r="B45" s="82" t="s">
        <v>266</v>
      </c>
      <c r="C45" s="82" t="s">
        <v>216</v>
      </c>
      <c r="D45" s="82">
        <v>1.0</v>
      </c>
      <c r="E45" s="82">
        <v>272.0</v>
      </c>
      <c r="F45" s="83">
        <v>12800.0</v>
      </c>
      <c r="G45" s="83">
        <v>587.52</v>
      </c>
      <c r="H45" s="83">
        <v>12212.0</v>
      </c>
    </row>
    <row r="46" ht="12.75" customHeight="1">
      <c r="A46" s="82" t="s">
        <v>267</v>
      </c>
      <c r="B46" s="82" t="s">
        <v>268</v>
      </c>
      <c r="C46" s="82" t="s">
        <v>216</v>
      </c>
      <c r="D46" s="82">
        <v>1.0</v>
      </c>
      <c r="E46" s="82">
        <v>538.0</v>
      </c>
      <c r="F46" s="83">
        <v>27440.0</v>
      </c>
      <c r="G46" s="83">
        <v>532.3</v>
      </c>
      <c r="H46" s="83">
        <v>26908.0</v>
      </c>
    </row>
    <row r="47" ht="12.75" customHeight="1">
      <c r="A47" s="82" t="s">
        <v>267</v>
      </c>
      <c r="B47" s="82" t="s">
        <v>269</v>
      </c>
      <c r="C47" s="82" t="s">
        <v>216</v>
      </c>
      <c r="D47" s="82">
        <v>1.0</v>
      </c>
      <c r="E47" s="82">
        <v>600.0</v>
      </c>
      <c r="F47" s="83">
        <v>30990.0</v>
      </c>
      <c r="G47" s="83">
        <v>1723.0</v>
      </c>
      <c r="H47" s="83">
        <v>29267.0</v>
      </c>
    </row>
    <row r="48" ht="12.75" customHeight="1">
      <c r="A48" s="82" t="s">
        <v>267</v>
      </c>
      <c r="B48" s="82" t="s">
        <v>270</v>
      </c>
      <c r="C48" s="82" t="s">
        <v>216</v>
      </c>
      <c r="D48" s="82">
        <v>1.0</v>
      </c>
      <c r="E48" s="82">
        <v>600.0</v>
      </c>
      <c r="F48" s="83">
        <v>30690.0</v>
      </c>
      <c r="G48" s="83">
        <v>1212.2</v>
      </c>
      <c r="H48" s="83">
        <v>29478.0</v>
      </c>
    </row>
    <row r="49" ht="12.75" customHeight="1">
      <c r="A49" s="82" t="s">
        <v>267</v>
      </c>
      <c r="B49" s="82" t="s">
        <v>271</v>
      </c>
      <c r="C49" s="82" t="s">
        <v>216</v>
      </c>
      <c r="D49" s="82">
        <v>1.0</v>
      </c>
      <c r="E49" s="82">
        <v>600.0</v>
      </c>
      <c r="F49" s="83">
        <v>30470.0</v>
      </c>
      <c r="G49" s="83">
        <v>1249.28</v>
      </c>
      <c r="H49" s="83">
        <v>29221.0</v>
      </c>
    </row>
    <row r="50" ht="12.75" customHeight="1">
      <c r="A50" s="82" t="s">
        <v>272</v>
      </c>
      <c r="B50" s="82" t="s">
        <v>273</v>
      </c>
      <c r="C50" s="82" t="s">
        <v>216</v>
      </c>
      <c r="D50" s="82">
        <v>1.0</v>
      </c>
      <c r="E50" s="82">
        <v>600.0</v>
      </c>
      <c r="F50" s="83">
        <v>30590.0</v>
      </c>
      <c r="G50" s="83">
        <v>428.22</v>
      </c>
      <c r="H50" s="83">
        <v>30162.0</v>
      </c>
    </row>
    <row r="51" ht="12.75" customHeight="1">
      <c r="A51" s="82" t="s">
        <v>272</v>
      </c>
      <c r="B51" s="82" t="s">
        <v>274</v>
      </c>
      <c r="C51" s="82" t="s">
        <v>216</v>
      </c>
      <c r="D51" s="82">
        <v>1.0</v>
      </c>
      <c r="E51" s="82">
        <v>600.0</v>
      </c>
      <c r="F51" s="83">
        <v>31000.0</v>
      </c>
      <c r="G51" s="83">
        <v>759.45</v>
      </c>
      <c r="H51" s="83">
        <v>30241.0</v>
      </c>
    </row>
    <row r="52" ht="12.75" customHeight="1">
      <c r="A52" s="82" t="s">
        <v>272</v>
      </c>
      <c r="B52" s="82" t="s">
        <v>275</v>
      </c>
      <c r="C52" s="82" t="s">
        <v>216</v>
      </c>
      <c r="D52" s="82">
        <v>1.0</v>
      </c>
      <c r="E52" s="82">
        <v>600.0</v>
      </c>
      <c r="F52" s="83">
        <v>30950.0</v>
      </c>
      <c r="G52" s="83">
        <v>433.27</v>
      </c>
      <c r="H52" s="83">
        <v>30517.0</v>
      </c>
    </row>
    <row r="53" ht="12.75" customHeight="1">
      <c r="A53" s="82" t="s">
        <v>272</v>
      </c>
      <c r="B53" s="82" t="s">
        <v>276</v>
      </c>
      <c r="C53" s="82" t="s">
        <v>216</v>
      </c>
      <c r="D53" s="82">
        <v>1.0</v>
      </c>
      <c r="E53" s="82">
        <v>186.0</v>
      </c>
      <c r="F53" s="83">
        <v>9482.0</v>
      </c>
      <c r="G53" s="83">
        <v>379.15</v>
      </c>
      <c r="H53" s="83">
        <v>9103.0</v>
      </c>
    </row>
    <row r="54" ht="12.75" customHeight="1">
      <c r="A54" s="82" t="s">
        <v>272</v>
      </c>
      <c r="B54" s="82" t="s">
        <v>276</v>
      </c>
      <c r="C54" s="82" t="s">
        <v>216</v>
      </c>
      <c r="D54" s="82">
        <v>3.0</v>
      </c>
      <c r="E54" s="82">
        <v>414.0</v>
      </c>
      <c r="F54" s="83">
        <v>21108.0</v>
      </c>
      <c r="G54" s="83">
        <v>844.37</v>
      </c>
      <c r="H54" s="83">
        <v>20264.0</v>
      </c>
    </row>
    <row r="55" ht="12.75" customHeight="1">
      <c r="A55" s="82" t="s">
        <v>272</v>
      </c>
      <c r="B55" s="82" t="s">
        <v>277</v>
      </c>
      <c r="C55" s="82" t="s">
        <v>216</v>
      </c>
      <c r="D55" s="82">
        <v>3.0</v>
      </c>
      <c r="E55" s="82">
        <v>601.0</v>
      </c>
      <c r="F55" s="83">
        <v>30590.0</v>
      </c>
      <c r="G55" s="83">
        <v>847.34</v>
      </c>
      <c r="H55" s="83">
        <v>29743.0</v>
      </c>
    </row>
    <row r="56" ht="12.75" customHeight="1">
      <c r="A56" s="82" t="s">
        <v>272</v>
      </c>
      <c r="B56" s="82" t="s">
        <v>278</v>
      </c>
      <c r="C56" s="82" t="s">
        <v>216</v>
      </c>
      <c r="D56" s="82">
        <v>3.0</v>
      </c>
      <c r="E56" s="82">
        <v>523.0</v>
      </c>
      <c r="F56" s="83">
        <v>27220.0</v>
      </c>
      <c r="G56" s="83">
        <v>843.8</v>
      </c>
      <c r="H56" s="83">
        <v>26376.0</v>
      </c>
    </row>
    <row r="57" ht="12.75" customHeight="1">
      <c r="A57" s="82" t="s">
        <v>279</v>
      </c>
      <c r="B57" s="82" t="s">
        <v>280</v>
      </c>
      <c r="C57" s="82" t="s">
        <v>216</v>
      </c>
      <c r="D57" s="82">
        <v>3.0</v>
      </c>
      <c r="E57" s="82">
        <v>600.0</v>
      </c>
      <c r="F57" s="83">
        <v>31260.0</v>
      </c>
      <c r="G57" s="83">
        <v>1406.7</v>
      </c>
      <c r="H57" s="83">
        <v>29853.0</v>
      </c>
    </row>
    <row r="58" ht="12.75" customHeight="1">
      <c r="A58" s="82" t="s">
        <v>279</v>
      </c>
      <c r="B58" s="82" t="s">
        <v>281</v>
      </c>
      <c r="C58" s="82" t="s">
        <v>216</v>
      </c>
      <c r="D58" s="82">
        <v>3.0</v>
      </c>
      <c r="E58" s="82">
        <v>600.0</v>
      </c>
      <c r="F58" s="83">
        <v>31080.0</v>
      </c>
      <c r="G58" s="83">
        <v>248.64</v>
      </c>
      <c r="H58" s="83">
        <v>30831.0</v>
      </c>
    </row>
    <row r="59" ht="12.75" customHeight="1">
      <c r="A59" s="82" t="s">
        <v>279</v>
      </c>
      <c r="B59" s="82" t="s">
        <v>282</v>
      </c>
      <c r="C59" s="82" t="s">
        <v>216</v>
      </c>
      <c r="D59" s="82">
        <v>3.0</v>
      </c>
      <c r="E59" s="82">
        <v>569.0</v>
      </c>
      <c r="F59" s="83">
        <v>28920.0</v>
      </c>
      <c r="G59" s="83">
        <v>838.65</v>
      </c>
      <c r="H59" s="83">
        <v>28081.0</v>
      </c>
    </row>
    <row r="60" ht="12.75" customHeight="1">
      <c r="A60" s="82" t="s">
        <v>283</v>
      </c>
      <c r="B60" s="82" t="s">
        <v>284</v>
      </c>
      <c r="C60" s="82" t="s">
        <v>216</v>
      </c>
      <c r="D60" s="82">
        <v>3.0</v>
      </c>
      <c r="E60" s="82">
        <v>600.0</v>
      </c>
      <c r="F60" s="83">
        <v>31200.0</v>
      </c>
      <c r="G60" s="83">
        <v>842.38</v>
      </c>
      <c r="H60" s="83">
        <v>30358.0</v>
      </c>
    </row>
    <row r="61" ht="12.75" customHeight="1">
      <c r="A61" s="82" t="s">
        <v>283</v>
      </c>
      <c r="B61" s="82" t="s">
        <v>285</v>
      </c>
      <c r="C61" s="82" t="s">
        <v>216</v>
      </c>
      <c r="D61" s="82">
        <v>3.0</v>
      </c>
      <c r="E61" s="82">
        <v>600.0</v>
      </c>
      <c r="F61" s="83">
        <v>30800.0</v>
      </c>
      <c r="G61" s="83">
        <v>770.0</v>
      </c>
      <c r="H61" s="83">
        <v>30030.0</v>
      </c>
    </row>
    <row r="62" ht="12.75" customHeight="1">
      <c r="A62" s="82" t="s">
        <v>283</v>
      </c>
      <c r="B62" s="82" t="s">
        <v>286</v>
      </c>
      <c r="C62" s="82" t="s">
        <v>216</v>
      </c>
      <c r="D62" s="82">
        <v>3.0</v>
      </c>
      <c r="E62" s="82">
        <v>540.0</v>
      </c>
      <c r="F62" s="83">
        <v>27580.0</v>
      </c>
      <c r="G62" s="83">
        <v>1075.6</v>
      </c>
      <c r="H62" s="83">
        <v>26504.0</v>
      </c>
    </row>
    <row r="63" ht="12.75" customHeight="1">
      <c r="A63" s="82" t="s">
        <v>283</v>
      </c>
      <c r="B63" s="82" t="s">
        <v>287</v>
      </c>
      <c r="C63" s="82" t="s">
        <v>216</v>
      </c>
      <c r="D63" s="82">
        <v>3.0</v>
      </c>
      <c r="E63" s="82">
        <v>172.0</v>
      </c>
      <c r="F63" s="83">
        <v>8780.0</v>
      </c>
      <c r="G63" s="83">
        <v>359.98</v>
      </c>
      <c r="H63" s="83">
        <v>8420.0</v>
      </c>
    </row>
    <row r="64" ht="12.75" customHeight="1">
      <c r="A64" s="82" t="s">
        <v>288</v>
      </c>
      <c r="B64" s="82" t="s">
        <v>289</v>
      </c>
      <c r="C64" s="82" t="s">
        <v>216</v>
      </c>
      <c r="D64" s="82">
        <v>3.0</v>
      </c>
      <c r="E64" s="82">
        <v>603.0</v>
      </c>
      <c r="F64" s="83">
        <v>31300.0</v>
      </c>
      <c r="G64" s="83">
        <v>948.39</v>
      </c>
      <c r="H64" s="83">
        <v>30352.0</v>
      </c>
    </row>
    <row r="65" ht="12.75" customHeight="1">
      <c r="A65" s="82" t="s">
        <v>288</v>
      </c>
      <c r="B65" s="82" t="s">
        <v>290</v>
      </c>
      <c r="C65" s="82" t="s">
        <v>216</v>
      </c>
      <c r="D65" s="82">
        <v>3.0</v>
      </c>
      <c r="E65" s="82">
        <v>600.0</v>
      </c>
      <c r="F65" s="83">
        <v>30920.0</v>
      </c>
      <c r="G65" s="83">
        <v>578.2</v>
      </c>
      <c r="H65" s="83">
        <v>30342.0</v>
      </c>
    </row>
    <row r="66" ht="12.75" customHeight="1">
      <c r="A66" s="82" t="s">
        <v>288</v>
      </c>
      <c r="B66" s="82" t="s">
        <v>291</v>
      </c>
      <c r="C66" s="82" t="s">
        <v>216</v>
      </c>
      <c r="D66" s="82">
        <v>3.0</v>
      </c>
      <c r="E66" s="82">
        <v>600.0</v>
      </c>
      <c r="F66" s="83">
        <v>31380.0</v>
      </c>
      <c r="G66" s="83">
        <v>837.85</v>
      </c>
      <c r="H66" s="83">
        <v>30542.0</v>
      </c>
    </row>
    <row r="67" ht="12.75" customHeight="1">
      <c r="A67" s="82" t="s">
        <v>288</v>
      </c>
      <c r="B67" s="82" t="s">
        <v>292</v>
      </c>
      <c r="C67" s="82" t="s">
        <v>216</v>
      </c>
      <c r="D67" s="82">
        <v>3.0</v>
      </c>
      <c r="E67" s="82">
        <v>600.0</v>
      </c>
      <c r="F67" s="83">
        <v>31040.0</v>
      </c>
      <c r="G67" s="83">
        <v>512.12</v>
      </c>
      <c r="H67" s="83">
        <v>30528.0</v>
      </c>
    </row>
    <row r="68" ht="12.75" customHeight="1">
      <c r="A68" s="82" t="s">
        <v>288</v>
      </c>
      <c r="B68" s="82" t="s">
        <v>293</v>
      </c>
      <c r="C68" s="82" t="s">
        <v>216</v>
      </c>
      <c r="D68" s="82">
        <v>3.0</v>
      </c>
      <c r="E68" s="82">
        <v>604.0</v>
      </c>
      <c r="F68" s="83">
        <v>31270.0</v>
      </c>
      <c r="G68" s="83">
        <v>422.12</v>
      </c>
      <c r="H68" s="83">
        <v>30848.0</v>
      </c>
    </row>
    <row r="69" ht="12.75" customHeight="1">
      <c r="A69" s="82" t="s">
        <v>294</v>
      </c>
      <c r="B69" s="82" t="s">
        <v>295</v>
      </c>
      <c r="C69" s="82" t="s">
        <v>216</v>
      </c>
      <c r="D69" s="82">
        <v>3.0</v>
      </c>
      <c r="E69" s="82">
        <v>568.0</v>
      </c>
      <c r="F69" s="83">
        <v>29730.0</v>
      </c>
      <c r="G69" s="83">
        <v>481.58</v>
      </c>
      <c r="H69" s="83">
        <v>29248.0</v>
      </c>
    </row>
    <row r="70" ht="12.75" customHeight="1">
      <c r="A70" s="82" t="s">
        <v>294</v>
      </c>
      <c r="B70" s="82" t="s">
        <v>296</v>
      </c>
      <c r="C70" s="82" t="s">
        <v>216</v>
      </c>
      <c r="D70" s="82">
        <v>3.0</v>
      </c>
      <c r="E70" s="82">
        <v>600.0</v>
      </c>
      <c r="F70" s="83">
        <v>30820.0</v>
      </c>
      <c r="G70" s="83">
        <v>554.76</v>
      </c>
      <c r="H70" s="83">
        <v>30265.0</v>
      </c>
    </row>
    <row r="71" ht="12.75" customHeight="1">
      <c r="A71" s="82" t="s">
        <v>294</v>
      </c>
      <c r="B71" s="82" t="s">
        <v>297</v>
      </c>
      <c r="C71" s="82" t="s">
        <v>216</v>
      </c>
      <c r="D71" s="82">
        <v>3.0</v>
      </c>
      <c r="E71" s="82">
        <v>600.0</v>
      </c>
      <c r="F71" s="83">
        <v>31290.0</v>
      </c>
      <c r="G71" s="83">
        <v>528.75</v>
      </c>
      <c r="H71" s="83">
        <v>30761.0</v>
      </c>
    </row>
    <row r="72" ht="12.75" customHeight="1">
      <c r="A72" s="82" t="s">
        <v>294</v>
      </c>
      <c r="B72" s="82" t="s">
        <v>298</v>
      </c>
      <c r="C72" s="82" t="s">
        <v>216</v>
      </c>
      <c r="D72" s="82">
        <v>3.0</v>
      </c>
      <c r="E72" s="82">
        <v>600.0</v>
      </c>
      <c r="F72" s="83">
        <v>31160.0</v>
      </c>
      <c r="G72" s="83">
        <v>785.2</v>
      </c>
      <c r="H72" s="83">
        <v>30375.0</v>
      </c>
    </row>
    <row r="73" ht="12.75" customHeight="1">
      <c r="A73" s="82" t="s">
        <v>294</v>
      </c>
      <c r="B73" s="82" t="s">
        <v>299</v>
      </c>
      <c r="C73" s="82" t="s">
        <v>216</v>
      </c>
      <c r="D73" s="82">
        <v>3.0</v>
      </c>
      <c r="E73" s="82">
        <v>600.0</v>
      </c>
      <c r="F73" s="83">
        <v>31240.0</v>
      </c>
      <c r="G73" s="83">
        <v>218.66</v>
      </c>
      <c r="H73" s="83">
        <v>31021.0</v>
      </c>
    </row>
    <row r="74" ht="12.75" customHeight="1">
      <c r="A74" s="82" t="s">
        <v>294</v>
      </c>
      <c r="B74" s="82" t="s">
        <v>300</v>
      </c>
      <c r="C74" s="82" t="s">
        <v>216</v>
      </c>
      <c r="D74" s="82">
        <v>3.0</v>
      </c>
      <c r="E74" s="82">
        <v>600.0</v>
      </c>
      <c r="F74" s="83">
        <v>30790.0</v>
      </c>
      <c r="G74" s="83">
        <v>794.38</v>
      </c>
      <c r="H74" s="83">
        <v>29996.0</v>
      </c>
    </row>
    <row r="75" ht="12.75" customHeight="1">
      <c r="A75" s="82" t="s">
        <v>294</v>
      </c>
      <c r="B75" s="82" t="s">
        <v>301</v>
      </c>
      <c r="C75" s="82" t="s">
        <v>216</v>
      </c>
      <c r="D75" s="82">
        <v>3.0</v>
      </c>
      <c r="E75" s="82">
        <v>594.0</v>
      </c>
      <c r="F75" s="83">
        <v>30530.0</v>
      </c>
      <c r="G75" s="83">
        <v>222.82</v>
      </c>
      <c r="H75" s="83">
        <v>30307.0</v>
      </c>
    </row>
    <row r="76" ht="12.75" customHeight="1">
      <c r="A76" s="82" t="s">
        <v>302</v>
      </c>
      <c r="B76" s="82" t="s">
        <v>303</v>
      </c>
      <c r="C76" s="82" t="s">
        <v>216</v>
      </c>
      <c r="D76" s="82">
        <v>3.0</v>
      </c>
      <c r="E76" s="82">
        <v>587.0</v>
      </c>
      <c r="F76" s="83">
        <v>30030.0</v>
      </c>
      <c r="G76" s="83">
        <v>684.68</v>
      </c>
      <c r="H76" s="83">
        <v>29345.0</v>
      </c>
    </row>
    <row r="77" ht="12.75" customHeight="1">
      <c r="A77" s="82" t="s">
        <v>302</v>
      </c>
      <c r="B77" s="82" t="s">
        <v>304</v>
      </c>
      <c r="C77" s="82" t="s">
        <v>216</v>
      </c>
      <c r="D77" s="82">
        <v>3.0</v>
      </c>
      <c r="E77" s="82">
        <v>600.0</v>
      </c>
      <c r="F77" s="83">
        <v>30740.0</v>
      </c>
      <c r="G77" s="83">
        <v>1586.18</v>
      </c>
      <c r="H77" s="83">
        <v>29154.0</v>
      </c>
    </row>
    <row r="78" ht="12.75" customHeight="1">
      <c r="A78" s="82" t="s">
        <v>302</v>
      </c>
      <c r="B78" s="82" t="s">
        <v>305</v>
      </c>
      <c r="C78" s="82" t="s">
        <v>216</v>
      </c>
      <c r="D78" s="82">
        <v>3.0</v>
      </c>
      <c r="E78" s="82">
        <v>600.0</v>
      </c>
      <c r="F78" s="83">
        <v>30560.0</v>
      </c>
      <c r="G78" s="83">
        <v>2389.79</v>
      </c>
      <c r="H78" s="83">
        <v>28170.0</v>
      </c>
    </row>
    <row r="79" ht="12.75" customHeight="1">
      <c r="A79" s="82" t="s">
        <v>302</v>
      </c>
      <c r="B79" s="82" t="s">
        <v>306</v>
      </c>
      <c r="C79" s="82" t="s">
        <v>216</v>
      </c>
      <c r="D79" s="82">
        <v>3.0</v>
      </c>
      <c r="E79" s="82">
        <v>602.0</v>
      </c>
      <c r="F79" s="83">
        <v>30890.0</v>
      </c>
      <c r="G79" s="83">
        <v>1266.44</v>
      </c>
      <c r="H79" s="83">
        <v>29624.0</v>
      </c>
    </row>
    <row r="80" ht="12.75" customHeight="1">
      <c r="A80" s="82" t="s">
        <v>302</v>
      </c>
      <c r="B80" s="82" t="s">
        <v>307</v>
      </c>
      <c r="C80" s="82" t="s">
        <v>216</v>
      </c>
      <c r="D80" s="82">
        <v>3.0</v>
      </c>
      <c r="E80" s="82">
        <v>117.0</v>
      </c>
      <c r="F80" s="83">
        <v>6170.0</v>
      </c>
      <c r="G80" s="83">
        <v>193.08</v>
      </c>
      <c r="H80" s="83">
        <v>5977.0</v>
      </c>
    </row>
    <row r="81" ht="12.75" customHeight="1">
      <c r="A81" s="82" t="s">
        <v>302</v>
      </c>
      <c r="B81" s="82" t="s">
        <v>308</v>
      </c>
      <c r="C81" s="82" t="s">
        <v>216</v>
      </c>
      <c r="D81" s="82">
        <v>3.0</v>
      </c>
      <c r="E81" s="82">
        <v>167.0</v>
      </c>
      <c r="F81" s="83">
        <v>8480.0</v>
      </c>
      <c r="G81" s="83">
        <v>207.76</v>
      </c>
      <c r="H81" s="83">
        <v>8272.0</v>
      </c>
    </row>
    <row r="82" ht="12.75" customHeight="1">
      <c r="A82" s="84" t="s">
        <v>309</v>
      </c>
      <c r="B82" s="84"/>
      <c r="C82" s="84"/>
      <c r="D82" s="84"/>
      <c r="E82" s="84">
        <f t="shared" ref="E82:H82" si="1">SUM(E7:E81)</f>
        <v>40100</v>
      </c>
      <c r="F82" s="85">
        <f t="shared" si="1"/>
        <v>2057850</v>
      </c>
      <c r="G82" s="85">
        <f t="shared" si="1"/>
        <v>67737.88</v>
      </c>
      <c r="H82" s="85">
        <f t="shared" si="1"/>
        <v>1990114</v>
      </c>
    </row>
    <row r="83" ht="12.75" customHeight="1"/>
    <row r="84" ht="12.75" customHeight="1"/>
    <row r="85" ht="12.75" customHeight="1">
      <c r="A85" s="79" t="s">
        <v>310</v>
      </c>
      <c r="B85" s="86">
        <f>+H82</f>
        <v>1990114</v>
      </c>
    </row>
    <row r="86" ht="12.75" customHeight="1">
      <c r="A86" s="79" t="s">
        <v>311</v>
      </c>
      <c r="B86" s="86">
        <v>11.13</v>
      </c>
    </row>
    <row r="87" ht="12.75" customHeight="1">
      <c r="A87" s="79" t="s">
        <v>312</v>
      </c>
      <c r="B87" s="86">
        <f>B85*B86</f>
        <v>22149968.82</v>
      </c>
    </row>
    <row r="88" ht="12.75" customHeight="1">
      <c r="A88" s="79" t="s">
        <v>313</v>
      </c>
      <c r="B88" s="86">
        <f>B87*0.1</f>
        <v>2214996.882</v>
      </c>
    </row>
    <row r="89" ht="12.75" customHeight="1">
      <c r="A89" s="79" t="s">
        <v>314</v>
      </c>
      <c r="B89" s="87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